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4750" windowHeight="12080"/>
  </bookViews>
  <sheets>
    <sheet name="方案" sheetId="1" r:id="rId1"/>
  </sheets>
  <externalReferences>
    <externalReference r:id="rId2"/>
    <externalReference r:id="rId3"/>
  </externalReferences>
  <definedNames>
    <definedName name="_xlnm._FilterDatabase" localSheetId="0" hidden="1">方案!$B$2:$J$171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<sst xmlns="http://schemas.openxmlformats.org/spreadsheetml/2006/main" count="1645" uniqueCount="981">
  <si>
    <t>方案提报任务（截止到8月17日）</t>
  </si>
  <si>
    <t>序号</t>
  </si>
  <si>
    <t>任务标题</t>
  </si>
  <si>
    <t>任务类型</t>
  </si>
  <si>
    <t>创建时间</t>
  </si>
  <si>
    <t>计划开始时间</t>
  </si>
  <si>
    <t>计划结束时间</t>
  </si>
  <si>
    <t>实际完成时间</t>
  </si>
  <si>
    <t>计划工时</t>
  </si>
  <si>
    <t>实际工时</t>
  </si>
  <si>
    <t>创建人</t>
  </si>
  <si>
    <t>当前进展</t>
  </si>
  <si>
    <t>项目状态
（进行中 / 已结项-签约 / 已结项-丢单 / 暂停）</t>
  </si>
  <si>
    <t>丢单原因
（客户失联 / 选其他供应商 / 预算不足 / 需求不实 / 价格 / 交期 / 其他）</t>
  </si>
  <si>
    <t>C00003352｜陈辉｜工业｜埃及4万吨料场项目｜方案V1（预算）</t>
  </si>
  <si>
    <t>方案</t>
  </si>
  <si>
    <t>2026-07-21 14:19:20</t>
  </si>
  <si>
    <t>2026-07-21 14:11:00</t>
  </si>
  <si>
    <t>2026-07-24 19:00:00</t>
  </si>
  <si>
    <t>2026-07-24 17:10:52</t>
  </si>
  <si>
    <t>3.2天</t>
  </si>
  <si>
    <t>陈辉</t>
  </si>
  <si>
    <t>进行中</t>
  </si>
  <si>
    <t>C00007339｜陈辉｜工业｜韩国大宇3万吨磷矿粉项目｜方案V1 | 重点项目</t>
  </si>
  <si>
    <t>2026-07-14 17:43:28</t>
  </si>
  <si>
    <t>2026-07-15 08:00:00</t>
  </si>
  <si>
    <t>2026-07-17 17:00:00</t>
  </si>
  <si>
    <t>2026-07-17 17:07:49</t>
  </si>
  <si>
    <t>2.4天</t>
  </si>
  <si>
    <t>C00001305｜陈辉｜工业｜韩国Jeju-四套污泥仓｜方案V1</t>
  </si>
  <si>
    <t>2026-07-02 17:47:15</t>
  </si>
  <si>
    <t>2026-07-03 08:00:00</t>
  </si>
  <si>
    <t>2026-07-09 17:00:00</t>
  </si>
  <si>
    <t>2026-07-09 15:04:26</t>
  </si>
  <si>
    <t>6.4天</t>
  </si>
  <si>
    <t>6.3天</t>
  </si>
  <si>
    <t>已结项-丢单</t>
  </si>
  <si>
    <t>客户调整计划</t>
  </si>
  <si>
    <t>C00001305｜陈辉｜工业｜韩国welcron5套污泥仓｜方案V1</t>
  </si>
  <si>
    <t>2026-07-02 17:03:09</t>
  </si>
  <si>
    <t>2026-07-02 16:58:00</t>
  </si>
  <si>
    <t>2026-07-06 19:00:00</t>
  </si>
  <si>
    <t>2026-07-03 18:25:38</t>
  </si>
  <si>
    <t>4.1天</t>
  </si>
  <si>
    <t>1.1天</t>
  </si>
  <si>
    <t>C00001305｜陈辉｜工业｜韩国140立方米 x 3套树脂仓｜方案V1</t>
  </si>
  <si>
    <t>2026-06-29 17:36:48</t>
  </si>
  <si>
    <t>2026-06-30 08:00:00</t>
  </si>
  <si>
    <t>2026-07-03 19:00:00</t>
  </si>
  <si>
    <t>2026-07-03 18:25:43</t>
  </si>
  <si>
    <t>3.5天</t>
  </si>
  <si>
    <t>暂停</t>
  </si>
  <si>
    <t>C00002715｜陈辉｜工业｜塞拉利昂2个3万吨clinker项目｜方案V1 | 重点项目</t>
  </si>
  <si>
    <t>2026-06-22 11:34:22</t>
  </si>
  <si>
    <t>2026-06-22 11:28:00</t>
  </si>
  <si>
    <t>2026-06-26 19:00:00</t>
  </si>
  <si>
    <t>2026-06-26 17:46:47</t>
  </si>
  <si>
    <t>4.3天</t>
  </si>
  <si>
    <t>C00009463｜陈辉｜粮食｜突尼斯粮仓6x5,000t+10x8,000t｜方案V1</t>
  </si>
  <si>
    <t>2026-06-22 11:26:51</t>
  </si>
  <si>
    <t>2026-06-22 11:06:00</t>
  </si>
  <si>
    <t>2026-07-06 20:16:53</t>
  </si>
  <si>
    <t>14.3天</t>
  </si>
  <si>
    <t>14.4天</t>
  </si>
  <si>
    <t>C00001305｜陈辉｜工业｜韩国3,000立方米 x 2套石膏粉仓｜方案V2</t>
  </si>
  <si>
    <t>2026-05-27 11:38:18</t>
  </si>
  <si>
    <t>2026-05-27 11:27:00</t>
  </si>
  <si>
    <t>2026-07-02 19:29:00</t>
  </si>
  <si>
    <t>2026-07-02 18:33:52</t>
  </si>
  <si>
    <t>36.4天</t>
  </si>
  <si>
    <t>36.3天</t>
  </si>
  <si>
    <t>选其他供应商 / 价格</t>
  </si>
  <si>
    <t>C00009287｜陈辉｜工业｜大宇8套磷矿粉平底仓卸料｜方案V1</t>
  </si>
  <si>
    <t>2026-05-20 10:11:13</t>
  </si>
  <si>
    <t>2026-05-20 10:06:00</t>
  </si>
  <si>
    <t>2026-05-22 19:00:00</t>
  </si>
  <si>
    <t>2026-05-21 18:21:34</t>
  </si>
  <si>
    <t>1.4天</t>
  </si>
  <si>
    <t>C00009244｜陈辉｜工业｜火车卸料项目｜方案V1</t>
  </si>
  <si>
    <t>2026-05-18 15:56:16</t>
  </si>
  <si>
    <t>2026-05-18 15:51:00</t>
  </si>
  <si>
    <t>2026-05-22 18:13:36</t>
  </si>
  <si>
    <t>4.2天</t>
  </si>
  <si>
    <t>C00008995｜陈辉｜粮食｜韩国港口粮食输送项目｜方案V1</t>
  </si>
  <si>
    <t>2026-03-12 10:21:50</t>
  </si>
  <si>
    <t>2026-03-12 10:11:00</t>
  </si>
  <si>
    <t>2026-03-18 17:00:00</t>
  </si>
  <si>
    <t>2026-03-19 09:09:05</t>
  </si>
  <si>
    <t>6.10天</t>
  </si>
  <si>
    <t>C00008180｜陈辉｜工业｜Lanwa水泥混拌系统｜方案V1 | 重点项目</t>
  </si>
  <si>
    <t>C00006497｜陈辉｜粮食｜埃及面粉项目｜方案V1（仅仓和钢构）</t>
  </si>
  <si>
    <t>C00009849｜陈辉｜工业｜埃及3万吨混凝土仓（存氧化铝）项目｜方案V1</t>
  </si>
  <si>
    <t>C00009244｜陈辉｜工业｜巴西钢板仓和卸到火车项目｜方案V1</t>
  </si>
  <si>
    <t>C00009852｜陈辉｜工业｜澳洲8x6000t水泥装配仓｜方案V1（钢构量）</t>
  </si>
  <si>
    <t>C00003392｜陈辉｜工业｜莱歇6个热镀锌仓项目｜方案V1（钢构量）</t>
  </si>
  <si>
    <t>C00009556｜陈子凡｜工业｜蒙古TESO 4x2500水泥中转站｜方案V1</t>
  </si>
  <si>
    <t>2026-07-21 23:34:13</t>
  </si>
  <si>
    <t>2026-07-22 08:00:00</t>
  </si>
  <si>
    <t>2026-07-23 18:00:00</t>
  </si>
  <si>
    <t>2026-07-23 20:20:58</t>
  </si>
  <si>
    <t>1.6天</t>
  </si>
  <si>
    <t>陈子凡</t>
  </si>
  <si>
    <t>给客户发了方案，待更新报价。准备报价中，但客户主业是食品，本次询价可能只是为了解投资预算。 8月份在蒙古期间约客户见面，客户见面意愿不强</t>
  </si>
  <si>
    <t>C00009734｜陈子凡｜粮食｜ 阿根廷6个面粉仓+3个润麦仓+1个麸皮仓 单仓｜重量计算+清单</t>
  </si>
  <si>
    <t>2026-07-09 10:54:39</t>
  </si>
  <si>
    <t>2026-07-09 10:53:00</t>
  </si>
  <si>
    <t>2026-07-14 18:00:00</t>
  </si>
  <si>
    <t>2026-07-14 19:52:34</t>
  </si>
  <si>
    <t>5.3天</t>
  </si>
  <si>
    <t>5.4天</t>
  </si>
  <si>
    <t>报过价了，希望不大。客户为工程公司，项目投标中，且对方对中国供应链很了解，价格非常敏感</t>
  </si>
  <si>
    <t>C00007248｜陈子凡｜工业｜厄瓜多尔塑料方仓项目｜清单</t>
  </si>
  <si>
    <t>2026-07-01 10:15:31</t>
  </si>
  <si>
    <t>2026-07-01 09:12:00</t>
  </si>
  <si>
    <t>2026-07-02 18:12:00</t>
  </si>
  <si>
    <t>2026-07-02 11:38:03</t>
  </si>
  <si>
    <t>1.2天</t>
  </si>
  <si>
    <t>客户比价中。提交报价后等通知，本次报价相比1期项目有上涨，客户大概率会找新供应商比价</t>
  </si>
  <si>
    <t>XXXXX｜陈子凡｜粮食｜北京生物质颗粒装车仓｜方案V1 | 初步方案</t>
  </si>
  <si>
    <t>2026-06-29 15:10:49</t>
  </si>
  <si>
    <t>2026-06-29 15:08:00</t>
  </si>
  <si>
    <t>2026-07-01 18:00:00</t>
  </si>
  <si>
    <t>2026-07-01 15:23:00</t>
  </si>
  <si>
    <t>2.1天</t>
  </si>
  <si>
    <t>跟进中。项目较前期，联系人在出差，需要过一段时间再联系</t>
  </si>
  <si>
    <t>C00007247｜陈子凡｜工业｜MAK砖厂现有气力输送系统更新项目 ｜方案V1 | 重点项目</t>
  </si>
  <si>
    <t>2026-05-25 09:48:58</t>
  </si>
  <si>
    <t>2026-05-25 09:46:00</t>
  </si>
  <si>
    <t>2026-05-27 17:00:00</t>
  </si>
  <si>
    <t>2026-05-27 12:17:32</t>
  </si>
  <si>
    <t>2.3天</t>
  </si>
  <si>
    <t>2.2天</t>
  </si>
  <si>
    <t>报价中</t>
  </si>
  <si>
    <t>进行中，近期可成交</t>
  </si>
  <si>
    <t>C00009223｜陈子凡｜粮食｜马来西亚益海大豆仓单仓｜图纸+算重量V1</t>
  </si>
  <si>
    <t>2026-05-18 16:19:49</t>
  </si>
  <si>
    <t>2026-05-18 16:18:00</t>
  </si>
  <si>
    <t>2026-05-19 12:59:00</t>
  </si>
  <si>
    <t>2026-05-19 13:05:11</t>
  </si>
  <si>
    <t>0.9天</t>
  </si>
  <si>
    <t>项目取消。中间人告知工厂砍掉了此项预算，改为修复现有筒仓</t>
  </si>
  <si>
    <t>预算不足</t>
  </si>
  <si>
    <t>C00009104｜陈子凡｜工业｜MONCEMENT 3x2000水泥中转站｜方案V2 | 重点项目</t>
  </si>
  <si>
    <t>2026-05-11 15:26:14</t>
  </si>
  <si>
    <t>2026-06-16 11:10:00</t>
  </si>
  <si>
    <t>2026-06-16 20:07:00</t>
  </si>
  <si>
    <t>2026-06-16 18:32:38</t>
  </si>
  <si>
    <t>0.4天</t>
  </si>
  <si>
    <t>更新方案中。拜访后按要求更新方案，有望近期落地</t>
  </si>
  <si>
    <t>Manila 01｜陈子凡｜工业｜菲律宾生力集团机场临建项目｜算量V1</t>
  </si>
  <si>
    <t>2026-04-30 12:25:51</t>
  </si>
  <si>
    <t>2026-04-30 12:19:00</t>
  </si>
  <si>
    <t>2026-05-07 19:00:00</t>
  </si>
  <si>
    <t>2026-05-18 18:22:46</t>
  </si>
  <si>
    <t>7.3天</t>
  </si>
  <si>
    <t>18.3天</t>
  </si>
  <si>
    <t>未参与</t>
  </si>
  <si>
    <t>项目要求EPC，本项目土建占比很高，最终未参与</t>
  </si>
  <si>
    <t>Manila 01｜陈子凡｜粮食｜SMC SHIPPING 平方仓项目｜方案V1</t>
  </si>
  <si>
    <t>2026-04-27 11:55:47</t>
  </si>
  <si>
    <t>2026-05-06 11:33:00</t>
  </si>
  <si>
    <t>2026-05-06 17:39:00</t>
  </si>
  <si>
    <t>2026-05-06 15:19:00</t>
  </si>
  <si>
    <t>0.3天</t>
  </si>
  <si>
    <t>0.2天</t>
  </si>
  <si>
    <t>价格高，客户买了别人的，可能是越南的，我们在钢结构厂房上没有竞争力</t>
  </si>
  <si>
    <t>价格高</t>
  </si>
  <si>
    <t>C00009101｜陈子凡｜工业｜毛里求斯塑料颗粒圆仓（铝仓，单仓）｜方案+清单V1</t>
  </si>
  <si>
    <t>2026-04-08 10:29:20</t>
  </si>
  <si>
    <t>2026-04-08 10:28:00</t>
  </si>
  <si>
    <t>2026-04-14 18:00:00</t>
  </si>
  <si>
    <t>2026-04-14 16:17:41</t>
  </si>
  <si>
    <t>项目较小，放弃</t>
  </si>
  <si>
    <t>项目体量很小，客户要求多，纠结我们是不是工厂，故放弃</t>
  </si>
  <si>
    <t>C00008912 ｜陈子凡｜工业｜印度尼西亚碳酸钙仓｜方案+清单V1</t>
  </si>
  <si>
    <t>2026-03-17 11:14:18</t>
  </si>
  <si>
    <t>2026-04-09 18:11:00</t>
  </si>
  <si>
    <t>2026-04-14 20:59:00</t>
  </si>
  <si>
    <t>2026-04-16 14:19:14</t>
  </si>
  <si>
    <t>5.1天</t>
  </si>
  <si>
    <t>6.9天</t>
  </si>
  <si>
    <t>项目小，放弃</t>
  </si>
  <si>
    <t>客户体量非常小，纠结价格，后续放弃</t>
  </si>
  <si>
    <t>20260304 菲律宾生力集团 取料机报价</t>
  </si>
  <si>
    <t>2026-03-04 09:32:36</t>
  </si>
  <si>
    <t>2026-03-04 09:31:00</t>
  </si>
  <si>
    <t>2026-03-06 17:00:00</t>
  </si>
  <si>
    <t>2026-03-04 15:46:35</t>
  </si>
  <si>
    <t>等授标通知</t>
  </si>
  <si>
    <t>20260302 C00007247 MAK 陈子凡 2x150吨小仓方案 报价</t>
  </si>
  <si>
    <t>2026-03-02 14:26:18</t>
  </si>
  <si>
    <t>2026-03-02 14:24:00</t>
  </si>
  <si>
    <t>2026-03-04 12:00:00</t>
  </si>
  <si>
    <t>2026-03-04 11:57:28</t>
  </si>
  <si>
    <t>1.9天</t>
  </si>
  <si>
    <t>已成交</t>
  </si>
  <si>
    <t>结项-签约</t>
  </si>
  <si>
    <t>20260206 陈子凡 南美3x1000/3X2000/3X2500吨水泥仓方案+清单</t>
  </si>
  <si>
    <t>2026-02-06 08:48:33</t>
  </si>
  <si>
    <t>2026-02-06 08:46:00</t>
  </si>
  <si>
    <t>2026-02-06 18:00:00</t>
  </si>
  <si>
    <t>2026-02-06 16:13:22</t>
  </si>
  <si>
    <t>项目真实性存疑</t>
  </si>
  <si>
    <t>北京中间商询价项目，真实性存疑，后续不再合作</t>
  </si>
  <si>
    <t>20260113陈子凡  巴基斯坦4000吨稻壳颗粒仓及上料系统</t>
  </si>
  <si>
    <t>2026-01-13 17:45:20</t>
  </si>
  <si>
    <t>2026-01-14 08:00:00</t>
  </si>
  <si>
    <t>2026-02-05 12:02:00</t>
  </si>
  <si>
    <t>2026-02-05 10:02:32</t>
  </si>
  <si>
    <t>22.2天</t>
  </si>
  <si>
    <t>22.1天</t>
  </si>
  <si>
    <t>项目暂停</t>
  </si>
  <si>
    <t>Manila01｜陈子凡｜粮食｜菲律宾4x2000吨锥底仓｜清单V1 | 报价清单</t>
  </si>
  <si>
    <t>已提交报价，等反馈。单仓项目，上周报价，等反馈。</t>
  </si>
  <si>
    <t>C00005424|崔阳|工业|Sibur塑料颗粒的气力输送项目|方案V1</t>
  </si>
  <si>
    <t>2026-07-22 16:16:47</t>
  </si>
  <si>
    <t>2026-07-22 16:18:00</t>
  </si>
  <si>
    <t>2026-07-26 16:00:00</t>
  </si>
  <si>
    <t/>
  </si>
  <si>
    <t>4天</t>
  </si>
  <si>
    <t>崔阳</t>
  </si>
  <si>
    <t>C00006570|崔阳|工业|Powerz螺旋输送机采购|方案V1</t>
  </si>
  <si>
    <t>2026-07-21 10:32:54</t>
  </si>
  <si>
    <t>2026-07-23 08:00:00</t>
  </si>
  <si>
    <t>2026-07-24 17:00:00</t>
  </si>
  <si>
    <t>2026-07-23 17:05:11</t>
  </si>
  <si>
    <t>C00006458 崔阳|工业|达涅利 辊道和步进梁项目 |方案V1</t>
  </si>
  <si>
    <t>2026-07-09 12:29:38</t>
  </si>
  <si>
    <t>2026-07-14 08:00:00</t>
  </si>
  <si>
    <t>2026-07-26 17:00:00</t>
  </si>
  <si>
    <t>12.4天</t>
  </si>
  <si>
    <t>C00009596   崔阳|工业|乌克兰AIK-EKO 铜矿石筒仓项目 |方案V1</t>
  </si>
  <si>
    <t>2026-07-08 11:23:44</t>
  </si>
  <si>
    <t>2026-07-09 08:00:00</t>
  </si>
  <si>
    <t>2026-07-13 18:00:00</t>
  </si>
  <si>
    <t>2026-07-13 18:19:36</t>
  </si>
  <si>
    <t>4.4天</t>
  </si>
  <si>
    <t>4.5天</t>
  </si>
  <si>
    <t>C00009055 崔阳|工业|CC7 Europe 化工回收项目 |方案V1</t>
  </si>
  <si>
    <t>2026-07-07 17:35:29</t>
  </si>
  <si>
    <t>2026-07-08 08:00:00</t>
  </si>
  <si>
    <t>2026-07-12 18:00:00</t>
  </si>
  <si>
    <t>2026-07-14 14:58:24</t>
  </si>
  <si>
    <t>C00006514|崔阳|工业|cotes哈萨克斯坦4个矿石仓项目|方案V1</t>
  </si>
  <si>
    <t>2026-07-07 14:44:06</t>
  </si>
  <si>
    <t>2026-07-07 08:00:00</t>
  </si>
  <si>
    <t>2026-07-09 18:00:00</t>
  </si>
  <si>
    <t>2026-07-09 17:27:22</t>
  </si>
  <si>
    <t>C00009720|崔阳|工业|乌兹别克斯坦撒马尔罕3000吨水泥厂项目|方案V1</t>
  </si>
  <si>
    <t>2026-07-07 14:40:42</t>
  </si>
  <si>
    <t>2026-07-10 18:00:00</t>
  </si>
  <si>
    <t>2026-07-10 14:30:55</t>
  </si>
  <si>
    <t>3.4天</t>
  </si>
  <si>
    <t>3.3天</t>
  </si>
  <si>
    <t>C00007843|崔阳|工业|Эннова散装机|方案V1</t>
  </si>
  <si>
    <t>2026-06-26 10:08:03</t>
  </si>
  <si>
    <t>2026-06-26 10:06:00</t>
  </si>
  <si>
    <t>2026-06-30 21:00:00</t>
  </si>
  <si>
    <t>2026-06-30 18:30:41</t>
  </si>
  <si>
    <t>C00009506  |崔阳|粮食| RUSAGRO农作物种子加工厂项目|方案V1</t>
  </si>
  <si>
    <t>2026-06-18 15:47:16</t>
  </si>
  <si>
    <t>2026-06-18 15:31:00</t>
  </si>
  <si>
    <t>C00009372  |崔阳|工业|UZMETKOMBINATA, FILIAL 铁合金及辅料石灰日间仓储整套工艺设备EPC项目 |方案V1</t>
  </si>
  <si>
    <t>2026-06-11 14:42:48</t>
  </si>
  <si>
    <t>2026-06-11 14:31:00</t>
  </si>
  <si>
    <t>2026-07-27 17:00:00</t>
  </si>
  <si>
    <t>2026-07-27 15:25:30</t>
  </si>
  <si>
    <t>43.1天</t>
  </si>
  <si>
    <t>46.1天</t>
  </si>
  <si>
    <t>C00009055 崔阳|工业|CC7 Europe 石灰给料包项目 |方案V1</t>
  </si>
  <si>
    <t>2026-06-10 17:25:54</t>
  </si>
  <si>
    <t>2026-06-11 08:00:00</t>
  </si>
  <si>
    <t>2026-06-18 17:00:00</t>
  </si>
  <si>
    <t>2026-06-18 15:55:30</t>
  </si>
  <si>
    <t>7.4天</t>
  </si>
  <si>
    <t>C00009398 |崔阳|工业|ООО «Бункер-Порт»氧化铝港口储存及输送项目|方案V1</t>
  </si>
  <si>
    <t>2026-06-10 15:46:17</t>
  </si>
  <si>
    <t>2026-06-10 15:43:00</t>
  </si>
  <si>
    <t>2026-06-29 17:00:00</t>
  </si>
  <si>
    <t>2026-06-26 14:05:32</t>
  </si>
  <si>
    <t>19.1天</t>
  </si>
  <si>
    <t>15.10天</t>
  </si>
  <si>
    <t>C00006514|崔阳|工业|cotes烧碱和硫酸钠化工仓|方案V1</t>
  </si>
  <si>
    <t>2026-06-09 11:10:49</t>
  </si>
  <si>
    <t>2026-06-09 11:07:00</t>
  </si>
  <si>
    <t>2026-06-12 17:00:00</t>
  </si>
  <si>
    <t>2026-06-12 16:49:20</t>
  </si>
  <si>
    <t>C00009347 |崔阳|粮食| Ebad Pir Moradian Global Skills 40000吨储粮项目|方案V1</t>
  </si>
  <si>
    <t>2026-06-05 14:25:18</t>
  </si>
  <si>
    <t>2026-06-16 14:21:00</t>
  </si>
  <si>
    <t>38.1天</t>
  </si>
  <si>
    <t>C00001534|崔阳|粮食| 30000吨 SILOS KZ 粮储综合体项目|方案V1</t>
  </si>
  <si>
    <t>2026-06-04 11:56:36</t>
  </si>
  <si>
    <t>2026-06-04 11:54:00</t>
  </si>
  <si>
    <t>2026-06-11 17:00:00</t>
  </si>
  <si>
    <t>2026-06-11 18:03:30</t>
  </si>
  <si>
    <t>C00001534|崔阳|粮食| 1000吨小麦仓SILOS KZ 粮仓项目|方案V1</t>
  </si>
  <si>
    <t>2026-06-03 17:19:40</t>
  </si>
  <si>
    <t>2026-06-04 08:00:00</t>
  </si>
  <si>
    <t>2026-06-06 17:00:00</t>
  </si>
  <si>
    <t>2026-06-06 16:58:15</t>
  </si>
  <si>
    <t>C00009304|崔阳|粮食|ELFORS, OOO谷物码头项目|方案V1</t>
  </si>
  <si>
    <t>2026-05-26 09:19:00</t>
  </si>
  <si>
    <t>2026-05-26 09:17:00</t>
  </si>
  <si>
    <t>2026-06-26 17:00:00</t>
  </si>
  <si>
    <t>2026-06-26 14:25:10</t>
  </si>
  <si>
    <t>31.3天</t>
  </si>
  <si>
    <t>C00007843|崔阳|工业|Эннова新库兹涅兹克电厂烟气净化与脱硫系统项目|方案V1</t>
  </si>
  <si>
    <t>2026-05-15 14:49:14</t>
  </si>
  <si>
    <t>2026-05-19 17:32:00</t>
  </si>
  <si>
    <t>2026-07-10 23:00:00</t>
  </si>
  <si>
    <t>52.3天</t>
  </si>
  <si>
    <t>C00006570|崔阳|工业|POWERZ0508设备采购|方案V1</t>
  </si>
  <si>
    <t>2026-05-08 10:40:15</t>
  </si>
  <si>
    <t>2026-05-08 10:38:00</t>
  </si>
  <si>
    <t>2026-05-12 19:00:00</t>
  </si>
  <si>
    <t>2026-05-14 08:44:35</t>
  </si>
  <si>
    <t>5.10天</t>
  </si>
  <si>
    <t>C00006514|崔阳|工业|cotes电厂粉煤灰|方案V2</t>
  </si>
  <si>
    <t>2026-05-07 18:38:29</t>
  </si>
  <si>
    <t>2026-05-08 08:00:00</t>
  </si>
  <si>
    <t>2026-06-25 19:00:00</t>
  </si>
  <si>
    <t>2026-06-25 10:30:42</t>
  </si>
  <si>
    <t>48.5天</t>
  </si>
  <si>
    <t>48.2天</t>
  </si>
  <si>
    <t>C00009215|崔阳|粮食|Anush Grigoryan饲料储存仓项目|方案V1</t>
  </si>
  <si>
    <t>2026-05-07 18:24:54</t>
  </si>
  <si>
    <t>2026-05-12 17:02:43</t>
  </si>
  <si>
    <t>C00007843|崔阳|工业|石灰料仓及气力输送设备|方案V1</t>
  </si>
  <si>
    <t>2026-04-23 16:41:37</t>
  </si>
  <si>
    <t>2026-04-23 16:38:00</t>
  </si>
  <si>
    <t>2026-04-30 19:00:00</t>
  </si>
  <si>
    <t>2026-04-30 16:04:15</t>
  </si>
  <si>
    <t>7.1天</t>
  </si>
  <si>
    <t>C00007464|崔阳|工业|麻类作物深加工|方案V1</t>
  </si>
  <si>
    <t>2026-04-20 10:17:42</t>
  </si>
  <si>
    <t>2026-04-20 10:16:00</t>
  </si>
  <si>
    <t>2026-06-23 21:00:00</t>
  </si>
  <si>
    <t>2026-06-23 18:03:06</t>
  </si>
  <si>
    <t>64.5天</t>
  </si>
  <si>
    <t>64.4天</t>
  </si>
  <si>
    <t>C00009095|崔阳|粮食|粮食储运系统|方案V1</t>
  </si>
  <si>
    <t>2026-04-07 16:09:43</t>
  </si>
  <si>
    <t>2026-04-07 16:08:00</t>
  </si>
  <si>
    <t>2026-04-17 19:00:00</t>
  </si>
  <si>
    <t>2026-04-17 18:56:16</t>
  </si>
  <si>
    <t>10.1天</t>
  </si>
  <si>
    <t>10.2天</t>
  </si>
  <si>
    <t>C00009094|崔阳|粮食|75万吨小麦深加工项目|方案V1|重点项目</t>
  </si>
  <si>
    <t>2026-04-03 09:46:30</t>
  </si>
  <si>
    <t>2026-04-03 09:46:00</t>
  </si>
  <si>
    <t>2026-05-19 22:00:00</t>
  </si>
  <si>
    <t>2026-05-19 17:24:13</t>
  </si>
  <si>
    <t>46.5天</t>
  </si>
  <si>
    <t>46.4天</t>
  </si>
  <si>
    <t>C00009064|崔阳|工业|75吨熟石灰钢板仓|方案V1</t>
  </si>
  <si>
    <t>2026-03-27 17:03:06</t>
  </si>
  <si>
    <t>2026-03-28 08:00:00</t>
  </si>
  <si>
    <t>2026-04-01 19:00:00</t>
  </si>
  <si>
    <t>2026-04-01 18:17:44</t>
  </si>
  <si>
    <t>C00009061|崔阳|工业|500吨水泥钢板仓|方案V1</t>
  </si>
  <si>
    <t>2026-03-25 17:24:31</t>
  </si>
  <si>
    <t>2026-03-26 08:00:00</t>
  </si>
  <si>
    <t>2026-03-31 17:00:00</t>
  </si>
  <si>
    <t>2026-03-31 09:49:08</t>
  </si>
  <si>
    <t>C00006570|崔阳|工业|灰渣气力输送项目|方案V1</t>
  </si>
  <si>
    <t>2026-03-24 10:30:17</t>
  </si>
  <si>
    <t>2026-03-24 10:28:00</t>
  </si>
  <si>
    <t>2026-03-28 17:00:00</t>
  </si>
  <si>
    <t>2026-03-28 08:58:22</t>
  </si>
  <si>
    <t>3.10天</t>
  </si>
  <si>
    <t>C00006570 Powerz 崔阳 工业 底渣输送机 方案V1</t>
  </si>
  <si>
    <t>2026-03-14 09:21:21</t>
  </si>
  <si>
    <t>2026-03-14 09:19:00</t>
  </si>
  <si>
    <t>2026-03-18 10:00:00</t>
  </si>
  <si>
    <t>C00005698 ООО УК "Астон" 崔阳 粮食 1350吨葵花籽仓 方案V1</t>
  </si>
  <si>
    <t>2026-03-12 11:39:15</t>
  </si>
  <si>
    <t>2026-03-12 10:40:00</t>
  </si>
  <si>
    <t>2026-03-14 19:00:00</t>
  </si>
  <si>
    <t>2026-03-14 15:17:00</t>
  </si>
  <si>
    <t>C00006570 Powerz 崔阳 工业 旋转给料系统 方案V1</t>
  </si>
  <si>
    <t>2026-03-06 09:32:25</t>
  </si>
  <si>
    <t>2026-03-06 09:29:00</t>
  </si>
  <si>
    <t>2026-03-10 17:00:00</t>
  </si>
  <si>
    <t>2026-03-10 08:47:00</t>
  </si>
  <si>
    <t>C00007843 | 崔阳 | 工业 | 哈萨克热列兹肯特热电站10号机组烟气净化（脱硫，除尘）项目 | 方案V1</t>
  </si>
  <si>
    <t>2026-03-05 10:12:27</t>
  </si>
  <si>
    <t>2026-03-05 10:05:00</t>
  </si>
  <si>
    <t>2026-03-11 17:00:00</t>
  </si>
  <si>
    <t>C00006570 Powerz 崔阳  20260214 旋转阀</t>
  </si>
  <si>
    <t>2026-02-14 09:25:27</t>
  </si>
  <si>
    <t>2026-02-14 09:24:00</t>
  </si>
  <si>
    <t>2026-03-02 10:00:00</t>
  </si>
  <si>
    <t>2026-02-28 08:32:08</t>
  </si>
  <si>
    <t>16天</t>
  </si>
  <si>
    <t>13.10天</t>
  </si>
  <si>
    <t>C00006514 KOTEC 崔阳 工业 装配仓 方案V2</t>
  </si>
  <si>
    <t>2026-02-04 11:01:52</t>
  </si>
  <si>
    <t>2026-02-04 11:00:00</t>
  </si>
  <si>
    <t>2026-03-12 14:32:35</t>
  </si>
  <si>
    <t>38.3天</t>
  </si>
  <si>
    <t>36.2天</t>
  </si>
  <si>
    <t>C00008851  ROSATOM, GK 崔阳 工业 俄罗斯氧化铝仓 方案V1</t>
  </si>
  <si>
    <t>2026-01-28 10:46:59</t>
  </si>
  <si>
    <t>2026-01-28 10:42:00</t>
  </si>
  <si>
    <t>2026-03-04 19:00:00</t>
  </si>
  <si>
    <t>2026-03-04 18:28:34</t>
  </si>
  <si>
    <t>35.4天</t>
  </si>
  <si>
    <t>C00007843 | 崔阳 | 工业 | 外贝加尔发电厂项目 | 方案</t>
  </si>
  <si>
    <t>2026-01-21 14:56:51</t>
  </si>
  <si>
    <t>2026-01-21 14:53:00</t>
  </si>
  <si>
    <t>163.2天</t>
  </si>
  <si>
    <t>C00009506|崔阳|粮食| RUSAGRO大豆深度加工综合生产线|方案V1</t>
  </si>
  <si>
    <t>C00006570|崔阳|工业|Powerz输送机采购|方案V1</t>
  </si>
  <si>
    <t>C00009678｜冯乐｜坦桑尼亚｜小麦2×4500T装配仓项目｜方案V1 | 重点项目</t>
  </si>
  <si>
    <t>2026-07-21 09:36:12</t>
  </si>
  <si>
    <t>2026-07-21 09:20:00</t>
  </si>
  <si>
    <t>2026-07-24 20:30:00</t>
  </si>
  <si>
    <t>2026-07-23 11:45:25</t>
  </si>
  <si>
    <t>冯乐</t>
  </si>
  <si>
    <t>客户主营粮食加工，此前已接受我方报价。回国与工程团队商讨后，客户提出了新要求，我方已做技术反馈。目前客户需视其农场情况再作回复。</t>
  </si>
  <si>
    <t>C00009584|冯乐|粮食|尼日利亚-2×1200T玉米仓项目|方案V1</t>
  </si>
  <si>
    <t>2026-07-06 10:51:39</t>
  </si>
  <si>
    <t>2026-07-06 10:45:00</t>
  </si>
  <si>
    <t>2026-07-15 20:00:00</t>
  </si>
  <si>
    <t>2026-07-15 18:39:03</t>
  </si>
  <si>
    <t>9.4天</t>
  </si>
  <si>
    <t>目前是一位中间贸易商替业主询价，我方已提供方案和报价，多家供应商对比。</t>
  </si>
  <si>
    <t>C00009383｜冯乐｜工业｜也门-3×1200m³水泥装配仓项目｜方案V3</t>
  </si>
  <si>
    <t>2026-06-09 09:54:45</t>
  </si>
  <si>
    <t>2026-07-18 14:00:00</t>
  </si>
  <si>
    <t>2026-07-22 20:30:00</t>
  </si>
  <si>
    <t>2026-07-22 17:08:19</t>
  </si>
  <si>
    <t>已进行多次报价，客户对价格比较敏感，目前正在和对方团队进行技术澄清。</t>
  </si>
  <si>
    <t>C00009344｜冯乐｜工业｜土库曼斯坦火车装载料斗项目｜方案V1</t>
  </si>
  <si>
    <t>2026-05-29 10:11:40</t>
  </si>
  <si>
    <t>2026-05-29 11:00:00</t>
  </si>
  <si>
    <t>2026-06-05 19:00:00</t>
  </si>
  <si>
    <t>2026-06-06 09:30:49</t>
  </si>
  <si>
    <t>7.10天</t>
  </si>
  <si>
    <t>客户是总承包商，我们是分包，已进行过两次商务报价。整个项目比较大，我们只负责料斗报价，目前等总包更新项目进展。</t>
  </si>
  <si>
    <t>C00009727｜冯乐｜粮食｜阿根廷2×3000T+6×800T 储存仓项目｜方案V2</t>
  </si>
  <si>
    <t>直接业主，是一家从农田到深加工全产业链的农业综合集团，该项目是业主的规划项目。目前处于收集多方供应商的方案和报价，我方已提供商务报价。等待业主回复。</t>
  </si>
  <si>
    <t>C00009344｜冯乐｜新疆｜PP掺混料仓×10+PE掺混料仓×10项目｜方案V1</t>
  </si>
  <si>
    <t>客户是总承包商，我们是分包，已提供商务方案报价。</t>
  </si>
  <si>
    <t>20260723|郭朝伟|新疆宏兴|镁渣筒仓|方案</t>
  </si>
  <si>
    <t>2026-07-23 08:59:23</t>
  </si>
  <si>
    <t>2026-07-23 08:57:00</t>
  </si>
  <si>
    <t>2026-07-28 17:00:00</t>
  </si>
  <si>
    <t>郭朝伟</t>
  </si>
  <si>
    <t>初步方案沟通中，还未确认方案</t>
  </si>
  <si>
    <t>20260715|郭朝伟|河南工大|模拟粮仓|方案V1 | 重点项目</t>
  </si>
  <si>
    <t>2026-07-15 17:40:29</t>
  </si>
  <si>
    <t>2026-07-16 08:00:00</t>
  </si>
  <si>
    <t>2026-07-22 17:00:00</t>
  </si>
  <si>
    <t>2026-07-22 17:11:43</t>
  </si>
  <si>
    <t>方案基本确定，带客户确认后在沟通下一步</t>
  </si>
  <si>
    <t>20260715郭朝伟 | 旺康集团 | 4*20000吨水泥仓 | 方案V1</t>
  </si>
  <si>
    <t>2026-07-15 11:06:03</t>
  </si>
  <si>
    <t>2026-07-15 11:03:00</t>
  </si>
  <si>
    <t>2026-07-20 17:00:00</t>
  </si>
  <si>
    <t>2026-07-20 16:09:29</t>
  </si>
  <si>
    <t>已确认供应商</t>
  </si>
  <si>
    <t>一次报价之后，价差太大，客户不再愿意继续沟通，直接定供应商</t>
  </si>
  <si>
    <t>20260715郭朝伟 | 厦门树峰 | 4*5000T玉米仓 | 方案V1</t>
  </si>
  <si>
    <t>2026-07-15 08:40:17</t>
  </si>
  <si>
    <t>2026-07-15 08:36:00</t>
  </si>
  <si>
    <t>2026-07-21 15:14:24</t>
  </si>
  <si>
    <t>出方案，邀请考察中（大概率合作不成，客户明确要合作制造厂家）</t>
  </si>
  <si>
    <t>C00009357|韩鸿彪|工业|越南水泥码头+木屑颗粒仓项目|方案V1</t>
  </si>
  <si>
    <t>2026-06-16 17:59:22</t>
  </si>
  <si>
    <t>2026-06-17 08:35:00</t>
  </si>
  <si>
    <t>2026-06-27 18:00:00</t>
  </si>
  <si>
    <t>2026-06-26 16:53:57</t>
  </si>
  <si>
    <t>10.4天</t>
  </si>
  <si>
    <t>韩鸿彪</t>
  </si>
  <si>
    <t>项目土地审批和银行贷款阶段，预计10月底会有进一步更新</t>
  </si>
  <si>
    <t>C00008493|韩鸿彪|工业|也门2x1600T水泥仓扩建项目方案V2</t>
  </si>
  <si>
    <t>2026-06-12 09:25:53</t>
  </si>
  <si>
    <t>2026-07-10 10:30:00</t>
  </si>
  <si>
    <t>2026-07-15 17:30:00</t>
  </si>
  <si>
    <t>2026-07-17 13:20:26</t>
  </si>
  <si>
    <t>7.2天</t>
  </si>
  <si>
    <t>更新方案更新报价V3，业主在对比方案和报价，项目计划是27年Q1上</t>
  </si>
  <si>
    <t>C00008036/韩鸿彪/越南QNC料场项目/方案V2</t>
  </si>
  <si>
    <t>2026-03-03 10:14:41</t>
  </si>
  <si>
    <t>2026-05-07 11:30:00</t>
  </si>
  <si>
    <t>2026-05-14 18:30:00</t>
  </si>
  <si>
    <t>2026-05-29 16:01:31</t>
  </si>
  <si>
    <t>项目排期后延，处于规划阶段，预计明年二季度会进行内部评估</t>
  </si>
  <si>
    <t>C00008843|韩鸿彪|印度Shree Cement 5000T/10000T/15000T/20000T水泥仓项目|方案 V3</t>
  </si>
  <si>
    <t>2026-02-05 14:13:18</t>
  </si>
  <si>
    <t>2026-05-22 16:30:00</t>
  </si>
  <si>
    <t>2026-05-28 16:30:00</t>
  </si>
  <si>
    <t>2026-06-01 20:08:00</t>
  </si>
  <si>
    <t>6天</t>
  </si>
  <si>
    <t>等待具体项目信息，互动减弱，业主内部高层可能更偏向于混凝土仓仓型</t>
  </si>
  <si>
    <t>C00008036|韩鸿彪|工业|越南QNC-Halong2x1500T水泥仓方案V2</t>
  </si>
  <si>
    <t>2026-02-04 11:59:21</t>
  </si>
  <si>
    <t>2026-06-04 10:30:00</t>
  </si>
  <si>
    <t>2026-06-10 16:41:00</t>
  </si>
  <si>
    <t>2026-06-10 16:39:10</t>
  </si>
  <si>
    <t>越南4x6000业主的客户，等待业主的跟进反馈，配合性项目不做重点</t>
  </si>
  <si>
    <t>韩鸿彪 20260128 巴拿马28x2500T粮库改造项目方案</t>
  </si>
  <si>
    <t>2026-01-28 09:48:11</t>
  </si>
  <si>
    <t>2026-01-28 09:43:00</t>
  </si>
  <si>
    <t>2026-02-12 19:00:00</t>
  </si>
  <si>
    <t>2026-02-12 16:08:12</t>
  </si>
  <si>
    <t>15.4天</t>
  </si>
  <si>
    <t>15.3天</t>
  </si>
  <si>
    <t>联系人为中间工程公司，对项目把控性弱，项目信息不全，目前已失去联系</t>
  </si>
  <si>
    <t>非终端业主，项目信息不全，意向不明确</t>
  </si>
  <si>
    <t>20260120 韩鸿彪 越南广宁水泥4*6000T筒仓配套装船钢结构雨棚（河边雨棚）</t>
  </si>
  <si>
    <t>2026-01-20 14:33:03</t>
  </si>
  <si>
    <t>2026-01-20 14:25:00</t>
  </si>
  <si>
    <t>2026-01-23 18:00:00</t>
  </si>
  <si>
    <t>2026-01-23 17:24:52</t>
  </si>
  <si>
    <t>土地报批手续中，杰余报建水槽手续复杂和预算原因，可能会放弃该项目建设</t>
  </si>
  <si>
    <t>C00008036 韩鸿彪 越南 4x6000T筒仓系统配套输送设备方案 V5</t>
  </si>
  <si>
    <t>2026-01-19 17:18:40</t>
  </si>
  <si>
    <t>2026-04-29 15:00:00</t>
  </si>
  <si>
    <t>2026-04-30 18:00:00</t>
  </si>
  <si>
    <t>2026-04-30 15:53:06</t>
  </si>
  <si>
    <t>更新方案，更新报价，等待决策。业主计划先上一条（6台）包装线，第一个筒仓完工后先运行起来</t>
  </si>
  <si>
    <t>20260108 韩鸿彪 越南广宁水泥4*5000T筒仓配套装船钢结构雨棚</t>
  </si>
  <si>
    <t>2026-01-08 15:12:03</t>
  </si>
  <si>
    <t>2026-01-14 15:00:00</t>
  </si>
  <si>
    <t>2026-01-15 14:00:00</t>
  </si>
  <si>
    <t>2026-01-15 13:12:18</t>
  </si>
  <si>
    <t>1天</t>
  </si>
  <si>
    <t>0.10天</t>
  </si>
  <si>
    <t>与86重复</t>
  </si>
  <si>
    <t>C00009474|韩鸿彪|粮食|卢旺达面粉厂3x2500T小麦仓项目|方案V1</t>
  </si>
  <si>
    <t>面粉厂扩建项目，规模不大，但项目真实，第一版报价阶段</t>
  </si>
  <si>
    <t>C00008036|韩鸿彪|工业|越南QNC船对船水泥输送系统|方案V1</t>
  </si>
  <si>
    <t>第一版报价后，我司报价过高，业主需要的方案我们不能满足，暂停更新</t>
  </si>
  <si>
    <t>C00009797  | 马鹏飞 | 工业 | 新加坡波纹钢板储水罐 | 方案V1 |</t>
  </si>
  <si>
    <t>2026-07-22 10:56:25</t>
  </si>
  <si>
    <t>2026-07-22 10:31:00</t>
  </si>
  <si>
    <t>2026-07-24 18:00:00</t>
  </si>
  <si>
    <t>2026-07-24 17:10:56</t>
  </si>
  <si>
    <t>马鹏飞</t>
  </si>
  <si>
    <t>业主仍在投标，目前项目延标，预计2026年底投标</t>
  </si>
  <si>
    <t>C00009713  | 马鹏飞 | 工业 | 保加利亚DPM Metals Inc. 50吨消石灰仓及设备 | 方案V1 |</t>
  </si>
  <si>
    <t>2026-07-07 18:28:51</t>
  </si>
  <si>
    <t>2026-07-10 12:00:00</t>
  </si>
  <si>
    <t>2026-07-10 11:21:57</t>
  </si>
  <si>
    <t>50吨小仓，客户对我公司项目澄清未回，客户兴趣不大，不再报价</t>
  </si>
  <si>
    <t xml:space="preserve">客户失联 </t>
  </si>
  <si>
    <t>C00009340 | 马鹏飞 | 粮食 | 澳大利亚维多利亚州 农场主 3 +1 个1000吨大麦小麦存储仓 | 方案V1 |</t>
  </si>
  <si>
    <t>2026-05-26 14:53:11</t>
  </si>
  <si>
    <t>2026-05-26 14:12:00</t>
  </si>
  <si>
    <t>2026-06-04 17:00:00</t>
  </si>
  <si>
    <t>2026-06-04 14:08:30</t>
  </si>
  <si>
    <t>9.1天</t>
  </si>
  <si>
    <t>8.10天</t>
  </si>
  <si>
    <t>客户比价倾向重，澳洲标准，项目需要落实澄清客户未回，主动联系不再回复，故不再报价</t>
  </si>
  <si>
    <t>C00006463  | 马鹏飞 | 粮食 | 智利 Empresasalacarta公司麦麸料斗 | 方案V1 |</t>
  </si>
  <si>
    <t>2026-05-19 14:18:07</t>
  </si>
  <si>
    <t>2026-05-19 14:14:00</t>
  </si>
  <si>
    <t>2026-06-03 19:00:00</t>
  </si>
  <si>
    <t>15.2天</t>
  </si>
  <si>
    <t>项目图纸有尺寸错误，向业主澄清未回，主动联系不再回复，故不再报价</t>
  </si>
  <si>
    <t>C00009133  | 马鹏飞 | 粮食 | 科特迪瓦代理可可豆长期存储项目| 方案V2 |</t>
  </si>
  <si>
    <t>2026-04-14 16:41:09</t>
  </si>
  <si>
    <t>2026-04-14 16:36:00</t>
  </si>
  <si>
    <t>2026-06-06 19:00:00</t>
  </si>
  <si>
    <t>2026-06-05 11:00:03</t>
  </si>
  <si>
    <t>53.1天</t>
  </si>
  <si>
    <t>51.8天</t>
  </si>
  <si>
    <t>已做方案，目前改与中国电建合作，准备相关研究报告</t>
  </si>
  <si>
    <t>风险巨大</t>
  </si>
  <si>
    <t>C00008933 | 马鹏飞 | 工业 | Técnicas Reunidas S. A.（意大利头部国际 EPC/工程总承包集团）小型石灰仓 | 方案V1 |</t>
  </si>
  <si>
    <t>2026-03-17 11:28:24</t>
  </si>
  <si>
    <t>2026-03-17 11:20:00</t>
  </si>
  <si>
    <t>2026-03-28 19:00:00</t>
  </si>
  <si>
    <t>2026-03-28 16:02:28</t>
  </si>
  <si>
    <t>11.3天</t>
  </si>
  <si>
    <t>11.2天</t>
  </si>
  <si>
    <t>已做方案，及报价15吨小仓，项目污泥刮板机无法做，客户联络不回</t>
  </si>
  <si>
    <t>项目污泥刮板机无法做</t>
  </si>
  <si>
    <t>C00001420 | 马鹏飞 | 工业 |生力集团100TPH水泥冷却站项目需画电气单线图及理清范围 | 方案V4 |</t>
  </si>
  <si>
    <t>2026-03-03 15:37:58</t>
  </si>
  <si>
    <t>2026-03-17 15:36:00</t>
  </si>
  <si>
    <t>2026-07-28 19:00:00</t>
  </si>
  <si>
    <t>2026-07-28 10:05:28</t>
  </si>
  <si>
    <t>133.2天</t>
  </si>
  <si>
    <t>132.8天</t>
  </si>
  <si>
    <t>已完成单线图提供，生力水泥冷却站项目，已提交所有所需资料，待生力决策层批复，目前尚未有更新情况</t>
  </si>
  <si>
    <t>2026.2.10 马鹏飞科特迪瓦2个航空燃油储罐项目需报价</t>
  </si>
  <si>
    <t>2026-02-10 15:19:20</t>
  </si>
  <si>
    <t>2026-02-10 15:15:00</t>
  </si>
  <si>
    <t>2026-02-13 19:00:00</t>
  </si>
  <si>
    <t>2026-02-13 16:54:49</t>
  </si>
  <si>
    <t>3.1天</t>
  </si>
  <si>
    <t>已报价，因工期无法满足业主要求，业主选择土耳其采购钢板，在当地组装</t>
  </si>
  <si>
    <t>生产周期无法满足，客户选择土耳其进口钢板，当地组装</t>
  </si>
  <si>
    <t>2026.2.2 马鹏飞 阿尔及利亚2万吨小麦玉米农场主6X5000 吨筒仓干燥项目</t>
  </si>
  <si>
    <t>2026-02-02 09:13:41</t>
  </si>
  <si>
    <t>2026-02-02 09:09:00</t>
  </si>
  <si>
    <t>2026-04-08 19:00:00</t>
  </si>
  <si>
    <t>2026-04-08 17:00:14</t>
  </si>
  <si>
    <t>65.4天</t>
  </si>
  <si>
    <t>已做方案，及报价，业主对价格无任何反馈，联络不回</t>
  </si>
  <si>
    <t>C00004564 | 马鹏飞 | 德国Intercem公司法国水泥厂项目单仓询价 | 方案 V3 |</t>
  </si>
  <si>
    <t>2026-01-29 17:01:01</t>
  </si>
  <si>
    <t>2026-01-29 15:58:00</t>
  </si>
  <si>
    <t>2026-07-29 18:30:00</t>
  </si>
  <si>
    <t>181.1天</t>
  </si>
  <si>
    <t>已做方案，及报价，目前此业主也是投标，目前并无更新的投标情况</t>
  </si>
  <si>
    <t>客户正在投标</t>
  </si>
  <si>
    <t>C00001611| 马鹏飞 | 工业 | 墨西哥拉法基1*500吨水泥仓项目 | 方案V1 |</t>
  </si>
  <si>
    <t>已做方案，及报价，刚发出报价，尚无业主对价格的反馈意见。</t>
  </si>
  <si>
    <t>C00009786｜苗恒｜粮食｜斯里兰卡10x2000吨稻谷仓项目｜方案V1</t>
  </si>
  <si>
    <t>2026-07-23 18:11:34</t>
  </si>
  <si>
    <t>2026-07-24 08:30:00</t>
  </si>
  <si>
    <t>2026-07-28 18:30:00</t>
  </si>
  <si>
    <t>苗恒</t>
  </si>
  <si>
    <t>客户与土耳其ALTINBILEK有合作，上次报价大概率找我们探价和比价，报价后反馈不积极</t>
  </si>
  <si>
    <t>C00009762｜苗恒｜工业｜新加坡4x200m3熟石灰粉不锈钢仓项目｜方案V1</t>
  </si>
  <si>
    <t>2026-07-18 15:52:41</t>
  </si>
  <si>
    <t>2026-07-18 14:45:00</t>
  </si>
  <si>
    <t>2026-07-24 18:30:00</t>
  </si>
  <si>
    <t>2026-07-25 18:56:26</t>
  </si>
  <si>
    <t>6.2天</t>
  </si>
  <si>
    <t>跟进中，客户为工程公司，回复8月底或9月初给我们反馈</t>
  </si>
  <si>
    <t>C00009353｜苗恒｜工业｜阿尔及利亚6x2500吨水泥仓+200TPH气力输送项目｜方案V1</t>
  </si>
  <si>
    <t>2026-07-15 17:19:25</t>
  </si>
  <si>
    <t>2026-07-15 16:14:00</t>
  </si>
  <si>
    <t>2026-07-22 18:15:00</t>
  </si>
  <si>
    <t>2026-07-22 17:11:40</t>
  </si>
  <si>
    <t>跟进中，客户给了港口项目布置图，正在沟通方案布局，9月份客户会给更多项目现场信息</t>
  </si>
  <si>
    <t>C00009373｜苗恒｜粮食｜印尼1X5000吨玉米仓项目｜方案V1</t>
  </si>
  <si>
    <t>2026-06-04 11:11:22</t>
  </si>
  <si>
    <t>2026-06-04 11:03:00</t>
  </si>
  <si>
    <t>2026-06-10 18:20:00</t>
  </si>
  <si>
    <t>2026-06-10 18:04:56</t>
  </si>
  <si>
    <t>无</t>
  </si>
  <si>
    <t>客户失联</t>
  </si>
  <si>
    <t>C00009256｜苗恒｜工业｜阿联酋500TPD玻璃瓶制造厂项目｜方案V1</t>
  </si>
  <si>
    <t>2026-05-21 15:33:52</t>
  </si>
  <si>
    <t>2026-05-21 15:08:00</t>
  </si>
  <si>
    <t>2026-06-03 18:10:00</t>
  </si>
  <si>
    <t>2026-06-03 17:47:18</t>
  </si>
  <si>
    <t>13.2天</t>
  </si>
  <si>
    <t>C00008938｜苗恒｜粮食｜墨西哥3x10000+2x5000+4x200+1x150粮仓项目｜方案V1 | 重点项目</t>
  </si>
  <si>
    <t>2026-04-25 15:53:24</t>
  </si>
  <si>
    <t>2026-06-12 17:59:00</t>
  </si>
  <si>
    <t>2026-06-23 18:20:00</t>
  </si>
  <si>
    <t>2026-06-23 18:05:54</t>
  </si>
  <si>
    <t>11天</t>
  </si>
  <si>
    <t>11.1天</t>
  </si>
  <si>
    <t>重点项目跟进中，客户反馈比较慢，下步计划确认方案V4后更新报价V2</t>
  </si>
  <si>
    <t>C00008680｜苗恒｜粮食｜也门3x650吨小麦麸皮仓项目｜方案V1</t>
  </si>
  <si>
    <t>2026-04-11 14:24:32</t>
  </si>
  <si>
    <t>2026-04-11 13:20:00</t>
  </si>
  <si>
    <t>2026-04-24 18:30:00</t>
  </si>
  <si>
    <t>2026-04-24 17:41:38</t>
  </si>
  <si>
    <t>13.3天</t>
  </si>
  <si>
    <t>跟进中，让完善报价的筒仓和清仓机信息，更新后暂时没有答复</t>
  </si>
  <si>
    <t>C00009088｜苗恒｜工业｜德国100吨水泥仓+固定式打包机1/2嘴项目｜方案V1</t>
  </si>
  <si>
    <t>2026-04-10 16:20:26</t>
  </si>
  <si>
    <t>2026-04-10 15:11:00</t>
  </si>
  <si>
    <t>2026-04-14 18:10:00</t>
  </si>
  <si>
    <t>2026-04-14 15:41:17</t>
  </si>
  <si>
    <t>C00009058｜苗恒｜粮食｜孟加拉4x18000吨玉米仓项目｜方案V1</t>
  </si>
  <si>
    <t>2026-03-28 10:34:14</t>
  </si>
  <si>
    <t>2026-03-28 09:19:00</t>
  </si>
  <si>
    <t>2026-04-10 18:30:00</t>
  </si>
  <si>
    <t>2026-04-10 11:41:37</t>
  </si>
  <si>
    <t>13.4天</t>
  </si>
  <si>
    <t>13.1天</t>
  </si>
  <si>
    <t>已结项</t>
  </si>
  <si>
    <t>需求不实</t>
  </si>
  <si>
    <t>C00009001｜苗恒｜工业｜斯里兰卡1x35000吨熟料仓项目｜方案V2</t>
  </si>
  <si>
    <t>2026-03-27 16:25:28</t>
  </si>
  <si>
    <t>2026-07-14 17:26:00</t>
  </si>
  <si>
    <t>2026-07-21 18:26:00</t>
  </si>
  <si>
    <t>2026-07-21 17:23:06</t>
  </si>
  <si>
    <t>7天</t>
  </si>
  <si>
    <t>重点项目跟进中，客户找了江苏鹏飞做的整厂规划布置，让我们报混凝土仓报价，准备给客户更新第二版</t>
  </si>
  <si>
    <t>已跟真实业主建立起联系，比较倾向于混凝土仓</t>
  </si>
  <si>
    <t>C00008988｜苗恒｜粮食｜孟加拉2x3000吨稻谷仓项目｜方案V3 | 重点项目</t>
  </si>
  <si>
    <t>2026-03-17 16:11:36</t>
  </si>
  <si>
    <t>2026-06-06 15:44:00</t>
  </si>
  <si>
    <t>2026-06-08 18:20:00</t>
  </si>
  <si>
    <t>2026-06-08 19:19:42</t>
  </si>
  <si>
    <t>C00008990｜苗恒｜粮食｜马拉维1x10000吨大豆仓存储项目｜方案V1</t>
  </si>
  <si>
    <t>2026-03-13 11:04:24</t>
  </si>
  <si>
    <t>2026-03-13 10:22:00</t>
  </si>
  <si>
    <t>2026-03-17 12:30:00</t>
  </si>
  <si>
    <t>2026-03-17 11:42:38</t>
  </si>
  <si>
    <t>20260223 苗恒 印度45000吨氧化铝仓港口存储输送项目</t>
  </si>
  <si>
    <t>2026-02-23 10:59:08</t>
  </si>
  <si>
    <t>2026-03-09 16:17:00</t>
  </si>
  <si>
    <t>2026-03-11 18:30:00</t>
  </si>
  <si>
    <t>2026-03-12 08:26:23</t>
  </si>
  <si>
    <t>2.7天</t>
  </si>
  <si>
    <t>工程公司反馈，业主选择混凝土仓</t>
  </si>
  <si>
    <t>20260205苗恒 委内瑞拉12x7500吨玉米和大豆存储项目</t>
  </si>
  <si>
    <t>2026-02-05 11:15:21</t>
  </si>
  <si>
    <t>2026-03-02 10:58:00</t>
  </si>
  <si>
    <t>2026-03-03 19:50:00</t>
  </si>
  <si>
    <t>2026-03-04 09:29:05</t>
  </si>
  <si>
    <t>1.10天</t>
  </si>
  <si>
    <t>20260205苗恒 印度小麦仓存储项目</t>
  </si>
  <si>
    <t>2026-02-05 10:46:56</t>
  </si>
  <si>
    <t>2026-02-27 09:27:00</t>
  </si>
  <si>
    <t>2026-02-27 18:00:00</t>
  </si>
  <si>
    <t>2026-02-27 19:02:40</t>
  </si>
  <si>
    <t>20260121  苗恒  土耳其石灰石粉末仓项目</t>
  </si>
  <si>
    <t>2026-01-21 10:25:28</t>
  </si>
  <si>
    <t>2026-01-21 09:20:00</t>
  </si>
  <si>
    <t>2026-01-27 18:20:00</t>
  </si>
  <si>
    <t>2026-01-27 16:43:57</t>
  </si>
  <si>
    <t>C00009921｜苗恒｜工业｜伊拉克2x10000吨水泥仓项目｜方案V1</t>
  </si>
  <si>
    <t>已报价，客户预计9.2到上海，希望可以见一面</t>
  </si>
  <si>
    <t>C00009883｜苗恒｜工业｜德国3x1600吨水泥仓+3个料斗投标项目｜方案V1</t>
  </si>
  <si>
    <t>与上面伊拉克2x10000同属一个项目，需要等最终业主确认哪个方案</t>
  </si>
  <si>
    <t>C00009709｜司斌｜工业｜蒙古60吨沙仓 |方案V1</t>
  </si>
  <si>
    <t>2026-07-09 16:36:48</t>
  </si>
  <si>
    <t>2026-07-09 16:33:00</t>
  </si>
  <si>
    <t>2026-07-14 19:00:00</t>
  </si>
  <si>
    <t>2026-07-15 16:33:50</t>
  </si>
  <si>
    <t>6.0天</t>
  </si>
  <si>
    <t>司斌</t>
  </si>
  <si>
    <t>客户是蒙古的，做热转换的，新公司，想要60吨沙仓用于热能存储和转换，工艺工程师王雷朋告知我们做不了，项目放弃</t>
  </si>
  <si>
    <t>公司做不了</t>
  </si>
  <si>
    <t>C00009733｜司斌｜粮食｜印度路易达孚4x500咖啡仓 |方案V1</t>
  </si>
  <si>
    <t>2026-07-09 09:58:10</t>
  </si>
  <si>
    <t>2026-07-14 17:00:00</t>
  </si>
  <si>
    <t>2026-07-15 15:39:23</t>
  </si>
  <si>
    <t>路易达孚印度公司咖啡公司，项目处于调研阶段，只要了预算，待管理层决定，不一定会上</t>
  </si>
  <si>
    <t>C00009649｜司斌｜粮食｜斯里兰卡30*3500T稻谷仓 |方案V1|重点项目</t>
  </si>
  <si>
    <t>2026-07-06 18:09:26</t>
  </si>
  <si>
    <t>2026-07-24 08:51:00</t>
  </si>
  <si>
    <t>老板自行决策，目前已到决策期，但是钢结构部分的报价客户告知6200CNY每吨，FOB含螺栓，采购部告知这个价格拿不到。客户对供货商成本把控严格，对国内采购价格深度熟悉，如果没有合适的价格，我们没有任何机会</t>
  </si>
  <si>
    <t>C00008345｜司斌｜粮食｜咖啡仓方仓 |方案V1</t>
  </si>
  <si>
    <t>2026-06-29 10:54:21</t>
  </si>
  <si>
    <t>2026-07-07 17:53:00</t>
  </si>
  <si>
    <t>2026-07-09 19:00:00</t>
  </si>
  <si>
    <t>2026-07-09 11:47:37</t>
  </si>
  <si>
    <t>1.8天</t>
  </si>
  <si>
    <t>客户公司主业咖啡生产线，在全球都有项目，国内与星巴克，瑞幸都有合作。项目处于前期价格咨询。已就此公司进行了三次报价，但均无任何反馈，客户对供货商成本把控严格，对国内采购价格深度熟悉，如果没有合适的价格，我们没有任何机会</t>
  </si>
  <si>
    <t>C00009546｜司斌｜工业｜越南6*800+2*450灰仓｜方案V1</t>
  </si>
  <si>
    <t>2026-06-26 10:49:10</t>
  </si>
  <si>
    <t>2026-07-27 14:40:00</t>
  </si>
  <si>
    <t>2026-07-30 19:00:00</t>
  </si>
  <si>
    <t>对接公司是工程公司，但是主业与我们行业不相关，此项目为投标项目，对接公司与最终业主有过合作，但技术问题无法澄清，虽然发送了报价，但是在较少的技术澄清下，胜率不高</t>
  </si>
  <si>
    <t>C00008345｜司斌｜粮食｜咖啡缓冲斗｜方案V1</t>
  </si>
  <si>
    <t>2026-06-17 18:09:26</t>
  </si>
  <si>
    <t>2026-06-18 08:00:00</t>
  </si>
  <si>
    <t>2026-06-22 17:00:00</t>
  </si>
  <si>
    <t>2026-06-18 21:58:25</t>
  </si>
  <si>
    <t>0.6天</t>
  </si>
  <si>
    <t>与123是同一个客户</t>
  </si>
  <si>
    <t>C00009240｜司斌｜工业｜越南500吨粉煤灰筒仓项目｜方案V1</t>
  </si>
  <si>
    <t>2026-05-08 17:53:59</t>
  </si>
  <si>
    <t>2026-05-09 08:00:00</t>
  </si>
  <si>
    <t>2026-05-12 17:57:18</t>
  </si>
  <si>
    <t>2.5天</t>
  </si>
  <si>
    <t>对接人是最终业主，水泥厂，项目处于询价环节，从报价后客户失联判断，我们报出的价格没有任何优势，客户不愿再进行后续沟通</t>
  </si>
  <si>
    <t>丢单，报价后客户不再联系</t>
  </si>
  <si>
    <t>C00005674｜司斌｜木屑颗粒｜马来西亚发放仓项目｜方案V1</t>
  </si>
  <si>
    <t>2026-04-01 09:19:17</t>
  </si>
  <si>
    <t>2026-04-01 09:15:00</t>
  </si>
  <si>
    <t>2026-04-03 19:00:00</t>
  </si>
  <si>
    <t>2026-04-03 17:13:56</t>
  </si>
  <si>
    <t>已合作木屑颗粒项目，此项目为解决工厂生产完产品装车问题，目前工厂暂未投入使用，项目前期，还不到时候</t>
  </si>
  <si>
    <t>C00001287｜司斌｜粮食｜越南咖啡仓改造项目｜方案V1</t>
  </si>
  <si>
    <t>2026-03-30 14:52:06</t>
  </si>
  <si>
    <t>2026-03-30 14:50:00</t>
  </si>
  <si>
    <t>2026-04-02 19:00:00</t>
  </si>
  <si>
    <t>2026-04-10 11:38:30</t>
  </si>
  <si>
    <t>10.9天</t>
  </si>
  <si>
    <t>已合作客户，上次拜访客户想要进行一定的改造，但是发送方案后一直没有任何回复，初步判断改造并非需要解决的大问题，可上可不上</t>
  </si>
  <si>
    <t>C00008398｜司斌｜工业｜多米尼加塑料颗粒筒仓项目｜方案V1</t>
  </si>
  <si>
    <t>2026-03-14 10:10:46</t>
  </si>
  <si>
    <t>2026-03-18 08:36:00</t>
  </si>
  <si>
    <t>2026-03-19 19:00:00</t>
  </si>
  <si>
    <t>2026-03-19 17:20:51</t>
  </si>
  <si>
    <t>1.5天</t>
  </si>
  <si>
    <t>客户公司是做木屑颗粒生产加工，目前是收集报价阶段，但是价格发送后不再沟通，初步判断价格不具有任何优势</t>
  </si>
  <si>
    <t>C00008870｜司斌｜粮食｜马来西亚筒仓项目｜方案V1</t>
  </si>
  <si>
    <t>2026-03-10 09:28:55</t>
  </si>
  <si>
    <t>2026-03-23 08:37:00</t>
  </si>
  <si>
    <t>2026-03-24 19:00:00</t>
  </si>
  <si>
    <t>2026-03-28 15:20:20</t>
  </si>
  <si>
    <t>对接公司是做咖啡生产线，项目是在菲律宾，投标项目，目前告知项目被暂停，不愿告知原因</t>
  </si>
  <si>
    <t>20260211司斌沙特码头氧化铝仓项目</t>
  </si>
  <si>
    <t>2026-02-11 17:53:36</t>
  </si>
  <si>
    <t>2026-02-12 08:00:00</t>
  </si>
  <si>
    <t>2026-02-14 19:00:00</t>
  </si>
  <si>
    <t>2026-02-14 11:58:35</t>
  </si>
  <si>
    <t>对接人是物流公司，通过自有渠道了解到他的客户想要扩建，想要拿着我们的方案去找最终业主谈，出过方案后失联，对项目无法把控，同时又不愿意让别人插手</t>
  </si>
  <si>
    <t>20260104司斌苏丹码头小麦仓项目</t>
  </si>
  <si>
    <t>2026-01-04 16:59:07</t>
  </si>
  <si>
    <t>2026-01-21 17:54:00</t>
  </si>
  <si>
    <t>2026-01-23 19:00:00</t>
  </si>
  <si>
    <t>2026-01-27 18:14:26</t>
  </si>
  <si>
    <t>6.1天</t>
  </si>
  <si>
    <t>24年报过一个项目，说是他们公司的项目，但一些细节又不能具体澄清，判断为收集价格，报价后失联</t>
  </si>
  <si>
    <t>C00009949｜司斌｜粮食｜阿联酋饲料颗粒，项目在俄罗斯 |方案V1</t>
  </si>
  <si>
    <t>对接公司是工程公司，想要对此项目进行投标，但目前项目信息较少，对于客户端属于前期的调研阶段。由于客户要求的时间较短，无法延期。且采购这段时间忙于投标其他项目，因此预估价格晚于客户逾期3天后，由于客户强调一定要再次时间收到预算，所以不利于后续跟进</t>
  </si>
  <si>
    <t>C00008345｜司斌｜粮食｜Probat国内咖啡仓方仓 |方案V1</t>
  </si>
  <si>
    <t>C00009745｜司斌｜工业｜伊朗水净化项目石灰仓|方案V1</t>
  </si>
  <si>
    <t>对接公司是工程公司，项目所处阶段为价格收集，由于霍尔木兹海峡现状，我认为在战争结束前不可能上</t>
  </si>
  <si>
    <t>C00009743｜司斌｜工业｜马来西亚熟料料场|方案V1</t>
  </si>
  <si>
    <t>最终业主是马来西亚的三大水泥厂之一，此项目在前期调研，想要知道预算，需要管理层对此进行评估再判断是否上项目</t>
  </si>
  <si>
    <t>C00009593｜王伟超｜粮食｜乌干达生咖啡豆筒仓项目｜方案V1</t>
  </si>
  <si>
    <t>2026-07-04 11:12:02</t>
  </si>
  <si>
    <t>2026-07-04 11:08:00</t>
  </si>
  <si>
    <t>2026-07-24 17:17:40</t>
  </si>
  <si>
    <t>20.3天</t>
  </si>
  <si>
    <t>王伟超</t>
  </si>
  <si>
    <t>已经和客户开过视频会，发了方案和报价，但不是最终业主，而且业主表示目前是在准备阶段，这次询价可能是为了了解大概需要多少预算</t>
  </si>
  <si>
    <t>C00009131｜王伟超｜粮食｜南非5个5000吨玉米筒仓项目｜方案V1</t>
  </si>
  <si>
    <t>2026-04-23 15:28:48</t>
  </si>
  <si>
    <t>2026-04-23 15:25:00</t>
  </si>
  <si>
    <t>2026-04-29 19:00:00</t>
  </si>
  <si>
    <t>2026-04-29 16:34:09</t>
  </si>
  <si>
    <t>已发方案和报价竞标，有三个竞争对手，对方预算远低于报价，属于价格敏感型客户</t>
  </si>
  <si>
    <t>价格超过业主预期</t>
  </si>
  <si>
    <t>C00009044｜王伟超｜粮食｜哥斯达黎加室外2个175吨，室内32个咖啡豆仓｜方案V5 | 重点项目</t>
  </si>
  <si>
    <t>2026-03-26 09:37:39</t>
  </si>
  <si>
    <t>2026-03-26 09:34:00</t>
  </si>
  <si>
    <t>2026-07-14 19:25:48</t>
  </si>
  <si>
    <t>110.4天</t>
  </si>
  <si>
    <t>110.5天</t>
  </si>
  <si>
    <t>已参观过公司和工厂，已发方案和报价，并且更新过多次方案与报价，正在调整图纸的细节变化，并且需要契合对方厂房中设备的安装位置，等待对方回复</t>
  </si>
  <si>
    <t>C00008931｜王伟超｜工业｜科威特4个4000吨水泥螺旋卷边仓｜方案V1</t>
  </si>
  <si>
    <t>2026-02-28 09:19:53</t>
  </si>
  <si>
    <t>2026-02-28 09:12:00</t>
  </si>
  <si>
    <t>2026-03-11 19:00:00</t>
  </si>
  <si>
    <t>2026-03-12 08:25:49</t>
  </si>
  <si>
    <t>11.10天</t>
  </si>
  <si>
    <t>已发方案,发完方案邮件持续跟进后无回复，打电话询问后表示项目搁置</t>
  </si>
  <si>
    <t>C00006712｜王伟超｜工业｜菲律宾达沃料场项目｜方案V1</t>
  </si>
  <si>
    <t>与陈总沟通后，最终决定让我继续跟进，已经发送过方案与报价，但是根据料场的跨度过大，结构计算重量偏大，所以价格超过对方的预期，中间商正在与业主了解更多信息</t>
  </si>
  <si>
    <t>C00006335 | 王伟乐 | 粮食|  苏丹农业银行粮储项目 | 方案 V1|</t>
  </si>
  <si>
    <t>2026-06-26 09:04:44</t>
  </si>
  <si>
    <t>2026-06-26 08:00:00</t>
  </si>
  <si>
    <t>2026-07-10 19:00:00</t>
  </si>
  <si>
    <t>2026-07-10 18:03:45</t>
  </si>
  <si>
    <t>14.5天</t>
  </si>
  <si>
    <t>王伟乐</t>
  </si>
  <si>
    <t>还在进行预算的报价，土建的报价需要预估</t>
  </si>
  <si>
    <t>C00006274| 王伟乐|工业|2026.6.15 |埃及 4*3000t 螺旋咬口仓项目| 方案V1</t>
  </si>
  <si>
    <t>2026-06-15 21:30:10</t>
  </si>
  <si>
    <t>2026-06-15 20:25:00</t>
  </si>
  <si>
    <t>2026-06-17 21:25:00</t>
  </si>
  <si>
    <t>2026-06-17 18:02:28</t>
  </si>
  <si>
    <t>2天</t>
  </si>
  <si>
    <t>已报价，客户未反馈报价的情况，后期可以继续跟进</t>
  </si>
  <si>
    <t>C00008344 |王伟乐|工业| 新加披裕廊港12*10000t水泥钢板仓项目|方案V1|重点项目</t>
  </si>
  <si>
    <t>2026-06-03 10:14:18</t>
  </si>
  <si>
    <t>2026-06-23 09:41:00</t>
  </si>
  <si>
    <t>2026-06-24 21:41:00</t>
  </si>
  <si>
    <t>2026-06-24 14:51:16</t>
  </si>
  <si>
    <t>1.3天</t>
  </si>
  <si>
    <t>在更新方案和报价给咨询公司做前期招投标准备，目前报了一版最新的价格，还在澄清</t>
  </si>
  <si>
    <t>C00007643  |王伟乐| 工业|2026.5.26 德国方仓和钢构项目 |方案V1|</t>
  </si>
  <si>
    <t>2026-05-26 17:01:53</t>
  </si>
  <si>
    <t>2026-05-26 15:47:00</t>
  </si>
  <si>
    <t>2026-06-01 20:47:00</t>
  </si>
  <si>
    <t>2026-06-01 15:28:38</t>
  </si>
  <si>
    <t>已报价，客户未反馈报价的情况，大概率没有后续了</t>
  </si>
  <si>
    <t>客户未反馈</t>
  </si>
  <si>
    <t>C00009143| 王伟乐 |粮食|菲律宾 3*1000t 玉米仓项目|方案V1</t>
  </si>
  <si>
    <t>2026-04-15 16:49:29</t>
  </si>
  <si>
    <t>2026-04-15 16:42:00</t>
  </si>
  <si>
    <t>2026-04-21 20:00:00</t>
  </si>
  <si>
    <t>2026-04-21 18:37:40</t>
  </si>
  <si>
    <t>已报价（5月份）这个报给当地的一个华人，她说问客户跟进，后续再联系没有更新，不反馈</t>
  </si>
  <si>
    <t>C00009014 | 王伟乐 |  工业 |2026.4.2 塞舌尔 4*1500t 水泥码头项目 |  方案V1</t>
  </si>
  <si>
    <t>2026-04-02 11:30:09</t>
  </si>
  <si>
    <t>2026-04-11 08:50:00</t>
  </si>
  <si>
    <t>2026-04-16 23:50:00</t>
  </si>
  <si>
    <t>2026-05-29 09:03:53</t>
  </si>
  <si>
    <t>5.6天</t>
  </si>
  <si>
    <t>48.1天</t>
  </si>
  <si>
    <t>已报方案，业主是当地的工程公司，前面的沟通比较顺畅，出了一个基础性方案后失联，没有报价都失联了，</t>
  </si>
  <si>
    <t>C00009041 -2026.3.20 王伟乐 沙特 1*2000t 水泥仓 项目 -工业-V1</t>
  </si>
  <si>
    <t>2026-03-20 09:54:58</t>
  </si>
  <si>
    <t>2026-03-28 08:35:00</t>
  </si>
  <si>
    <t>2026-03-28 18:35:00</t>
  </si>
  <si>
    <t>2026-03-28 18:15:36</t>
  </si>
  <si>
    <t>0.5天</t>
  </si>
  <si>
    <t>已报价，报价是给中国的一个公司在沙特的项目，没有收到报价后的反馈</t>
  </si>
  <si>
    <t>C00007413|王伟乐|工业|摩洛哥CIMAF 1*700t 水泥装配仓项目|方案V7|重点项目</t>
  </si>
  <si>
    <t>2026-03-19 09:46:19</t>
  </si>
  <si>
    <t>2026-07-21 10:13:00</t>
  </si>
  <si>
    <t>2026-07-24 21:52:00</t>
  </si>
  <si>
    <t>2026-07-27 11:50:42</t>
  </si>
  <si>
    <t>已报价，还在继续跟进，属于毛里塔尼亚老客户总部的项目</t>
  </si>
  <si>
    <t>C00004619｜尹韬越｜工业｜俄罗斯苏亚克公司磷矿石矿浆磨制项目｜方案V1</t>
  </si>
  <si>
    <t>2026-05-27 11:23:26</t>
  </si>
  <si>
    <t>2026-04-15 11:20:00</t>
  </si>
  <si>
    <t>2026-06-02 18:00:00</t>
  </si>
  <si>
    <t>2026-06-02 09:17:29</t>
  </si>
  <si>
    <t>48.3天</t>
  </si>
  <si>
    <t>47.10天</t>
  </si>
  <si>
    <t>尹韬越</t>
  </si>
  <si>
    <t>已报，尚未回复</t>
  </si>
  <si>
    <t>其他</t>
  </si>
  <si>
    <t>C00009303｜尹韬越｜工业｜乌兹别克斯坦尼什巴什一期储煤场末煤仓项目｜方案V1</t>
  </si>
  <si>
    <t>2026-05-21 15:24:20</t>
  </si>
  <si>
    <t>2026-05-21 15:20:00</t>
  </si>
  <si>
    <t>2026-07-31 12:00:00</t>
  </si>
  <si>
    <t>70.9天</t>
  </si>
  <si>
    <t>已报价</t>
  </si>
  <si>
    <t>C00009297｜尹韬越｜粮食｜格鲁吉亚第比利斯3×1000吨玉米仓｜方案V1</t>
  </si>
  <si>
    <t>2026-05-21 09:03:53</t>
  </si>
  <si>
    <t>2026-05-21 08:56:00</t>
  </si>
  <si>
    <t>2026-05-28 08:05:53</t>
  </si>
  <si>
    <t>已报方案</t>
  </si>
  <si>
    <t>C00009222｜尹韬越｜工业｜哈萨克斯坦乌拉尔斯克小型粮食转运站项目｜方案V1</t>
  </si>
  <si>
    <t>2026-05-06 15:34:01</t>
  </si>
  <si>
    <t>2026-05-06 15:31:00</t>
  </si>
  <si>
    <t>2026-05-23 18:00:00</t>
  </si>
  <si>
    <t>2026-05-23 19:19:25</t>
  </si>
  <si>
    <t>17.1天</t>
  </si>
  <si>
    <t>17.2天</t>
  </si>
  <si>
    <t>C00008577｜尹韬越｜粮食｜哈萨克斯坦4×3500吨粮食项目｜方案V2</t>
  </si>
  <si>
    <t>2026-04-30 11:57:45</t>
  </si>
  <si>
    <t>2026-04-30 11:55:00</t>
  </si>
  <si>
    <t>2026-05-11 19:00:00</t>
  </si>
  <si>
    <t>2026-05-11 18:30:09</t>
  </si>
  <si>
    <t>8.3天</t>
  </si>
  <si>
    <t>已报方案，目前对方在征地</t>
  </si>
  <si>
    <t>尹韬越 哈萨克斯坦4×3000t粮食项目 方案1</t>
  </si>
  <si>
    <t>2026-03-30 09:36:46</t>
  </si>
  <si>
    <t>2026-03-30 09:34:00</t>
  </si>
  <si>
    <t>2026-04-07 17:00:00</t>
  </si>
  <si>
    <t>2026-04-07 15:52:45</t>
  </si>
  <si>
    <t>价格</t>
  </si>
  <si>
    <t>C00008577 尹韬越哈萨克斯坦4×3500吨粮食项目 方案1</t>
  </si>
  <si>
    <t>2026-03-30 09:24:53</t>
  </si>
  <si>
    <t>2026-03-30 09:10:00</t>
  </si>
  <si>
    <t>2026-04-01 17:00:00</t>
  </si>
  <si>
    <t>2026-04-01 16:51:16</t>
  </si>
  <si>
    <t>20260228 尹韬越哈萨克斯坦1×5000t粮仓项目</t>
  </si>
  <si>
    <t>2026-02-28 11:17:44</t>
  </si>
  <si>
    <t>2026-02-28 11:12:00</t>
  </si>
  <si>
    <t>2026-03-03 17:00:00</t>
  </si>
  <si>
    <t>2026-03-06 09:36:14</t>
  </si>
  <si>
    <t>20260202 尹韬越哈萨克斯坦70000吨粮食筒仓</t>
  </si>
  <si>
    <t>2026-02-02 17:21:27</t>
  </si>
  <si>
    <t>2026-02-02 08:00:00</t>
  </si>
  <si>
    <t>2026-02-08 22:00:00</t>
  </si>
  <si>
    <t>2026-02-09 07:59:08</t>
  </si>
  <si>
    <t>6.6天</t>
  </si>
  <si>
    <t>C00009853｜尹韬越｜工业｜哈萨克斯坦阿特劳4×800t水泥仓项目｜方案V1</t>
  </si>
  <si>
    <t>跟进</t>
  </si>
  <si>
    <t>目前客户失联状态</t>
  </si>
  <si>
    <t>C00009761｜尹韬越｜工业｜哈萨克斯坦阿拉木图1×1000t水泥仓项目｜方案V1</t>
  </si>
  <si>
    <t>已报方案，跟进</t>
  </si>
  <si>
    <t>C00009518｜尹韬越｜粮食｜哈萨克斯坦钢管塔架项目｜方案V1</t>
  </si>
  <si>
    <t>C00009520｜尹韬越｜粮食｜格鲁吉亚哈舒里30吨/24小时面粉厂配套项目｜方案V1</t>
  </si>
  <si>
    <t>20260121张硕 苏里南糙米碾白线配套筒仓项目</t>
  </si>
  <si>
    <t>2026-01-21 15:23:21</t>
  </si>
  <si>
    <t>2026-01-21 12:28:00</t>
  </si>
  <si>
    <t>2026-01-23 18:06:39</t>
  </si>
  <si>
    <t>张硕</t>
  </si>
  <si>
    <t>20260108张硕 比利时Sibelco法国工厂石英砂储存和火车发放项目</t>
  </si>
  <si>
    <t>2026-01-08 12:03:34</t>
  </si>
  <si>
    <t>2026-01-08 10:50:00</t>
  </si>
  <si>
    <t>2026-01-13 19:50:00</t>
  </si>
  <si>
    <t>2026-01-13 18:18:54</t>
  </si>
  <si>
    <t>20260105张硕 哈里发港粮食码头来粮接收及储存项目</t>
  </si>
  <si>
    <t>2026-01-05 17:58:21</t>
  </si>
  <si>
    <t>2026-01-05 16:51:00</t>
  </si>
  <si>
    <t>2026-01-22 12:54:00</t>
  </si>
  <si>
    <t>2026-01-22 14:51:39</t>
  </si>
  <si>
    <t>16.9天</t>
  </si>
  <si>
    <t>16.10天</t>
  </si>
  <si>
    <t>此方案任务为陈总阿联酋哈利法港粮食码头项目发起，工艺工程师出具方案给陈总后，我未再做跟进</t>
  </si>
  <si>
    <t>C00009858 | 张硕 | 粮食 | 斯里兰卡汉班托塔Golden Harvest Mill3x1500MT小麦仓扩建项目</t>
  </si>
  <si>
    <t>业主收到3座仓的正式报价后没有直接给出评论意见，仅回复说以将报价上呈给公司总裁，判断其从多方供应商处比较报价后再做决定，跟进策略对业主按保持每周频次跟进，不表现急切情绪；另从近期开发的当地代理处侧面了解项目进展</t>
  </si>
  <si>
    <t>C00009866 | 张硕｜工业｜印尼工程公司PT REXLINE生物质30m³定量料斗项目｜方案V1</t>
  </si>
  <si>
    <t>客户为印尼本地工程公司，在收到我方的方案和设备清单（不含报价），与其沟通对方案图纸和设备清单参数确认时，对方多次无视邮件和Whatsapp信息，初步判定为客户可能已收到合适的报价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</si>
</sst>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</font>
    <font>
      <sz val="10"/>
      <color theme="1"/>
      <name val="微软雅黑"/>
      <charset val="134"/>
    </font>
    <font>
      <b/>
      <sz val="10"/>
      <color theme="0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/>
    <xf numFmtId="0" fontId="1" fillId="4" borderId="1" xfId="0" applyFont="1" applyFill="1" applyBorder="1" applyAlignment="1">
      <alignment horizontal="left"/>
    </xf>
    <xf numFmtId="0" fontId="1" fillId="0" borderId="1" xfId="0" applyFont="1" applyBorder="1"/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/>
    <xf numFmtId="0" fontId="1" fillId="4" borderId="2" xfId="0" applyFont="1" applyFill="1" applyBorder="1"/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Lenovo\Downloads\08-18_15_02_51&#32479;&#35745;&#23548;&#20986;&#32467;&#26524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3454;&#33635;&#24037;&#20316;-&#26472;&#36229;\&#20020;&#26102;\&#26041;&#26696;&#25552;&#25253;&#20219;&#21153;&#65288;&#25130;&#27490;8&#26376;17&#26085;&#65289;-&#38472;&#36745;-&#24050;&#26356;&#26032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任务标题</v>
          </cell>
          <cell r="B1" t="str">
            <v>任务类型</v>
          </cell>
          <cell r="C1" t="str">
            <v>逾期天数</v>
          </cell>
          <cell r="D1" t="str">
            <v>创建时间</v>
          </cell>
          <cell r="E1" t="str">
            <v>计划开始时间</v>
          </cell>
          <cell r="F1" t="str">
            <v>计划结束时间</v>
          </cell>
          <cell r="G1" t="str">
            <v>实际完成时间</v>
          </cell>
          <cell r="H1" t="str">
            <v>计划工时</v>
          </cell>
          <cell r="I1" t="str">
            <v>实际工时</v>
          </cell>
          <cell r="J1" t="str">
            <v>创建人</v>
          </cell>
        </row>
        <row r="2">
          <cell r="A2" t="str">
            <v>20260817晨光生物石粉配料</v>
          </cell>
          <cell r="B2" t="str">
            <v>标准任务</v>
          </cell>
          <cell r="C2" t="str">
            <v/>
          </cell>
          <cell r="D2" t="str">
            <v>2026-08-17 18:17:44</v>
          </cell>
          <cell r="E2" t="str">
            <v>2026-08-18 08:00:00</v>
          </cell>
          <cell r="F2" t="str">
            <v>2026-08-18 17:00:00</v>
          </cell>
          <cell r="G2" t="str">
            <v/>
          </cell>
          <cell r="H2" t="str">
            <v>0.4天</v>
          </cell>
          <cell r="I2" t="str">
            <v/>
          </cell>
          <cell r="J2" t="str">
            <v>李永祥</v>
          </cell>
        </row>
        <row r="3">
          <cell r="A3" t="str">
            <v>浙江森鑫混凝土搅拌站项目</v>
          </cell>
          <cell r="B3" t="str">
            <v>标准任务</v>
          </cell>
          <cell r="C3" t="str">
            <v/>
          </cell>
          <cell r="D3" t="str">
            <v>2026-08-17 17:19:16</v>
          </cell>
          <cell r="E3" t="str">
            <v>2026-08-18 09:00:00</v>
          </cell>
          <cell r="F3" t="str">
            <v>2026-08-19 17:00:00</v>
          </cell>
          <cell r="G3" t="str">
            <v/>
          </cell>
          <cell r="H3" t="str">
            <v>2天</v>
          </cell>
          <cell r="I3" t="str">
            <v/>
          </cell>
          <cell r="J3" t="str">
            <v>陈磊</v>
          </cell>
        </row>
        <row r="4">
          <cell r="A4" t="str">
            <v>C00007247｜陈子凡｜工业｜MAK砖厂现有气力输送系统更新项目 ｜方案V1 | 报价V1 | 重点项目</v>
          </cell>
          <cell r="B4" t="str">
            <v>标准任务</v>
          </cell>
          <cell r="C4" t="str">
            <v/>
          </cell>
          <cell r="D4" t="str">
            <v>2026-08-17 10:15:54</v>
          </cell>
          <cell r="E4" t="str">
            <v>2026-08-17 09:14:00</v>
          </cell>
          <cell r="F4" t="str">
            <v>2026-08-19 12:30:00</v>
          </cell>
          <cell r="G4" t="str">
            <v/>
          </cell>
          <cell r="H4" t="str">
            <v>2.2天</v>
          </cell>
          <cell r="I4" t="str">
            <v/>
          </cell>
          <cell r="J4" t="str">
            <v>陈子凡</v>
          </cell>
        </row>
        <row r="5">
          <cell r="A5" t="str">
            <v>C00009858|张硕|粮食|斯里兰卡汉班托塔Golden Harvest Mill3x1500MT小麦仓扩建项目</v>
          </cell>
          <cell r="B5" t="str">
            <v>标准任务</v>
          </cell>
          <cell r="C5" t="str">
            <v>0.1天</v>
          </cell>
          <cell r="D5" t="str">
            <v>2026-08-17 09:13:29</v>
          </cell>
          <cell r="E5" t="str">
            <v>2026-08-17 09:11:00</v>
          </cell>
          <cell r="F5" t="str">
            <v>2026-08-17 16:00:00</v>
          </cell>
          <cell r="G5" t="str">
            <v>2026-08-17 16:16:06</v>
          </cell>
          <cell r="H5" t="str">
            <v>0.3天</v>
          </cell>
          <cell r="I5" t="str">
            <v>0.3天</v>
          </cell>
          <cell r="J5" t="str">
            <v>张硕</v>
          </cell>
        </row>
        <row r="6">
          <cell r="A6" t="str">
            <v>C00008180｜陈辉｜工业｜Lanwa水泥混拌系统｜方案V1 | 重点项目</v>
          </cell>
          <cell r="B6" t="str">
            <v>标准任务</v>
          </cell>
          <cell r="C6" t="str">
            <v/>
          </cell>
          <cell r="D6" t="str">
            <v>2026-08-17 09:00:35</v>
          </cell>
          <cell r="E6" t="str">
            <v>2026-08-17 08:56:00</v>
          </cell>
          <cell r="F6" t="str">
            <v>2026-08-18 19:00:00</v>
          </cell>
          <cell r="G6" t="str">
            <v/>
          </cell>
          <cell r="H6" t="str">
            <v>1.5天</v>
          </cell>
          <cell r="I6" t="str">
            <v/>
          </cell>
          <cell r="J6" t="str">
            <v>陈辉</v>
          </cell>
        </row>
        <row r="7">
          <cell r="A7" t="str">
            <v>C00009949｜司斌｜粮食｜阿联酋饲料颗粒，项目在俄罗斯 |方案V1</v>
          </cell>
          <cell r="B7" t="str">
            <v>标准任务</v>
          </cell>
          <cell r="C7" t="str">
            <v/>
          </cell>
          <cell r="D7" t="str">
            <v>2026-08-15 11:19:28</v>
          </cell>
          <cell r="E7" t="str">
            <v>2026-08-15 11:09:00</v>
          </cell>
          <cell r="F7" t="str">
            <v>2026-08-19 19:00:00</v>
          </cell>
          <cell r="G7" t="str">
            <v/>
          </cell>
          <cell r="H7" t="str">
            <v>4.3天</v>
          </cell>
          <cell r="I7" t="str">
            <v/>
          </cell>
          <cell r="J7" t="str">
            <v>司斌</v>
          </cell>
        </row>
        <row r="8">
          <cell r="A8" t="str">
            <v>德国伊堡装配仓</v>
          </cell>
          <cell r="B8" t="str">
            <v>标准任务</v>
          </cell>
          <cell r="C8" t="str">
            <v/>
          </cell>
          <cell r="D8" t="str">
            <v>2026-08-15 09:04:33</v>
          </cell>
          <cell r="E8" t="str">
            <v>2026-08-15 09:03:00</v>
          </cell>
          <cell r="F8" t="str">
            <v>2026-08-17 17:00:00</v>
          </cell>
          <cell r="G8" t="str">
            <v>2026-08-17 10:59:38</v>
          </cell>
          <cell r="H8" t="str">
            <v>2.3天</v>
          </cell>
          <cell r="I8" t="str">
            <v>2.1天</v>
          </cell>
          <cell r="J8" t="str">
            <v>李永祥</v>
          </cell>
        </row>
        <row r="9">
          <cell r="A9" t="str">
            <v>20260814中天装配仓报价</v>
          </cell>
          <cell r="B9" t="str">
            <v>标准任务</v>
          </cell>
          <cell r="C9" t="str">
            <v/>
          </cell>
          <cell r="D9" t="str">
            <v>2026-08-14 18:07:29</v>
          </cell>
          <cell r="E9" t="str">
            <v>2026-08-15 08:00:00</v>
          </cell>
          <cell r="F9" t="str">
            <v>2026-08-15 17:00:00</v>
          </cell>
          <cell r="G9" t="str">
            <v>2026-08-15 11:44:49</v>
          </cell>
          <cell r="H9" t="str">
            <v>0.4天</v>
          </cell>
          <cell r="I9" t="str">
            <v>0.2天</v>
          </cell>
          <cell r="J9" t="str">
            <v>李永祥</v>
          </cell>
        </row>
        <row r="10">
          <cell r="A10" t="str">
            <v>C00006497｜陈辉｜粮食｜埃及面粉项目｜报价V1（仅仓和钢构）</v>
          </cell>
          <cell r="B10" t="str">
            <v>标准任务</v>
          </cell>
          <cell r="C10" t="str">
            <v>2.9天</v>
          </cell>
          <cell r="D10" t="str">
            <v>2026-08-14 09:13:06</v>
          </cell>
          <cell r="E10" t="str">
            <v>2026-08-14 09:09:00</v>
          </cell>
          <cell r="F10" t="str">
            <v>2026-08-15 19:00:00</v>
          </cell>
          <cell r="G10" t="str">
            <v/>
          </cell>
          <cell r="H10" t="str">
            <v>1.4天</v>
          </cell>
          <cell r="I10" t="str">
            <v/>
          </cell>
          <cell r="J10" t="str">
            <v>陈辉</v>
          </cell>
        </row>
        <row r="11">
          <cell r="A11" t="str">
            <v>山东新和成药业电石仓项目工艺规划设计</v>
          </cell>
          <cell r="B11" t="str">
            <v>标准任务</v>
          </cell>
          <cell r="C11" t="str">
            <v/>
          </cell>
          <cell r="D11" t="str">
            <v>2026-08-13 17:44:42</v>
          </cell>
          <cell r="E11" t="str">
            <v>2026-08-14 09:00:00</v>
          </cell>
          <cell r="F11" t="str">
            <v>2026-08-18 18:00:00</v>
          </cell>
          <cell r="G11" t="str">
            <v/>
          </cell>
          <cell r="H11" t="str">
            <v>4.4天</v>
          </cell>
          <cell r="I11" t="str">
            <v/>
          </cell>
          <cell r="J11" t="str">
            <v>陈磊</v>
          </cell>
        </row>
        <row r="12">
          <cell r="A12" t="str">
            <v>Manila01｜陈子凡｜粮食｜菲律宾4x2000吨锥底仓｜清单V1 | 报价清单</v>
          </cell>
          <cell r="B12" t="str">
            <v>标准任务</v>
          </cell>
          <cell r="C12" t="str">
            <v/>
          </cell>
          <cell r="D12" t="str">
            <v>2026-08-13 17:28:50</v>
          </cell>
          <cell r="E12" t="str">
            <v>2026-08-14 08:00:00</v>
          </cell>
          <cell r="F12" t="str">
            <v>2026-08-14 18:00:00</v>
          </cell>
          <cell r="G12" t="str">
            <v>2026-08-13 18:46:17</v>
          </cell>
          <cell r="H12" t="str">
            <v>1天</v>
          </cell>
          <cell r="I12" t="str">
            <v>0.6天</v>
          </cell>
          <cell r="J12" t="str">
            <v>陈子凡</v>
          </cell>
        </row>
        <row r="13">
          <cell r="A13" t="str">
            <v>C00009858 | 张硕 | 粮食 | 斯里兰卡汉班托塔Golden Harvest Mill3x1500MT小麦仓扩建项目</v>
          </cell>
          <cell r="B13" t="str">
            <v>标准任务</v>
          </cell>
          <cell r="C13" t="str">
            <v/>
          </cell>
          <cell r="D13" t="str">
            <v>2026-08-13 16:24:59</v>
          </cell>
          <cell r="E13" t="str">
            <v>2026-08-13 16:22:00</v>
          </cell>
          <cell r="F13" t="str">
            <v>2026-08-15 19:30:00</v>
          </cell>
          <cell r="G13" t="str">
            <v>2026-08-15 16:23:10</v>
          </cell>
          <cell r="H13" t="str">
            <v>2.2天</v>
          </cell>
          <cell r="I13" t="str">
            <v>2.1天</v>
          </cell>
          <cell r="J13" t="str">
            <v>张硕</v>
          </cell>
        </row>
        <row r="14">
          <cell r="A14" t="str">
            <v>C00009866 | 张硕｜工业｜印尼工程公司PT REXLINE生物质30m³定量料斗项目｜方案V1</v>
          </cell>
          <cell r="B14" t="str">
            <v>标准任务</v>
          </cell>
          <cell r="C14" t="str">
            <v/>
          </cell>
          <cell r="D14" t="str">
            <v>2026-08-13 16:20:32</v>
          </cell>
          <cell r="E14" t="str">
            <v/>
          </cell>
          <cell r="F14" t="str">
            <v/>
          </cell>
          <cell r="G14" t="str">
            <v/>
          </cell>
          <cell r="H14" t="str">
            <v>2.1天</v>
          </cell>
          <cell r="I14" t="str">
            <v/>
          </cell>
          <cell r="J14" t="str">
            <v>张硕</v>
          </cell>
        </row>
        <row r="15">
          <cell r="A15" t="str">
            <v>C00006712｜王伟超｜工业｜菲律宾达沃料场项目｜方案V1</v>
          </cell>
          <cell r="B15" t="str">
            <v>标准任务</v>
          </cell>
          <cell r="C15" t="str">
            <v/>
          </cell>
          <cell r="D15" t="str">
            <v>2026-08-13 11:28:59</v>
          </cell>
          <cell r="E15" t="str">
            <v>2026-08-13 11:25:00</v>
          </cell>
          <cell r="F15" t="str">
            <v>2026-08-21 17:00:00</v>
          </cell>
          <cell r="G15" t="str">
            <v/>
          </cell>
          <cell r="H15" t="str">
            <v>8.3天</v>
          </cell>
          <cell r="I15" t="str">
            <v/>
          </cell>
          <cell r="J15" t="str">
            <v>王伟超</v>
          </cell>
        </row>
        <row r="16">
          <cell r="A16" t="str">
            <v>C00009506|崔阳|粮食| RUSAGRO大豆深度加工综合生产线|方案V1</v>
          </cell>
          <cell r="B16" t="str">
            <v>标准任务</v>
          </cell>
          <cell r="C16" t="str">
            <v/>
          </cell>
          <cell r="D16" t="str">
            <v>2026-08-13 11:02:00</v>
          </cell>
          <cell r="E16" t="str">
            <v>2026-08-13 11:00:00</v>
          </cell>
          <cell r="F16" t="str">
            <v>2026-08-18 22:00:00</v>
          </cell>
          <cell r="G16" t="str">
            <v/>
          </cell>
          <cell r="H16" t="str">
            <v>5.5天</v>
          </cell>
          <cell r="I16" t="str">
            <v/>
          </cell>
          <cell r="J16" t="str">
            <v>王楠</v>
          </cell>
        </row>
        <row r="17">
          <cell r="A17" t="str">
            <v>C00008345｜司斌｜粮食｜Probat国内咖啡仓方仓 |方案V1</v>
          </cell>
          <cell r="B17" t="str">
            <v>标准任务</v>
          </cell>
          <cell r="C17" t="str">
            <v/>
          </cell>
          <cell r="D17" t="str">
            <v>2026-08-13 10:49:00</v>
          </cell>
          <cell r="E17" t="str">
            <v>2026-08-13 10:48:00</v>
          </cell>
          <cell r="F17" t="str">
            <v>2026-08-19 19:00:00</v>
          </cell>
          <cell r="G17" t="str">
            <v/>
          </cell>
          <cell r="H17" t="str">
            <v>6.4天</v>
          </cell>
          <cell r="I17" t="str">
            <v/>
          </cell>
          <cell r="J17" t="str">
            <v>司斌</v>
          </cell>
        </row>
        <row r="18">
          <cell r="A18" t="str">
            <v>C00001611| 马鹏飞 | 工业 | 墨西哥拉法基1*500吨水泥仓项目 | 方案V1 |</v>
          </cell>
          <cell r="B18" t="str">
            <v>标准任务</v>
          </cell>
          <cell r="C18" t="str">
            <v/>
          </cell>
          <cell r="D18" t="str">
            <v>2026-08-13 10:04:27</v>
          </cell>
          <cell r="E18" t="str">
            <v>2026-08-13 10:00:00</v>
          </cell>
          <cell r="F18" t="str">
            <v>2026-08-18 18:00:00</v>
          </cell>
          <cell r="G18" t="str">
            <v>2026-08-18 14:20:53</v>
          </cell>
          <cell r="H18" t="str">
            <v>5.3天</v>
          </cell>
          <cell r="I18" t="str">
            <v>5.2天</v>
          </cell>
          <cell r="J18" t="str">
            <v>马鹏飞</v>
          </cell>
        </row>
        <row r="19">
          <cell r="A19" t="str">
            <v>Manila01｜陈子凡｜粮食｜菲律宾4x2000吨锥底仓｜清单V1 | 报价清单</v>
          </cell>
          <cell r="B19" t="str">
            <v>标准任务</v>
          </cell>
          <cell r="C19" t="str">
            <v/>
          </cell>
          <cell r="D19" t="str">
            <v>2026-08-13 08:56:31</v>
          </cell>
          <cell r="E19" t="str">
            <v>2026-08-13 08:54:00</v>
          </cell>
          <cell r="F19" t="str">
            <v>2026-08-14 15:00:00</v>
          </cell>
          <cell r="G19" t="str">
            <v>2026-08-14 12:40:40</v>
          </cell>
          <cell r="H19" t="str">
            <v>1.3天</v>
          </cell>
          <cell r="I19" t="str">
            <v>1.2天</v>
          </cell>
          <cell r="J19" t="str">
            <v>陈子凡</v>
          </cell>
        </row>
        <row r="20">
          <cell r="A20" t="str">
            <v>C00009921｜苗恒｜工业｜伊拉克2x10000吨水泥仓项目｜方案V1</v>
          </cell>
          <cell r="B20" t="str">
            <v>标准任务</v>
          </cell>
          <cell r="C20" t="str">
            <v/>
          </cell>
          <cell r="D20" t="str">
            <v>2026-08-12 17:10:51</v>
          </cell>
          <cell r="E20" t="str">
            <v>2026-08-15 15:06:00</v>
          </cell>
          <cell r="F20" t="str">
            <v>2026-08-18 18:30:00</v>
          </cell>
          <cell r="G20" t="str">
            <v/>
          </cell>
          <cell r="H20" t="str">
            <v>3.2天</v>
          </cell>
          <cell r="I20" t="str">
            <v/>
          </cell>
          <cell r="J20" t="str">
            <v>苗恒</v>
          </cell>
        </row>
        <row r="21">
          <cell r="A21" t="str">
            <v>20260812中天装配仓</v>
          </cell>
          <cell r="B21" t="str">
            <v>标准任务</v>
          </cell>
          <cell r="C21" t="str">
            <v/>
          </cell>
          <cell r="D21" t="str">
            <v>2026-08-12 15:15:07</v>
          </cell>
          <cell r="E21" t="str">
            <v>2026-08-12 15:15:00</v>
          </cell>
          <cell r="F21" t="str">
            <v>2026-08-14 17:00:00</v>
          </cell>
          <cell r="G21" t="str">
            <v>2026-08-14 15:25:30</v>
          </cell>
          <cell r="H21" t="str">
            <v>2.1天</v>
          </cell>
          <cell r="I21" t="str">
            <v>2.1天</v>
          </cell>
          <cell r="J21" t="str">
            <v>李永祥</v>
          </cell>
        </row>
        <row r="22">
          <cell r="A22" t="str">
            <v>260368｜陈磊｜工业｜TCL四川环科年产20万吨再生氧化铝原料项目｜方案V1｜报价V1</v>
          </cell>
          <cell r="B22" t="str">
            <v>标准任务</v>
          </cell>
          <cell r="C22" t="str">
            <v/>
          </cell>
          <cell r="D22" t="str">
            <v>2026-08-11 15:27:58</v>
          </cell>
          <cell r="E22" t="str">
            <v>2026-08-12 08:00:00</v>
          </cell>
          <cell r="F22" t="str">
            <v>2026-08-12 18:00:00</v>
          </cell>
          <cell r="G22" t="str">
            <v>2026-08-12 16:13:10</v>
          </cell>
          <cell r="H22" t="str">
            <v>0.4天</v>
          </cell>
          <cell r="I22" t="str">
            <v>0.4天</v>
          </cell>
          <cell r="J22" t="str">
            <v>陈磊</v>
          </cell>
        </row>
        <row r="23">
          <cell r="A23" t="str">
            <v>C00009518｜尹韬越｜粮食｜哈萨克斯坦钢管塔架项目｜报价V1</v>
          </cell>
          <cell r="B23" t="str">
            <v>标准任务</v>
          </cell>
          <cell r="C23" t="str">
            <v/>
          </cell>
          <cell r="D23" t="str">
            <v>2026-08-11 10:59:27</v>
          </cell>
          <cell r="E23" t="str">
            <v>2026-08-11 10:55:00</v>
          </cell>
          <cell r="F23" t="str">
            <v>2026-08-14 17:00:00</v>
          </cell>
          <cell r="G23" t="str">
            <v>2026-08-12 08:43:44</v>
          </cell>
          <cell r="H23" t="str">
            <v>3.3天</v>
          </cell>
          <cell r="I23" t="str">
            <v>0.10天</v>
          </cell>
          <cell r="J23" t="str">
            <v>尹韬越</v>
          </cell>
        </row>
        <row r="24">
          <cell r="A24" t="str">
            <v>C00009761｜尹韬越｜工业｜哈萨克斯坦阿拉木图1×1000t水泥仓项目｜报价V1</v>
          </cell>
          <cell r="B24" t="str">
            <v>标准任务</v>
          </cell>
          <cell r="C24" t="str">
            <v/>
          </cell>
          <cell r="D24" t="str">
            <v>2026-08-11 10:31:16</v>
          </cell>
          <cell r="E24" t="str">
            <v>2026-08-11 10:00:00</v>
          </cell>
          <cell r="F24" t="str">
            <v>2026-08-14 17:00:00</v>
          </cell>
          <cell r="G24" t="str">
            <v>2026-08-14 08:43:52</v>
          </cell>
          <cell r="H24" t="str">
            <v>3.3天</v>
          </cell>
          <cell r="I24" t="str">
            <v>2.10天</v>
          </cell>
          <cell r="J24" t="str">
            <v>尹韬越</v>
          </cell>
        </row>
        <row r="25">
          <cell r="A25" t="str">
            <v>C00009866 | 张硕｜工业｜印尼工程公司PT REXLINE生物质30m³定量料斗项目｜方案V1</v>
          </cell>
          <cell r="B25" t="str">
            <v>标准任务</v>
          </cell>
          <cell r="C25" t="str">
            <v/>
          </cell>
          <cell r="D25" t="str">
            <v>2026-08-10 17:53:03</v>
          </cell>
          <cell r="E25" t="str">
            <v>2026-08-10 16:31:00</v>
          </cell>
          <cell r="F25" t="str">
            <v>2026-08-12 19:31:00</v>
          </cell>
          <cell r="G25" t="str">
            <v>2026-08-12 16:57:31</v>
          </cell>
          <cell r="H25" t="str">
            <v>2.1天</v>
          </cell>
          <cell r="I25" t="str">
            <v>2.1天</v>
          </cell>
          <cell r="J25" t="str">
            <v>张硕</v>
          </cell>
        </row>
        <row r="26">
          <cell r="A26" t="str">
            <v>C00009745｜司斌｜工业｜伊朗水净化项目石灰仓|报价V1</v>
          </cell>
          <cell r="B26" t="str">
            <v>标准任务</v>
          </cell>
          <cell r="C26" t="str">
            <v/>
          </cell>
          <cell r="D26" t="str">
            <v>2026-08-10 16:22:25</v>
          </cell>
          <cell r="E26" t="str">
            <v>2026-08-10 08:00:00</v>
          </cell>
          <cell r="F26" t="str">
            <v>2026-08-13 19:00:00</v>
          </cell>
          <cell r="G26" t="str">
            <v>2026-08-10 18:02:21</v>
          </cell>
          <cell r="H26" t="str">
            <v>3.5天</v>
          </cell>
          <cell r="I26" t="str">
            <v>0.5天</v>
          </cell>
          <cell r="J26" t="str">
            <v>司斌</v>
          </cell>
        </row>
        <row r="27">
          <cell r="A27" t="str">
            <v>C00006497｜陈辉｜粮食｜埃及面粉项目｜方案V1（仅仓和钢构）</v>
          </cell>
          <cell r="B27" t="str">
            <v>标准任务</v>
          </cell>
          <cell r="C27" t="str">
            <v/>
          </cell>
          <cell r="D27" t="str">
            <v>2026-08-10 12:18:07</v>
          </cell>
          <cell r="E27" t="str">
            <v>2026-08-10 12:16:00</v>
          </cell>
          <cell r="F27" t="str">
            <v>2026-08-13 19:00:00</v>
          </cell>
          <cell r="G27" t="str">
            <v>2026-08-13 18:32:57</v>
          </cell>
          <cell r="H27" t="str">
            <v>3.3天</v>
          </cell>
          <cell r="I27" t="str">
            <v>3.3天</v>
          </cell>
          <cell r="J27" t="str">
            <v>陈辉</v>
          </cell>
        </row>
        <row r="28">
          <cell r="A28" t="str">
            <v>C00006570|崔阳|工业|Powerz输送机采购|报价V1</v>
          </cell>
          <cell r="B28" t="str">
            <v>标准任务</v>
          </cell>
          <cell r="C28" t="str">
            <v/>
          </cell>
          <cell r="D28" t="str">
            <v>2026-08-10 09:45:45</v>
          </cell>
          <cell r="E28" t="str">
            <v>2026-08-10 09:45:00</v>
          </cell>
          <cell r="F28" t="str">
            <v>2026-08-12 10:00:00</v>
          </cell>
          <cell r="G28" t="str">
            <v>2026-08-10 16:27:30</v>
          </cell>
          <cell r="H28" t="str">
            <v>2天</v>
          </cell>
          <cell r="I28" t="str">
            <v>0.3天</v>
          </cell>
          <cell r="J28" t="str">
            <v>王楠</v>
          </cell>
        </row>
        <row r="29">
          <cell r="A29" t="str">
            <v>C00009883｜苗恒｜工业｜德国3x1600吨水泥仓+3个料斗投标项目｜方案V1</v>
          </cell>
          <cell r="B29" t="str">
            <v>标准任务</v>
          </cell>
          <cell r="C29" t="str">
            <v/>
          </cell>
          <cell r="D29" t="str">
            <v>2026-08-10 09:27:03</v>
          </cell>
          <cell r="E29" t="str">
            <v>2026-08-15 08:48:00</v>
          </cell>
          <cell r="F29" t="str">
            <v>2026-08-18 18:30:00</v>
          </cell>
          <cell r="G29" t="str">
            <v/>
          </cell>
          <cell r="H29" t="str">
            <v>3.4天</v>
          </cell>
          <cell r="I29" t="str">
            <v/>
          </cell>
          <cell r="J29" t="str">
            <v>苗恒</v>
          </cell>
        </row>
        <row r="30">
          <cell r="A30" t="str">
            <v>C00009344｜冯乐｜新疆｜PP掺混料仓×10+PE掺混料仓×10项目｜报价V1</v>
          </cell>
          <cell r="B30" t="str">
            <v>标准任务</v>
          </cell>
          <cell r="C30" t="str">
            <v>0.1天</v>
          </cell>
          <cell r="D30" t="str">
            <v>2026-08-10 08:55:56</v>
          </cell>
          <cell r="E30" t="str">
            <v>2026-08-10 08:50:00</v>
          </cell>
          <cell r="F30" t="str">
            <v>2026-08-11 09:00:00</v>
          </cell>
          <cell r="G30" t="str">
            <v>2026-08-11 09:22:29</v>
          </cell>
          <cell r="H30" t="str">
            <v>1天</v>
          </cell>
          <cell r="I30" t="str">
            <v>1.1天</v>
          </cell>
          <cell r="J30" t="str">
            <v>冯乐</v>
          </cell>
        </row>
        <row r="31">
          <cell r="A31" t="str">
            <v>C00009743｜司斌｜工业｜马来西亚熟料料场|报价V1</v>
          </cell>
          <cell r="B31" t="str">
            <v>标准任务</v>
          </cell>
          <cell r="C31" t="str">
            <v/>
          </cell>
          <cell r="D31" t="str">
            <v>2026-08-10 08:28:24</v>
          </cell>
          <cell r="E31" t="str">
            <v>2026-08-10 08:27:00</v>
          </cell>
          <cell r="F31" t="str">
            <v>2026-08-10 19:00:00</v>
          </cell>
          <cell r="G31" t="str">
            <v>2026-08-10 13:14:49</v>
          </cell>
          <cell r="H31" t="str">
            <v>0.5天</v>
          </cell>
          <cell r="I31" t="str">
            <v>0.2天</v>
          </cell>
          <cell r="J31" t="str">
            <v>司斌</v>
          </cell>
        </row>
        <row r="32">
          <cell r="A32" t="str">
            <v>20260807德国伊堡装配仓</v>
          </cell>
          <cell r="B32" t="str">
            <v>标准任务</v>
          </cell>
          <cell r="C32" t="str">
            <v>0.2天</v>
          </cell>
          <cell r="D32" t="str">
            <v>2026-08-07 08:13:17</v>
          </cell>
          <cell r="E32" t="str">
            <v>2026-08-07 08:10:00</v>
          </cell>
          <cell r="F32" t="str">
            <v>2026-08-14 17:00:00</v>
          </cell>
          <cell r="G32" t="str">
            <v>2026-08-14 21:30:25</v>
          </cell>
          <cell r="H32" t="str">
            <v>7.4天</v>
          </cell>
          <cell r="I32" t="str">
            <v>7.6天</v>
          </cell>
          <cell r="J32" t="str">
            <v>李永祥</v>
          </cell>
        </row>
        <row r="33">
          <cell r="A33" t="str">
            <v>C00009849｜陈辉｜工业｜埃及3万吨混凝土仓（存氧化铝）项目｜方案V1</v>
          </cell>
          <cell r="B33" t="str">
            <v>标准任务</v>
          </cell>
          <cell r="C33" t="str">
            <v>4.9天</v>
          </cell>
          <cell r="D33" t="str">
            <v>2026-08-06 16:32:58</v>
          </cell>
          <cell r="E33" t="str">
            <v>2026-08-06 15:42:00</v>
          </cell>
          <cell r="F33" t="str">
            <v>2026-08-13 19:00:00</v>
          </cell>
          <cell r="G33" t="str">
            <v/>
          </cell>
          <cell r="H33" t="str">
            <v>7.2天</v>
          </cell>
          <cell r="I33" t="str">
            <v/>
          </cell>
          <cell r="J33" t="str">
            <v>陈辉</v>
          </cell>
        </row>
        <row r="34">
          <cell r="A34" t="str">
            <v>C00009852｜陈辉｜工业｜澳洲8x6000t水泥装配仓｜报价V1（钢构量）</v>
          </cell>
          <cell r="B34" t="str">
            <v>标准任务</v>
          </cell>
          <cell r="C34" t="str">
            <v/>
          </cell>
          <cell r="D34" t="str">
            <v>2026-08-06 15:27:46</v>
          </cell>
          <cell r="E34" t="str">
            <v>2026-08-06 15:26:00</v>
          </cell>
          <cell r="F34" t="str">
            <v>2026-08-07 19:00:00</v>
          </cell>
          <cell r="G34" t="str">
            <v>2026-08-07 18:36:39</v>
          </cell>
          <cell r="H34" t="str">
            <v>1.2天</v>
          </cell>
          <cell r="I34" t="str">
            <v>1.2天</v>
          </cell>
          <cell r="J34" t="str">
            <v>陈辉</v>
          </cell>
        </row>
        <row r="35">
          <cell r="A35" t="str">
            <v>C00009244｜陈辉｜工业｜巴西钢板仓和卸到火车项目｜方案V1</v>
          </cell>
          <cell r="B35" t="str">
            <v>标准任务</v>
          </cell>
          <cell r="C35" t="str">
            <v/>
          </cell>
          <cell r="D35" t="str">
            <v>2026-08-06 15:14:14</v>
          </cell>
          <cell r="E35" t="str">
            <v>2026-08-06 15:05:00</v>
          </cell>
          <cell r="F35" t="str">
            <v>2026-08-13 19:00:00</v>
          </cell>
          <cell r="G35" t="str">
            <v>2026-08-13 18:37:52</v>
          </cell>
          <cell r="H35" t="str">
            <v>7.2天</v>
          </cell>
          <cell r="I35" t="str">
            <v>7.2天</v>
          </cell>
          <cell r="J35" t="str">
            <v>陈辉</v>
          </cell>
        </row>
        <row r="36">
          <cell r="A36" t="str">
            <v>C00009347 |崔阳|粮食| Ebad Pir Moradian Global Skills 40000吨储粮项目|报价V1</v>
          </cell>
          <cell r="B36" t="str">
            <v>标准任务</v>
          </cell>
          <cell r="C36" t="str">
            <v>0.0天</v>
          </cell>
          <cell r="D36" t="str">
            <v>2026-08-06 09:35:12</v>
          </cell>
          <cell r="E36" t="str">
            <v>2026-08-06 09:34:00</v>
          </cell>
          <cell r="F36" t="str">
            <v>2026-08-15 10:00:00</v>
          </cell>
          <cell r="G36" t="str">
            <v>2026-08-15 10:00:03</v>
          </cell>
          <cell r="H36" t="str">
            <v>9天</v>
          </cell>
          <cell r="I36" t="str">
            <v>9.1天</v>
          </cell>
          <cell r="J36" t="str">
            <v>王楠</v>
          </cell>
        </row>
        <row r="37">
          <cell r="A37" t="str">
            <v>TCL四川环科年产20万吨再生氧化铝原料项目斜槽及库底卸料设备采购项目</v>
          </cell>
          <cell r="B37" t="str">
            <v>标准任务</v>
          </cell>
          <cell r="C37" t="str">
            <v/>
          </cell>
          <cell r="D37" t="str">
            <v>2026-08-05 15:28:16</v>
          </cell>
          <cell r="E37" t="str">
            <v>2026-08-05 08:00:00</v>
          </cell>
          <cell r="F37" t="str">
            <v>2026-08-11 18:00:00</v>
          </cell>
          <cell r="G37" t="str">
            <v>2026-08-11 14:36:06</v>
          </cell>
          <cell r="H37" t="str">
            <v>6.4天</v>
          </cell>
          <cell r="I37" t="str">
            <v>6.3天</v>
          </cell>
          <cell r="J37" t="str">
            <v>陈磊</v>
          </cell>
        </row>
        <row r="38">
          <cell r="A38" t="str">
            <v>北方稀土储罐第三批</v>
          </cell>
          <cell r="B38" t="str">
            <v>标准任务</v>
          </cell>
          <cell r="C38" t="str">
            <v>0.1天</v>
          </cell>
          <cell r="D38" t="str">
            <v>2026-08-04 16:38:59</v>
          </cell>
          <cell r="E38" t="str">
            <v>2026-08-04 16:38:00</v>
          </cell>
          <cell r="F38" t="str">
            <v>2026-08-14 17:00:00</v>
          </cell>
          <cell r="G38" t="str">
            <v>2026-08-14 18:10:32</v>
          </cell>
          <cell r="H38" t="str">
            <v>10天</v>
          </cell>
          <cell r="I38" t="str">
            <v>10.1天</v>
          </cell>
          <cell r="J38" t="str">
            <v>李永祥</v>
          </cell>
        </row>
        <row r="39">
          <cell r="A39" t="str">
            <v>20260804拉多美粮食项目</v>
          </cell>
          <cell r="B39" t="str">
            <v>标准任务</v>
          </cell>
          <cell r="C39" t="str">
            <v/>
          </cell>
          <cell r="D39" t="str">
            <v>2026-08-04 10:53:31</v>
          </cell>
          <cell r="E39" t="str">
            <v>2026-08-04 10:53:00</v>
          </cell>
          <cell r="F39" t="str">
            <v>2026-08-18 17:00:00</v>
          </cell>
          <cell r="G39" t="str">
            <v/>
          </cell>
          <cell r="H39" t="str">
            <v>14.3天</v>
          </cell>
          <cell r="I39" t="str">
            <v/>
          </cell>
          <cell r="J39" t="str">
            <v>李永祥</v>
          </cell>
        </row>
        <row r="40">
          <cell r="A40" t="str">
            <v>C00003392｜陈辉｜工业｜莱歇6个热镀锌仓项目｜报价V1</v>
          </cell>
          <cell r="B40" t="str">
            <v>标准任务</v>
          </cell>
          <cell r="C40" t="str">
            <v/>
          </cell>
          <cell r="D40" t="str">
            <v>2026-08-03 19:22:34</v>
          </cell>
          <cell r="E40" t="str">
            <v>2026-08-04 08:00:00</v>
          </cell>
          <cell r="F40" t="str">
            <v>2026-08-05 19:00:00</v>
          </cell>
          <cell r="G40" t="str">
            <v>2026-08-04 15:30:34</v>
          </cell>
          <cell r="H40" t="str">
            <v>1.5天</v>
          </cell>
          <cell r="I40" t="str">
            <v>0.4天</v>
          </cell>
          <cell r="J40" t="str">
            <v>陈辉</v>
          </cell>
        </row>
        <row r="41">
          <cell r="A41" t="str">
            <v>C00005424|崔阳|工业|Sibur塑料颗粒的气力输送项目|报价V1</v>
          </cell>
          <cell r="B41" t="str">
            <v>标准任务</v>
          </cell>
          <cell r="C41" t="str">
            <v/>
          </cell>
          <cell r="D41" t="str">
            <v>2026-08-01 10:44:53</v>
          </cell>
          <cell r="E41" t="str">
            <v>2026-08-01 10:41:00</v>
          </cell>
          <cell r="F41" t="str">
            <v>2026-08-03 10:00:00</v>
          </cell>
          <cell r="G41" t="str">
            <v>2026-08-01 17:48:16</v>
          </cell>
          <cell r="H41" t="str">
            <v>2天</v>
          </cell>
          <cell r="I41" t="str">
            <v>0.3天</v>
          </cell>
          <cell r="J41" t="str">
            <v>王楠</v>
          </cell>
        </row>
        <row r="42">
          <cell r="A42" t="str">
            <v>C00009853｜尹韬越｜工业｜哈萨克斯坦阿特劳4×800t水泥仓项目｜方案V1</v>
          </cell>
          <cell r="B42" t="str">
            <v>标准任务</v>
          </cell>
          <cell r="C42" t="str">
            <v>10.10天</v>
          </cell>
          <cell r="D42" t="str">
            <v>2026-07-31 17:10:36</v>
          </cell>
          <cell r="E42" t="str">
            <v>2026-07-31 16:47:00</v>
          </cell>
          <cell r="F42" t="str">
            <v>2026-08-07 17:00:00</v>
          </cell>
          <cell r="G42" t="str">
            <v/>
          </cell>
          <cell r="H42" t="str">
            <v>7天</v>
          </cell>
          <cell r="I42" t="str">
            <v/>
          </cell>
          <cell r="J42" t="str">
            <v>尹韬越</v>
          </cell>
        </row>
        <row r="43">
          <cell r="A43" t="str">
            <v>C00009474|韩鸿彪|粮食|卢旺达面粉厂3x2500T小麦仓项目|方案V1</v>
          </cell>
          <cell r="B43" t="str">
            <v>标准任务</v>
          </cell>
          <cell r="C43" t="str">
            <v/>
          </cell>
          <cell r="D43" t="str">
            <v>2026-07-31 17:00:38</v>
          </cell>
          <cell r="E43" t="str">
            <v>2026-08-18 08:31:00</v>
          </cell>
          <cell r="F43" t="str">
            <v>2026-08-20 18:00:00</v>
          </cell>
          <cell r="G43" t="str">
            <v/>
          </cell>
          <cell r="H43" t="str">
            <v>2.4天</v>
          </cell>
          <cell r="I43" t="str">
            <v/>
          </cell>
          <cell r="J43" t="str">
            <v>韩鸿彪</v>
          </cell>
        </row>
        <row r="44">
          <cell r="A44" t="str">
            <v>C00009761｜尹韬越｜工业｜哈萨克斯坦阿拉木图1×1000t水泥仓项目｜方案V1</v>
          </cell>
          <cell r="B44" t="str">
            <v>标准任务</v>
          </cell>
          <cell r="C44" t="str">
            <v>0.8天</v>
          </cell>
          <cell r="D44" t="str">
            <v>2026-07-31 16:41:10</v>
          </cell>
          <cell r="E44" t="str">
            <v>2026-07-31 16:35:00</v>
          </cell>
          <cell r="F44" t="str">
            <v>2026-08-07 17:00:00</v>
          </cell>
          <cell r="G44" t="str">
            <v>2026-08-08 12:01:20</v>
          </cell>
          <cell r="H44" t="str">
            <v>7天</v>
          </cell>
          <cell r="I44" t="str">
            <v>7.9天</v>
          </cell>
          <cell r="J44" t="str">
            <v>尹韬越</v>
          </cell>
        </row>
        <row r="45">
          <cell r="A45" t="str">
            <v>C00009518｜尹韬越｜粮食｜哈萨克斯坦钢管塔架项目｜方案V1</v>
          </cell>
          <cell r="B45" t="str">
            <v>标准任务</v>
          </cell>
          <cell r="C45" t="str">
            <v>0.1天</v>
          </cell>
          <cell r="D45" t="str">
            <v>2026-07-31 16:28:44</v>
          </cell>
          <cell r="E45" t="str">
            <v>2026-07-31 16:27:00</v>
          </cell>
          <cell r="F45" t="str">
            <v>2026-08-06 17:00:00</v>
          </cell>
          <cell r="G45" t="str">
            <v>2026-08-06 17:52:41</v>
          </cell>
          <cell r="H45" t="str">
            <v>6天</v>
          </cell>
          <cell r="I45" t="str">
            <v>6.1天</v>
          </cell>
          <cell r="J45" t="str">
            <v>尹韬越</v>
          </cell>
        </row>
        <row r="46">
          <cell r="A46" t="str">
            <v>C00009520｜尹韬越｜粮食｜格鲁吉亚哈舒里30吨/24小时面粉厂配套项目｜方案V1</v>
          </cell>
          <cell r="B46" t="str">
            <v>标准任务</v>
          </cell>
          <cell r="C46" t="str">
            <v/>
          </cell>
          <cell r="D46" t="str">
            <v>2026-07-31 16:09:53</v>
          </cell>
          <cell r="E46" t="str">
            <v>2026-07-31 15:55:00</v>
          </cell>
          <cell r="F46" t="str">
            <v>2026-08-05 17:00:00</v>
          </cell>
          <cell r="G46" t="str">
            <v>2026-08-04 17:02:21</v>
          </cell>
          <cell r="H46" t="str">
            <v>5.1天</v>
          </cell>
          <cell r="I46" t="str">
            <v>4.1天</v>
          </cell>
          <cell r="J46" t="str">
            <v>尹韬越</v>
          </cell>
        </row>
        <row r="47">
          <cell r="A47" t="str">
            <v>C00009852｜陈辉｜工业｜澳洲8x6000t水泥装配仓｜方案V1（钢构量）</v>
          </cell>
          <cell r="B47" t="str">
            <v>标准任务</v>
          </cell>
          <cell r="C47" t="str">
            <v/>
          </cell>
          <cell r="D47" t="str">
            <v>2026-07-31 15:23:27</v>
          </cell>
          <cell r="E47" t="str">
            <v>2026-07-31 15:21:00</v>
          </cell>
          <cell r="F47" t="str">
            <v>2026-08-05 19:00:00</v>
          </cell>
          <cell r="G47" t="str">
            <v>2026-08-05 18:31:48</v>
          </cell>
          <cell r="H47" t="str">
            <v>5.2天</v>
          </cell>
          <cell r="I47" t="str">
            <v>5.2天</v>
          </cell>
          <cell r="J47" t="str">
            <v>陈辉</v>
          </cell>
        </row>
        <row r="48">
          <cell r="A48" t="str">
            <v>C00009546｜司斌｜工业｜越南灰仓|报价V1</v>
          </cell>
          <cell r="B48" t="str">
            <v>标准任务</v>
          </cell>
          <cell r="C48" t="str">
            <v/>
          </cell>
          <cell r="D48" t="str">
            <v>2026-07-31 09:24:54</v>
          </cell>
          <cell r="E48" t="str">
            <v>2026-07-31 08:00:00</v>
          </cell>
          <cell r="F48" t="str">
            <v>2026-08-01 19:00:00</v>
          </cell>
          <cell r="G48" t="str">
            <v>2026-08-01 14:14:50</v>
          </cell>
          <cell r="H48" t="str">
            <v>1.5天</v>
          </cell>
          <cell r="I48" t="str">
            <v>1.3天</v>
          </cell>
          <cell r="J48" t="str">
            <v>司斌</v>
          </cell>
        </row>
        <row r="49">
          <cell r="A49" t="str">
            <v>C00006570|崔阳|工业|Powerz输送机采购|方案V1</v>
          </cell>
          <cell r="B49" t="str">
            <v>标准任务</v>
          </cell>
          <cell r="C49" t="str">
            <v/>
          </cell>
          <cell r="D49" t="str">
            <v>2026-07-30 17:50:53</v>
          </cell>
          <cell r="E49" t="str">
            <v>2026-07-31 08:00:00</v>
          </cell>
          <cell r="F49" t="str">
            <v>2026-08-11 19:00:00</v>
          </cell>
          <cell r="G49" t="str">
            <v>2026-08-10 10:09:05</v>
          </cell>
          <cell r="H49" t="str">
            <v>11.5天</v>
          </cell>
          <cell r="I49" t="str">
            <v>10.1天</v>
          </cell>
          <cell r="J49" t="str">
            <v>王楠</v>
          </cell>
        </row>
        <row r="50">
          <cell r="A50" t="str">
            <v>C00003392｜陈辉｜工业｜莱歇6个热镀锌仓项目｜方案V1（钢构量）</v>
          </cell>
          <cell r="B50" t="str">
            <v>标准任务</v>
          </cell>
          <cell r="C50" t="str">
            <v/>
          </cell>
          <cell r="D50" t="str">
            <v>2026-07-30 17:02:11</v>
          </cell>
          <cell r="E50" t="str">
            <v>2026-07-30 16:59:00</v>
          </cell>
          <cell r="F50" t="str">
            <v>2026-08-03 19:00:00</v>
          </cell>
          <cell r="G50" t="str">
            <v>2026-08-03 17:31:37</v>
          </cell>
          <cell r="H50" t="str">
            <v>4.1天</v>
          </cell>
          <cell r="I50" t="str">
            <v>4.1天</v>
          </cell>
          <cell r="J50" t="str">
            <v>陈辉</v>
          </cell>
        </row>
        <row r="51">
          <cell r="A51" t="str">
            <v>C00008036|韩鸿彪|工业|越南QNC船对船水泥输送系统|方案V1</v>
          </cell>
          <cell r="B51" t="str">
            <v>标准任务</v>
          </cell>
          <cell r="C51" t="str">
            <v/>
          </cell>
          <cell r="D51" t="str">
            <v>2026-07-30 16:22:22</v>
          </cell>
          <cell r="E51" t="str">
            <v>2026-07-30 16:13:00</v>
          </cell>
          <cell r="F51" t="str">
            <v>2026-08-18 18:00:00</v>
          </cell>
          <cell r="G51" t="str">
            <v/>
          </cell>
          <cell r="H51" t="str">
            <v>19.1天</v>
          </cell>
          <cell r="I51" t="str">
            <v/>
          </cell>
          <cell r="J51" t="str">
            <v>韩鸿彪</v>
          </cell>
        </row>
        <row r="52">
          <cell r="A52" t="str">
            <v>C00009727｜冯乐｜粮食｜阿根廷2×3000T+6×800T 储存仓项目｜方案V2</v>
          </cell>
          <cell r="B52" t="str">
            <v>标准任务</v>
          </cell>
          <cell r="C52" t="str">
            <v/>
          </cell>
          <cell r="D52" t="str">
            <v>2026-07-30 15:08:35</v>
          </cell>
          <cell r="E52" t="str">
            <v>2026-08-12 10:00:00</v>
          </cell>
          <cell r="F52" t="str">
            <v>2026-08-18 20:00:00</v>
          </cell>
          <cell r="G52" t="str">
            <v/>
          </cell>
          <cell r="H52" t="str">
            <v>6.4天</v>
          </cell>
          <cell r="I52" t="str">
            <v/>
          </cell>
          <cell r="J52" t="str">
            <v>冯乐</v>
          </cell>
        </row>
        <row r="53">
          <cell r="A53" t="str">
            <v>C00009506|崔阳|粮食| RUSAGRO农作物种子加工厂项目|报价V1</v>
          </cell>
          <cell r="B53" t="str">
            <v>标准任务</v>
          </cell>
          <cell r="C53" t="str">
            <v/>
          </cell>
          <cell r="D53" t="str">
            <v>2026-07-29 14:27:13</v>
          </cell>
          <cell r="E53" t="str">
            <v>2026-07-29 14:23:00</v>
          </cell>
          <cell r="F53" t="str">
            <v>2026-08-03 23:59:00</v>
          </cell>
          <cell r="G53" t="str">
            <v>2026-08-03 14:59:43</v>
          </cell>
          <cell r="H53" t="str">
            <v>5.4天</v>
          </cell>
          <cell r="I53" t="str">
            <v>5.1天</v>
          </cell>
          <cell r="J53" t="str">
            <v>王楠</v>
          </cell>
        </row>
        <row r="54">
          <cell r="A54" t="str">
            <v>C00009786｜苗恒｜粮食｜斯里兰卡10x2000吨稻谷仓项目｜方案V2｜报价V1</v>
          </cell>
          <cell r="B54" t="str">
            <v>标准任务</v>
          </cell>
          <cell r="C54" t="str">
            <v/>
          </cell>
          <cell r="D54" t="str">
            <v>2026-07-28 16:27:17</v>
          </cell>
          <cell r="E54" t="str">
            <v>2026-07-30 12:15:00</v>
          </cell>
          <cell r="F54" t="str">
            <v>2026-08-01 12:30:00</v>
          </cell>
          <cell r="G54" t="str">
            <v>2026-08-01 11:51:39</v>
          </cell>
          <cell r="H54" t="str">
            <v>2天</v>
          </cell>
          <cell r="I54" t="str">
            <v>1.10天</v>
          </cell>
          <cell r="J54" t="str">
            <v>苗恒</v>
          </cell>
        </row>
        <row r="55">
          <cell r="A55" t="str">
            <v>C00009745｜司斌｜工业｜伊朗水净化项目石灰仓|方案V1</v>
          </cell>
          <cell r="B55" t="str">
            <v>标准任务</v>
          </cell>
          <cell r="C55" t="str">
            <v>2.10天</v>
          </cell>
          <cell r="D55" t="str">
            <v>2026-07-28 16:24:32</v>
          </cell>
          <cell r="E55" t="str">
            <v>2026-07-28 16:19:00</v>
          </cell>
          <cell r="F55" t="str">
            <v>2026-08-04 19:00:00</v>
          </cell>
          <cell r="G55" t="str">
            <v>2026-08-07 17:43:52</v>
          </cell>
          <cell r="H55" t="str">
            <v>7.1天</v>
          </cell>
          <cell r="I55" t="str">
            <v>10.1天</v>
          </cell>
          <cell r="J55" t="str">
            <v>司斌</v>
          </cell>
        </row>
        <row r="56">
          <cell r="A56" t="str">
            <v>C00009762｜苗恒｜工业｜新加坡4x200m3熟石灰粉不锈钢仓项目｜方案V1｜报价V1</v>
          </cell>
          <cell r="B56" t="str">
            <v>标准任务</v>
          </cell>
          <cell r="C56" t="str">
            <v/>
          </cell>
          <cell r="D56" t="str">
            <v>2026-07-28 09:49:42</v>
          </cell>
          <cell r="E56" t="str">
            <v>2026-07-28 08:00:00</v>
          </cell>
          <cell r="F56" t="str">
            <v>2026-08-01 12:30:00</v>
          </cell>
          <cell r="G56" t="str">
            <v>2026-08-01 08:43:20</v>
          </cell>
          <cell r="H56" t="str">
            <v>4.2天</v>
          </cell>
          <cell r="I56" t="str">
            <v>4.1天</v>
          </cell>
          <cell r="J56" t="str">
            <v>苗恒</v>
          </cell>
        </row>
        <row r="57">
          <cell r="A57" t="str">
            <v>C00009372  |崔阳|工业|UZMETKOMBINATA, FILIAL 铁合金及辅料石灰日间仓储整套工艺设备EPC项目 |报价V1</v>
          </cell>
          <cell r="B57" t="str">
            <v>标准任务</v>
          </cell>
          <cell r="C57" t="str">
            <v/>
          </cell>
          <cell r="D57" t="str">
            <v>2026-07-27 15:29:26</v>
          </cell>
          <cell r="E57" t="str">
            <v>2026-07-27 15:28:00</v>
          </cell>
          <cell r="F57" t="str">
            <v>2026-08-01 15:00:00</v>
          </cell>
          <cell r="G57" t="str">
            <v>2026-08-01 08:47:26</v>
          </cell>
          <cell r="H57" t="str">
            <v>5天</v>
          </cell>
          <cell r="I57" t="str">
            <v>4.8天</v>
          </cell>
          <cell r="J57" t="str">
            <v>王楠</v>
          </cell>
        </row>
        <row r="58">
          <cell r="A58" t="str">
            <v>C00009593｜王伟超｜粮食｜乌干达生咖啡豆筒仓项目｜报价V1</v>
          </cell>
          <cell r="B58" t="str">
            <v>标准任务</v>
          </cell>
          <cell r="C58" t="str">
            <v/>
          </cell>
          <cell r="D58" t="str">
            <v>2026-07-24 17:41:58</v>
          </cell>
          <cell r="E58" t="str">
            <v>2026-07-25 08:00:00</v>
          </cell>
          <cell r="F58" t="str">
            <v>2026-07-30 19:00:00</v>
          </cell>
          <cell r="G58" t="str">
            <v>2026-07-30 14:50:54</v>
          </cell>
          <cell r="H58" t="str">
            <v>5.5天</v>
          </cell>
          <cell r="I58" t="str">
            <v>5.3天</v>
          </cell>
          <cell r="J58" t="str">
            <v>王伟超</v>
          </cell>
        </row>
        <row r="59">
          <cell r="A59" t="str">
            <v>C00009797  | 马鹏飞 | 工业 | 新加坡波纹钢板储水罐 | 方案V1 |</v>
          </cell>
          <cell r="B59" t="str">
            <v>标准任务</v>
          </cell>
          <cell r="C59" t="str">
            <v/>
          </cell>
          <cell r="D59" t="str">
            <v>2026-07-24 17:30:20</v>
          </cell>
          <cell r="E59" t="str">
            <v>2026-07-25 08:00:00</v>
          </cell>
          <cell r="F59" t="str">
            <v>2026-07-28 19:00:00</v>
          </cell>
          <cell r="G59" t="str">
            <v>2026-07-28 18:34:43</v>
          </cell>
          <cell r="H59" t="str">
            <v>3.5天</v>
          </cell>
          <cell r="I59" t="str">
            <v>3.5天</v>
          </cell>
          <cell r="J59" t="str">
            <v>马鹏飞</v>
          </cell>
        </row>
        <row r="60">
          <cell r="A60" t="str">
            <v>C00003352｜陈辉｜工业｜埃及4万吨料场项目｜报价V1（预算）</v>
          </cell>
          <cell r="B60" t="str">
            <v>标准任务</v>
          </cell>
          <cell r="C60" t="str">
            <v/>
          </cell>
          <cell r="D60" t="str">
            <v>2026-07-24 17:27:43</v>
          </cell>
          <cell r="E60" t="str">
            <v>2026-07-25 08:00:00</v>
          </cell>
          <cell r="F60" t="str">
            <v>2026-07-28 17:00:00</v>
          </cell>
          <cell r="G60" t="str">
            <v>2026-07-28 09:40:56</v>
          </cell>
          <cell r="H60" t="str">
            <v>3.4天</v>
          </cell>
          <cell r="I60" t="str">
            <v>3.1天</v>
          </cell>
          <cell r="J60" t="str">
            <v>陈辉</v>
          </cell>
        </row>
        <row r="61">
          <cell r="A61" t="str">
            <v>C00009344｜冯乐｜新疆｜PP掺混料仓×10+PE掺混料仓×10项目｜方案V1</v>
          </cell>
          <cell r="B61" t="str">
            <v>标准任务</v>
          </cell>
          <cell r="C61" t="str">
            <v/>
          </cell>
          <cell r="D61" t="str">
            <v>2026-07-24 17:13:36</v>
          </cell>
          <cell r="E61" t="str">
            <v>2026-07-24 17:30:00</v>
          </cell>
          <cell r="F61" t="str">
            <v>2026-08-09 21:00:00</v>
          </cell>
          <cell r="G61" t="str">
            <v>2026-08-08 19:06:31</v>
          </cell>
          <cell r="H61" t="str">
            <v>16.2天</v>
          </cell>
          <cell r="I61" t="str">
            <v>15.1天</v>
          </cell>
          <cell r="J61" t="str">
            <v>冯乐</v>
          </cell>
        </row>
        <row r="62">
          <cell r="A62" t="str">
            <v>沙特水泥库焊接钢板仓项目</v>
          </cell>
          <cell r="B62" t="str">
            <v>标准任务</v>
          </cell>
          <cell r="C62" t="str">
            <v/>
          </cell>
          <cell r="D62" t="str">
            <v>2026-07-24 09:48:55</v>
          </cell>
          <cell r="E62" t="str">
            <v/>
          </cell>
          <cell r="F62" t="str">
            <v/>
          </cell>
          <cell r="G62" t="str">
            <v>2026-08-13 11:17:43</v>
          </cell>
          <cell r="H62" t="str">
            <v>5天</v>
          </cell>
          <cell r="I62" t="str">
            <v/>
          </cell>
          <cell r="J62" t="str">
            <v>陈磊</v>
          </cell>
        </row>
        <row r="63">
          <cell r="A63" t="str">
            <v>C00009743｜司斌｜工业｜马来西亚熟料料场|方案V1</v>
          </cell>
          <cell r="B63" t="str">
            <v>标准任务</v>
          </cell>
          <cell r="C63" t="str">
            <v>2.9天</v>
          </cell>
          <cell r="D63" t="str">
            <v>2026-07-24 09:43:48</v>
          </cell>
          <cell r="E63" t="str">
            <v>2026-07-24 08:00:00</v>
          </cell>
          <cell r="F63" t="str">
            <v>2026-08-15 19:00:00</v>
          </cell>
          <cell r="G63" t="str">
            <v/>
          </cell>
          <cell r="H63" t="str">
            <v>22.5天</v>
          </cell>
          <cell r="I63" t="str">
            <v/>
          </cell>
          <cell r="J63" t="str">
            <v>司斌</v>
          </cell>
        </row>
        <row r="64">
          <cell r="A64" t="str">
            <v>C00006570|崔阳|工业|Powerz螺旋输送机采购|报价V1</v>
          </cell>
          <cell r="B64" t="str">
            <v>标准任务</v>
          </cell>
          <cell r="C64" t="str">
            <v>0.6天</v>
          </cell>
          <cell r="D64" t="str">
            <v>2026-07-24 08:47:31</v>
          </cell>
          <cell r="E64" t="str">
            <v>2026-07-24 08:46:00</v>
          </cell>
          <cell r="F64" t="str">
            <v>2026-07-27 20:00:00</v>
          </cell>
          <cell r="G64" t="str">
            <v>2026-07-28 08:47:22</v>
          </cell>
          <cell r="H64" t="str">
            <v>3.5天</v>
          </cell>
          <cell r="I64" t="str">
            <v>4.1天</v>
          </cell>
          <cell r="J64" t="str">
            <v>王楠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方案"/>
    </sheetNames>
    <sheetDataSet>
      <sheetData sheetId="0">
        <row r="2">
          <cell r="B2" t="str">
            <v>任务标题</v>
          </cell>
          <cell r="C2" t="str">
            <v>任务类型</v>
          </cell>
          <cell r="D2" t="str">
            <v>创建时间</v>
          </cell>
          <cell r="E2" t="str">
            <v>计划开始时间</v>
          </cell>
          <cell r="F2" t="str">
            <v>计划结束时间</v>
          </cell>
          <cell r="G2" t="str">
            <v>实际完成时间</v>
          </cell>
          <cell r="H2" t="str">
            <v>计划工时</v>
          </cell>
          <cell r="I2" t="str">
            <v>实际工时</v>
          </cell>
          <cell r="J2" t="str">
            <v>创建人</v>
          </cell>
          <cell r="K2" t="str">
            <v>当前进展</v>
          </cell>
        </row>
        <row r="3">
          <cell r="B3" t="str">
            <v>C00003352｜陈辉｜工业｜埃及4万吨料场项目｜方案V1（预算）</v>
          </cell>
          <cell r="C3" t="str">
            <v>方案</v>
          </cell>
          <cell r="D3" t="str">
            <v>2026-07-21 14:19:20</v>
          </cell>
          <cell r="E3" t="str">
            <v>2026-07-21 14:11:00</v>
          </cell>
          <cell r="F3" t="str">
            <v>2026-07-24 19:00:00</v>
          </cell>
          <cell r="G3" t="str">
            <v>2026-07-24 17:10:52</v>
          </cell>
          <cell r="H3" t="str">
            <v>3.2天</v>
          </cell>
          <cell r="I3" t="str">
            <v>3.2天</v>
          </cell>
          <cell r="J3" t="str">
            <v>陈辉</v>
          </cell>
          <cell r="K3" t="str">
            <v>TCI预期拿到了埃及一港口的运营权，有计划建散料库，已报预算，还在规划阶段。</v>
          </cell>
        </row>
        <row r="4">
          <cell r="B4" t="str">
            <v>C00007339｜陈辉｜工业｜韩国大宇3万吨磷矿粉项目｜方案V1 | 重点项目</v>
          </cell>
          <cell r="C4" t="str">
            <v>方案</v>
          </cell>
          <cell r="D4" t="str">
            <v>2026-07-14 17:43:28</v>
          </cell>
          <cell r="E4" t="str">
            <v>2026-07-15 08:00:00</v>
          </cell>
          <cell r="F4" t="str">
            <v>2026-07-17 17:00:00</v>
          </cell>
          <cell r="G4" t="str">
            <v>2026-07-17 17:07:49</v>
          </cell>
          <cell r="H4" t="str">
            <v>2.4天</v>
          </cell>
          <cell r="I4" t="str">
            <v>2.4天</v>
          </cell>
          <cell r="J4" t="str">
            <v>陈辉</v>
          </cell>
          <cell r="K4" t="str">
            <v>大宇在土库曼化肥厂项目，仓型各种变化和多次报价后，目前最后一版是焊接仓的EPC。用户和大宇还在比较仓型。</v>
          </cell>
        </row>
        <row r="5">
          <cell r="B5" t="str">
            <v>C00001305｜陈辉｜工业｜韩国Jeju-四套污泥仓｜方案V1</v>
          </cell>
          <cell r="C5" t="str">
            <v>方案</v>
          </cell>
          <cell r="D5" t="str">
            <v>2026-07-02 17:47:15</v>
          </cell>
          <cell r="E5" t="str">
            <v>2026-07-03 08:00:00</v>
          </cell>
          <cell r="F5" t="str">
            <v>2026-07-09 17:00:00</v>
          </cell>
          <cell r="G5" t="str">
            <v>2026-07-09 15:04:26</v>
          </cell>
          <cell r="H5" t="str">
            <v>6.4天</v>
          </cell>
          <cell r="I5" t="str">
            <v>6.3天</v>
          </cell>
          <cell r="J5" t="str">
            <v>陈辉</v>
          </cell>
          <cell r="K5" t="str">
            <v>kim小项目，设计完仓型，客户改计划不需要了。</v>
          </cell>
        </row>
        <row r="6">
          <cell r="B6" t="str">
            <v>C00001305｜陈辉｜工业｜韩国welcron5套污泥仓｜方案V1</v>
          </cell>
          <cell r="C6" t="str">
            <v>方案</v>
          </cell>
          <cell r="D6" t="str">
            <v>2026-07-02 17:03:09</v>
          </cell>
          <cell r="E6" t="str">
            <v>2026-07-02 16:58:00</v>
          </cell>
          <cell r="F6" t="str">
            <v>2026-07-06 19:00:00</v>
          </cell>
          <cell r="G6" t="str">
            <v>2026-07-03 18:25:38</v>
          </cell>
          <cell r="H6" t="str">
            <v>4.1天</v>
          </cell>
          <cell r="I6" t="str">
            <v>1.1天</v>
          </cell>
          <cell r="J6" t="str">
            <v>陈辉</v>
          </cell>
          <cell r="K6" t="str">
            <v>kim小项目，设计完仓型，客户改计划不需要了。</v>
          </cell>
        </row>
        <row r="7">
          <cell r="B7" t="str">
            <v>C00001305｜陈辉｜工业｜韩国140立方米 x 3套树脂仓｜方案V1</v>
          </cell>
          <cell r="C7" t="str">
            <v>方案</v>
          </cell>
          <cell r="D7" t="str">
            <v>2026-06-29 17:36:48</v>
          </cell>
          <cell r="E7" t="str">
            <v>2026-06-30 08:00:00</v>
          </cell>
          <cell r="F7" t="str">
            <v>2026-07-03 19:00:00</v>
          </cell>
          <cell r="G7" t="str">
            <v>2026-07-03 18:25:43</v>
          </cell>
          <cell r="H7" t="str">
            <v>3.5天</v>
          </cell>
          <cell r="I7" t="str">
            <v>3.5天</v>
          </cell>
          <cell r="J7" t="str">
            <v>陈辉</v>
          </cell>
          <cell r="K7" t="str">
            <v>小项目，仅仓无设备，客户还在决策。</v>
          </cell>
        </row>
        <row r="8">
          <cell r="B8" t="str">
            <v>C00002715｜陈辉｜工业｜塞拉利昂2个3万吨clinker项目｜方案V1 | 重点项目</v>
          </cell>
          <cell r="C8" t="str">
            <v>方案</v>
          </cell>
          <cell r="D8" t="str">
            <v>2026-06-22 11:34:22</v>
          </cell>
          <cell r="E8" t="str">
            <v>2026-06-22 11:28:00</v>
          </cell>
          <cell r="F8" t="str">
            <v>2026-06-26 19:00:00</v>
          </cell>
          <cell r="G8" t="str">
            <v>2026-06-26 17:46:47</v>
          </cell>
          <cell r="H8" t="str">
            <v>4.3天</v>
          </cell>
          <cell r="I8" t="str">
            <v>4.3天</v>
          </cell>
          <cell r="J8" t="str">
            <v>陈辉</v>
          </cell>
          <cell r="K8" t="str">
            <v>已去拜访客户，客户想法很多，缺资金。</v>
          </cell>
        </row>
        <row r="9">
          <cell r="B9" t="str">
            <v>C00009463｜陈辉｜粮食｜突尼斯粮仓6x5,000t+10x8,000t｜方案V1</v>
          </cell>
          <cell r="C9" t="str">
            <v>方案</v>
          </cell>
          <cell r="D9" t="str">
            <v>2026-06-22 11:26:51</v>
          </cell>
          <cell r="E9" t="str">
            <v>2026-06-22 11:06:00</v>
          </cell>
          <cell r="F9" t="str">
            <v>2026-07-06 19:00:00</v>
          </cell>
          <cell r="G9" t="str">
            <v>2026-07-06 20:16:53</v>
          </cell>
          <cell r="H9" t="str">
            <v>14.3天</v>
          </cell>
          <cell r="I9" t="str">
            <v>14.4天</v>
          </cell>
          <cell r="J9" t="str">
            <v>陈辉</v>
          </cell>
          <cell r="K9" t="str">
            <v>突尼斯一家工程公司想建这几个粮仓，没有资金，要靠国外银行给贷款，介绍了TCI给他们。项目还在找钱的阶段。</v>
          </cell>
        </row>
        <row r="10">
          <cell r="B10" t="str">
            <v>C00001305｜陈辉｜工业｜韩国3,000立方米 x 2套石膏粉仓｜方案V2</v>
          </cell>
          <cell r="C10" t="str">
            <v>方案</v>
          </cell>
          <cell r="D10" t="str">
            <v>2026-05-27 11:38:18</v>
          </cell>
          <cell r="E10" t="str">
            <v>2026-05-27 11:27:00</v>
          </cell>
          <cell r="F10" t="str">
            <v>2026-07-02 19:29:00</v>
          </cell>
          <cell r="G10" t="str">
            <v>2026-07-02 18:33:52</v>
          </cell>
          <cell r="H10" t="str">
            <v>36.4天</v>
          </cell>
          <cell r="I10" t="str">
            <v>36.3天</v>
          </cell>
          <cell r="J10" t="str">
            <v>陈辉</v>
          </cell>
          <cell r="K10" t="str">
            <v>EPC，我方首次报价50Wusd，优化后及打折后价格42Wusd，业主说当地供应商报价32Wusd，且不需额外任何进口税费和运输费</v>
          </cell>
        </row>
        <row r="11">
          <cell r="B11" t="str">
            <v>C00009287｜陈辉｜工业｜大宇8套磷矿粉平底仓卸料｜方案V1</v>
          </cell>
          <cell r="C11" t="str">
            <v>方案</v>
          </cell>
          <cell r="D11" t="str">
            <v>2026-05-20 10:11:13</v>
          </cell>
          <cell r="E11" t="str">
            <v>2026-05-20 10:06:00</v>
          </cell>
          <cell r="F11" t="str">
            <v>2026-05-22 19:00:00</v>
          </cell>
          <cell r="G11" t="str">
            <v>2026-05-21 18:21:34</v>
          </cell>
          <cell r="H11" t="str">
            <v>2.4天</v>
          </cell>
          <cell r="I11" t="str">
            <v>1.4天</v>
          </cell>
          <cell r="J11" t="str">
            <v>陈辉</v>
          </cell>
          <cell r="K11" t="str">
            <v>大宇在土库曼化肥厂项目，筒仓的卸料分包给了韩国的一家公司DY，我们给DY报价，仅报一次，技术澄清比较多，DY如果中标大概率优选选我们。</v>
          </cell>
        </row>
        <row r="12">
          <cell r="B12" t="str">
            <v>C00009244｜陈辉｜工业｜火车卸料项目｜方案V1</v>
          </cell>
          <cell r="C12" t="str">
            <v>方案</v>
          </cell>
          <cell r="D12" t="str">
            <v>2026-05-18 15:56:16</v>
          </cell>
          <cell r="E12" t="str">
            <v>2026-05-18 15:51:00</v>
          </cell>
          <cell r="F12" t="str">
            <v>2026-05-22 19:00:00</v>
          </cell>
          <cell r="G12" t="str">
            <v>2026-05-22 18:13:36</v>
          </cell>
          <cell r="H12" t="str">
            <v>4.2天</v>
          </cell>
          <cell r="I12" t="str">
            <v>4.1天</v>
          </cell>
          <cell r="J12" t="str">
            <v>陈辉</v>
          </cell>
          <cell r="K12" t="str">
            <v>客户自有仓，让我们报火车卸料后进仓和出仓相关设备。
客户的项目仍在计划评审阶段。</v>
          </cell>
        </row>
        <row r="13">
          <cell r="B13" t="str">
            <v>C00008995｜陈辉｜粮食｜韩国港口粮食输送项目｜方案V1</v>
          </cell>
          <cell r="C13" t="str">
            <v>方案</v>
          </cell>
          <cell r="D13" t="str">
            <v>2026-03-12 10:21:50</v>
          </cell>
          <cell r="E13" t="str">
            <v>2026-03-12 10:11:00</v>
          </cell>
          <cell r="F13" t="str">
            <v>2026-03-18 17:00:00</v>
          </cell>
          <cell r="G13" t="str">
            <v>2026-03-19 09:09:05</v>
          </cell>
          <cell r="H13" t="str">
            <v>6.3天</v>
          </cell>
          <cell r="I13" t="str">
            <v>6.10天</v>
          </cell>
          <cell r="J13" t="str">
            <v>陈辉</v>
          </cell>
          <cell r="K13" t="str">
            <v>Kim联系的一个项目，已暂停。</v>
          </cell>
        </row>
        <row r="14">
          <cell r="B14" t="str">
            <v>C00008180｜陈辉｜工业｜Lanwa水泥混拌系统｜方案V1 | 重点项目</v>
          </cell>
          <cell r="C14" t="str">
            <v>方案</v>
          </cell>
          <cell r="D14" t="str">
            <v>2026-08-17 09:00:35</v>
          </cell>
        </row>
        <row r="14">
          <cell r="J14" t="str">
            <v>陈辉</v>
          </cell>
          <cell r="K14" t="str">
            <v>老客户，项目含3个仓+混拌（mixer客户从其他供应商订购），客户中国通，对中国钢材加工价格十万分的了解，仅允许报价有合理利润，超出会选其他供应商。</v>
          </cell>
        </row>
        <row r="15">
          <cell r="B15" t="str">
            <v>C00006497｜陈辉｜粮食｜埃及面粉项目｜方案V1（仅仓和钢构）</v>
          </cell>
          <cell r="C15" t="str">
            <v>方案</v>
          </cell>
          <cell r="D15" t="str">
            <v>2026-08-10 12:18:07</v>
          </cell>
        </row>
        <row r="15">
          <cell r="J15" t="str">
            <v>陈辉</v>
          </cell>
          <cell r="K15" t="str">
            <v>埃及总包的一个投标项目，我们报价配合其投标。</v>
          </cell>
        </row>
        <row r="16">
          <cell r="B16" t="str">
            <v>C00009849｜陈辉｜工业｜埃及3万吨混凝土仓（存氧化铝）项目｜方案V1</v>
          </cell>
          <cell r="C16" t="str">
            <v>方案</v>
          </cell>
          <cell r="D16" t="str">
            <v>2026-08-06 16:32:58</v>
          </cell>
        </row>
        <row r="16">
          <cell r="J16" t="str">
            <v>陈辉</v>
          </cell>
          <cell r="K16" t="str">
            <v>埃及的建筑公司作为投标人之一，向铝厂投标。</v>
          </cell>
        </row>
        <row r="17">
          <cell r="B17" t="str">
            <v>C00009244｜陈辉｜工业｜巴西钢板仓和卸到火车项目｜方案V1</v>
          </cell>
          <cell r="C17" t="str">
            <v>方案</v>
          </cell>
          <cell r="D17" t="str">
            <v>2026-08-06 15:14:14</v>
          </cell>
        </row>
        <row r="17">
          <cell r="J17" t="str">
            <v>陈辉</v>
          </cell>
          <cell r="K17" t="str">
            <v>规划阶段，客户未来可能有两万吨粘土仓的需求，目前只是了解仓型和价格。</v>
          </cell>
        </row>
        <row r="18">
          <cell r="B18" t="str">
            <v>C00009852｜陈辉｜工业｜澳洲8x6000t水泥装配仓｜方案V1（钢构量）</v>
          </cell>
          <cell r="C18" t="str">
            <v>方案</v>
          </cell>
          <cell r="D18" t="str">
            <v>2026-07-31 15:23:27</v>
          </cell>
        </row>
        <row r="18">
          <cell r="J18" t="str">
            <v>陈辉</v>
          </cell>
          <cell r="K18" t="str">
            <v>预算。客户仍在评估是建造混凝土仓or钢板仓。</v>
          </cell>
        </row>
        <row r="19">
          <cell r="B19" t="str">
            <v>C00003392｜陈辉｜工业｜莱歇6个热镀锌仓项目｜方案V1（钢构量）</v>
          </cell>
          <cell r="C19" t="str">
            <v>方案</v>
          </cell>
          <cell r="D19" t="str">
            <v>2026-07-30 17:02:11</v>
          </cell>
        </row>
        <row r="19">
          <cell r="J19" t="str">
            <v>陈辉</v>
          </cell>
          <cell r="K19" t="str">
            <v>莱歇在台北正在做的磨粉项目，这几个仓是原本是业主范围，现在想拿出来询价，来决定是分包给莱歇去做还是业主自己做。
莱歇要求足够低价。</v>
          </cell>
        </row>
      </sheetData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1"/>
  <sheetViews>
    <sheetView tabSelected="1" zoomScale="90" zoomScaleNormal="90" workbookViewId="0">
      <selection activeCell="J13" sqref="J13"/>
    </sheetView>
  </sheetViews>
  <sheetFormatPr defaultColWidth="9" defaultRowHeight="14.5"/>
  <cols>
    <col min="1" max="1" width="13.2727272727273" style="1" customWidth="1"/>
    <col min="2" max="2" width="61.3090909090909" style="2" customWidth="1"/>
    <col min="3" max="3" width="13.4545454545455" style="1" customWidth="1"/>
    <col min="4" max="4" width="25" style="3" customWidth="1"/>
    <col min="5" max="9" width="25" style="1" hidden="1" customWidth="1"/>
    <col min="10" max="10" width="16.3636363636364" style="3" customWidth="1"/>
    <col min="11" max="11" width="96.0545454545454" style="3" customWidth="1"/>
    <col min="12" max="12" width="47" style="3" customWidth="1"/>
    <col min="13" max="13" width="63.6363636363636" style="1" customWidth="1"/>
    <col min="14" max="16384" width="9" style="1"/>
  </cols>
  <sheetData>
    <row r="1" ht="28" customHeight="1" spans="1:1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ht="35" customHeight="1" spans="1:13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5" t="s">
        <v>11</v>
      </c>
      <c r="L2" s="5" t="s">
        <v>12</v>
      </c>
      <c r="M2" s="5" t="s">
        <v>13</v>
      </c>
    </row>
    <row r="3" ht="25" customHeight="1" spans="1:13">
      <c r="A3" s="6">
        <v>1</v>
      </c>
      <c r="B3" s="7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G3" s="8" t="s">
        <v>19</v>
      </c>
      <c r="H3" s="8" t="s">
        <v>20</v>
      </c>
      <c r="I3" s="8" t="s">
        <v>20</v>
      </c>
      <c r="J3" s="8" t="s">
        <v>21</v>
      </c>
      <c r="K3" s="9" t="str">
        <f>VLOOKUP(B3,[2]方案!$B:$K,10,FALSE)</f>
        <v>TCI预期拿到了埃及一港口的运营权，有计划建散料库，已报预算，还在规划阶段。</v>
      </c>
      <c r="L3" s="10" t="s">
        <v>22</v>
      </c>
      <c r="M3" s="11"/>
    </row>
    <row r="4" ht="25" customHeight="1" spans="1:13">
      <c r="A4" s="6">
        <v>2</v>
      </c>
      <c r="B4" s="7" t="s">
        <v>23</v>
      </c>
      <c r="C4" s="8" t="s">
        <v>15</v>
      </c>
      <c r="D4" s="8" t="s">
        <v>24</v>
      </c>
      <c r="E4" s="8" t="s">
        <v>25</v>
      </c>
      <c r="F4" s="8" t="s">
        <v>26</v>
      </c>
      <c r="G4" s="8" t="s">
        <v>27</v>
      </c>
      <c r="H4" s="8" t="s">
        <v>28</v>
      </c>
      <c r="I4" s="8" t="s">
        <v>28</v>
      </c>
      <c r="J4" s="8" t="s">
        <v>21</v>
      </c>
      <c r="K4" s="9" t="str">
        <f>VLOOKUP(B4,[2]方案!$B:$K,10,FALSE)</f>
        <v>大宇在土库曼化肥厂项目，仓型各种变化和多次报价后，目前最后一版是焊接仓的EPC。用户和大宇还在比较仓型。</v>
      </c>
      <c r="L4" s="10" t="s">
        <v>22</v>
      </c>
      <c r="M4" s="11"/>
    </row>
    <row r="5" ht="25" customHeight="1" spans="1:13">
      <c r="A5" s="6">
        <v>3</v>
      </c>
      <c r="B5" s="7" t="s">
        <v>29</v>
      </c>
      <c r="C5" s="8" t="s">
        <v>15</v>
      </c>
      <c r="D5" s="8" t="s">
        <v>30</v>
      </c>
      <c r="E5" s="8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8" t="s">
        <v>21</v>
      </c>
      <c r="K5" s="9" t="str">
        <f>VLOOKUP(B5,[2]方案!$B:$K,10,FALSE)</f>
        <v>kim小项目，设计完仓型，客户改计划不需要了。</v>
      </c>
      <c r="L5" s="10" t="s">
        <v>36</v>
      </c>
      <c r="M5" s="11" t="s">
        <v>37</v>
      </c>
    </row>
    <row r="6" ht="25" customHeight="1" spans="1:13">
      <c r="A6" s="6">
        <v>4</v>
      </c>
      <c r="B6" s="7" t="s">
        <v>38</v>
      </c>
      <c r="C6" s="8" t="s">
        <v>15</v>
      </c>
      <c r="D6" s="8" t="s">
        <v>39</v>
      </c>
      <c r="E6" s="8" t="s">
        <v>40</v>
      </c>
      <c r="F6" s="8" t="s">
        <v>41</v>
      </c>
      <c r="G6" s="8" t="s">
        <v>42</v>
      </c>
      <c r="H6" s="8" t="s">
        <v>43</v>
      </c>
      <c r="I6" s="8" t="s">
        <v>44</v>
      </c>
      <c r="J6" s="8" t="s">
        <v>21</v>
      </c>
      <c r="K6" s="9" t="str">
        <f>VLOOKUP(B6,[2]方案!$B:$K,10,FALSE)</f>
        <v>kim小项目，设计完仓型，客户改计划不需要了。</v>
      </c>
      <c r="L6" s="10" t="s">
        <v>36</v>
      </c>
      <c r="M6" s="11" t="s">
        <v>37</v>
      </c>
    </row>
    <row r="7" ht="25" customHeight="1" spans="1:13">
      <c r="A7" s="6">
        <v>5</v>
      </c>
      <c r="B7" s="7" t="s">
        <v>45</v>
      </c>
      <c r="C7" s="8" t="s">
        <v>15</v>
      </c>
      <c r="D7" s="8" t="s">
        <v>46</v>
      </c>
      <c r="E7" s="8" t="s">
        <v>47</v>
      </c>
      <c r="F7" s="8" t="s">
        <v>48</v>
      </c>
      <c r="G7" s="8" t="s">
        <v>49</v>
      </c>
      <c r="H7" s="8" t="s">
        <v>50</v>
      </c>
      <c r="I7" s="8" t="s">
        <v>50</v>
      </c>
      <c r="J7" s="8" t="s">
        <v>21</v>
      </c>
      <c r="K7" s="9" t="str">
        <f>VLOOKUP(B7,[2]方案!$B:$K,10,FALSE)</f>
        <v>小项目，仅仓无设备，客户还在决策。</v>
      </c>
      <c r="L7" s="10" t="s">
        <v>51</v>
      </c>
      <c r="M7" s="11"/>
    </row>
    <row r="8" ht="25" customHeight="1" spans="1:13">
      <c r="A8" s="6">
        <v>6</v>
      </c>
      <c r="B8" s="7" t="s">
        <v>52</v>
      </c>
      <c r="C8" s="8" t="s">
        <v>15</v>
      </c>
      <c r="D8" s="8" t="s">
        <v>53</v>
      </c>
      <c r="E8" s="8" t="s">
        <v>54</v>
      </c>
      <c r="F8" s="8" t="s">
        <v>55</v>
      </c>
      <c r="G8" s="8" t="s">
        <v>56</v>
      </c>
      <c r="H8" s="8" t="s">
        <v>57</v>
      </c>
      <c r="I8" s="8" t="s">
        <v>57</v>
      </c>
      <c r="J8" s="8" t="s">
        <v>21</v>
      </c>
      <c r="K8" s="9" t="str">
        <f>VLOOKUP(B8,[2]方案!$B:$K,10,FALSE)</f>
        <v>已去拜访客户，客户想法很多，缺资金。</v>
      </c>
      <c r="L8" s="10" t="s">
        <v>22</v>
      </c>
      <c r="M8" s="11"/>
    </row>
    <row r="9" ht="25" customHeight="1" spans="1:13">
      <c r="A9" s="6">
        <v>7</v>
      </c>
      <c r="B9" s="7" t="s">
        <v>58</v>
      </c>
      <c r="C9" s="8" t="s">
        <v>15</v>
      </c>
      <c r="D9" s="8" t="s">
        <v>59</v>
      </c>
      <c r="E9" s="8" t="s">
        <v>60</v>
      </c>
      <c r="F9" s="8" t="s">
        <v>41</v>
      </c>
      <c r="G9" s="8" t="s">
        <v>61</v>
      </c>
      <c r="H9" s="8" t="s">
        <v>62</v>
      </c>
      <c r="I9" s="8" t="s">
        <v>63</v>
      </c>
      <c r="J9" s="8" t="s">
        <v>21</v>
      </c>
      <c r="K9" s="9" t="str">
        <f>VLOOKUP(B9,[2]方案!$B:$K,10,FALSE)</f>
        <v>突尼斯一家工程公司想建这几个粮仓，没有资金，要靠国外银行给贷款，介绍了TCI给他们。项目还在找钱的阶段。</v>
      </c>
      <c r="L9" s="10" t="s">
        <v>22</v>
      </c>
      <c r="M9" s="11"/>
    </row>
    <row r="10" ht="25" customHeight="1" spans="1:13">
      <c r="A10" s="6">
        <v>8</v>
      </c>
      <c r="B10" s="7" t="s">
        <v>64</v>
      </c>
      <c r="C10" s="8" t="s">
        <v>15</v>
      </c>
      <c r="D10" s="8" t="s">
        <v>65</v>
      </c>
      <c r="E10" s="8" t="s">
        <v>66</v>
      </c>
      <c r="F10" s="8" t="s">
        <v>67</v>
      </c>
      <c r="G10" s="8" t="s">
        <v>68</v>
      </c>
      <c r="H10" s="8" t="s">
        <v>69</v>
      </c>
      <c r="I10" s="8" t="s">
        <v>70</v>
      </c>
      <c r="J10" s="8" t="s">
        <v>21</v>
      </c>
      <c r="K10" s="9" t="str">
        <f>VLOOKUP(B10,[2]方案!$B:$K,10,FALSE)</f>
        <v>EPC，我方首次报价50Wusd，优化后及打折后价格42Wusd，业主说当地供应商报价32Wusd，且不需额外任何进口税费和运输费</v>
      </c>
      <c r="L10" s="10" t="s">
        <v>36</v>
      </c>
      <c r="M10" s="12" t="s">
        <v>71</v>
      </c>
    </row>
    <row r="11" ht="25" customHeight="1" spans="1:13">
      <c r="A11" s="6">
        <v>9</v>
      </c>
      <c r="B11" s="7" t="s">
        <v>72</v>
      </c>
      <c r="C11" s="8" t="s">
        <v>15</v>
      </c>
      <c r="D11" s="8" t="s">
        <v>73</v>
      </c>
      <c r="E11" s="8" t="s">
        <v>74</v>
      </c>
      <c r="F11" s="8" t="s">
        <v>75</v>
      </c>
      <c r="G11" s="8" t="s">
        <v>76</v>
      </c>
      <c r="H11" s="8" t="s">
        <v>28</v>
      </c>
      <c r="I11" s="8" t="s">
        <v>77</v>
      </c>
      <c r="J11" s="8" t="s">
        <v>21</v>
      </c>
      <c r="K11" s="9" t="str">
        <f>VLOOKUP(B11,[2]方案!$B:$K,10,FALSE)</f>
        <v>大宇在土库曼化肥厂项目，筒仓的卸料分包给了韩国的一家公司DY，我们给DY报价，仅报一次，技术澄清比较多，DY如果中标大概率优选选我们。</v>
      </c>
      <c r="L11" s="10" t="s">
        <v>22</v>
      </c>
      <c r="M11" s="11"/>
    </row>
    <row r="12" ht="25" customHeight="1" spans="1:13">
      <c r="A12" s="6">
        <v>10</v>
      </c>
      <c r="B12" s="7" t="s">
        <v>78</v>
      </c>
      <c r="C12" s="8" t="s">
        <v>15</v>
      </c>
      <c r="D12" s="8" t="s">
        <v>79</v>
      </c>
      <c r="E12" s="8" t="s">
        <v>80</v>
      </c>
      <c r="F12" s="8" t="s">
        <v>75</v>
      </c>
      <c r="G12" s="8" t="s">
        <v>81</v>
      </c>
      <c r="H12" s="8" t="s">
        <v>82</v>
      </c>
      <c r="I12" s="8" t="s">
        <v>43</v>
      </c>
      <c r="J12" s="8" t="s">
        <v>21</v>
      </c>
      <c r="K12" s="9" t="str">
        <f>VLOOKUP(B12,[2]方案!$B:$K,10,FALSE)</f>
        <v>客户自有仓，让我们报火车卸料后进仓和出仓相关设备。
客户的项目仍在计划评审阶段。</v>
      </c>
      <c r="L12" s="10" t="s">
        <v>22</v>
      </c>
      <c r="M12" s="11"/>
    </row>
    <row r="13" ht="25" customHeight="1" spans="1:13">
      <c r="A13" s="6">
        <v>11</v>
      </c>
      <c r="B13" s="7" t="s">
        <v>83</v>
      </c>
      <c r="C13" s="8" t="s">
        <v>15</v>
      </c>
      <c r="D13" s="8" t="s">
        <v>84</v>
      </c>
      <c r="E13" s="8" t="s">
        <v>85</v>
      </c>
      <c r="F13" s="8" t="s">
        <v>86</v>
      </c>
      <c r="G13" s="8" t="s">
        <v>87</v>
      </c>
      <c r="H13" s="8" t="s">
        <v>35</v>
      </c>
      <c r="I13" s="8" t="s">
        <v>88</v>
      </c>
      <c r="J13" s="8" t="s">
        <v>21</v>
      </c>
      <c r="K13" s="9" t="str">
        <f>VLOOKUP(B13,[2]方案!$B:$K,10,FALSE)</f>
        <v>Kim联系的一个项目，已暂停。</v>
      </c>
      <c r="L13" s="10" t="s">
        <v>51</v>
      </c>
      <c r="M13" s="11"/>
    </row>
    <row r="14" ht="25" customHeight="1" spans="1:13">
      <c r="A14" s="6">
        <v>12</v>
      </c>
      <c r="B14" s="7" t="s">
        <v>89</v>
      </c>
      <c r="C14" s="8" t="s">
        <v>15</v>
      </c>
      <c r="D14" s="6" t="str">
        <f>VLOOKUP(B14,[1]Sheet1!$A:$D,4,FALSE)</f>
        <v>2026-08-17 09:00:35</v>
      </c>
      <c r="E14" s="13"/>
      <c r="F14" s="13"/>
      <c r="G14" s="13"/>
      <c r="H14" s="13"/>
      <c r="I14" s="13"/>
      <c r="J14" s="6" t="s">
        <v>21</v>
      </c>
      <c r="K14" s="9" t="str">
        <f>VLOOKUP(B14,[2]方案!$B:$K,10,FALSE)</f>
        <v>老客户，项目含3个仓+混拌（mixer客户从其他供应商订购），客户中国通，对中国钢材加工价格十万分的了解，仅允许报价有合理利润，超出会选其他供应商。</v>
      </c>
      <c r="L14" s="10" t="s">
        <v>22</v>
      </c>
      <c r="M14" s="11"/>
    </row>
    <row r="15" ht="25" customHeight="1" spans="1:13">
      <c r="A15" s="6">
        <v>13</v>
      </c>
      <c r="B15" s="14" t="s">
        <v>90</v>
      </c>
      <c r="C15" s="15" t="s">
        <v>15</v>
      </c>
      <c r="D15" s="16" t="str">
        <f>VLOOKUP(B15,[1]Sheet1!$A:$D,4,FALSE)</f>
        <v>2026-08-10 12:18:07</v>
      </c>
      <c r="E15" s="17"/>
      <c r="F15" s="17"/>
      <c r="G15" s="17"/>
      <c r="H15" s="17"/>
      <c r="I15" s="17"/>
      <c r="J15" s="16" t="s">
        <v>21</v>
      </c>
      <c r="K15" s="9" t="str">
        <f>VLOOKUP(B15,[2]方案!$B:$K,10,FALSE)</f>
        <v>埃及总包的一个投标项目，我们报价配合其投标。</v>
      </c>
      <c r="L15" s="10" t="s">
        <v>22</v>
      </c>
      <c r="M15" s="18"/>
    </row>
    <row r="16" ht="25" customHeight="1" spans="1:13">
      <c r="A16" s="6">
        <v>14</v>
      </c>
      <c r="B16" s="7" t="s">
        <v>91</v>
      </c>
      <c r="C16" s="8" t="s">
        <v>15</v>
      </c>
      <c r="D16" s="6" t="str">
        <f>VLOOKUP(B16,[1]Sheet1!$A:$D,4,FALSE)</f>
        <v>2026-08-06 16:32:58</v>
      </c>
      <c r="E16" s="13"/>
      <c r="F16" s="13"/>
      <c r="G16" s="13"/>
      <c r="H16" s="13"/>
      <c r="I16" s="13"/>
      <c r="J16" s="6" t="s">
        <v>21</v>
      </c>
      <c r="K16" s="9" t="str">
        <f>VLOOKUP(B16,[2]方案!$B:$K,10,FALSE)</f>
        <v>埃及的建筑公司作为投标人之一，向铝厂投标。</v>
      </c>
      <c r="L16" s="10" t="s">
        <v>22</v>
      </c>
      <c r="M16" s="11"/>
    </row>
    <row r="17" ht="25" customHeight="1" spans="1:13">
      <c r="A17" s="6">
        <v>15</v>
      </c>
      <c r="B17" s="7" t="s">
        <v>92</v>
      </c>
      <c r="C17" s="8" t="s">
        <v>15</v>
      </c>
      <c r="D17" s="6" t="str">
        <f>VLOOKUP(B17,[1]Sheet1!$A:$D,4,FALSE)</f>
        <v>2026-08-06 15:14:14</v>
      </c>
      <c r="E17" s="13"/>
      <c r="F17" s="13"/>
      <c r="G17" s="13"/>
      <c r="H17" s="13"/>
      <c r="I17" s="13"/>
      <c r="J17" s="6" t="s">
        <v>21</v>
      </c>
      <c r="K17" s="9" t="str">
        <f>VLOOKUP(B17,[2]方案!$B:$K,10,FALSE)</f>
        <v>规划阶段，客户未来可能有两万吨粘土仓的需求，目前只是了解仓型和价格。</v>
      </c>
      <c r="L17" s="10" t="s">
        <v>22</v>
      </c>
      <c r="M17" s="11"/>
    </row>
    <row r="18" ht="25" customHeight="1" spans="1:13">
      <c r="A18" s="6">
        <v>16</v>
      </c>
      <c r="B18" s="7" t="s">
        <v>93</v>
      </c>
      <c r="C18" s="8" t="s">
        <v>15</v>
      </c>
      <c r="D18" s="6" t="str">
        <f>VLOOKUP(B18,[1]Sheet1!$A:$D,4,FALSE)</f>
        <v>2026-07-31 15:23:27</v>
      </c>
      <c r="E18" s="13"/>
      <c r="F18" s="13"/>
      <c r="G18" s="13"/>
      <c r="H18" s="13"/>
      <c r="I18" s="13"/>
      <c r="J18" s="6" t="s">
        <v>21</v>
      </c>
      <c r="K18" s="9" t="str">
        <f>VLOOKUP(B18,[2]方案!$B:$K,10,FALSE)</f>
        <v>预算。客户仍在评估是建造混凝土仓or钢板仓。</v>
      </c>
      <c r="L18" s="10" t="s">
        <v>22</v>
      </c>
      <c r="M18" s="11"/>
    </row>
    <row r="19" ht="25" customHeight="1" spans="1:13">
      <c r="A19" s="6">
        <v>17</v>
      </c>
      <c r="B19" s="7" t="s">
        <v>94</v>
      </c>
      <c r="C19" s="8" t="s">
        <v>15</v>
      </c>
      <c r="D19" s="6" t="str">
        <f>VLOOKUP(B19,[1]Sheet1!$A:$D,4,FALSE)</f>
        <v>2026-07-30 17:02:11</v>
      </c>
      <c r="E19" s="13"/>
      <c r="F19" s="13"/>
      <c r="G19" s="13"/>
      <c r="H19" s="13"/>
      <c r="I19" s="13"/>
      <c r="J19" s="6" t="s">
        <v>21</v>
      </c>
      <c r="K19" s="9" t="str">
        <f>VLOOKUP(B19,[2]方案!$B:$K,10,FALSE)</f>
        <v>莱歇在台北正在做的磨粉项目，这几个仓是原本是业主范围，现在想拿出来询价，来决定是分包给莱歇去做还是业主自己做。
莱歇要求足够低价。</v>
      </c>
      <c r="L19" s="10" t="s">
        <v>22</v>
      </c>
      <c r="M19" s="11"/>
    </row>
    <row r="20" ht="32" customHeight="1" spans="1:13">
      <c r="A20" s="6">
        <v>18</v>
      </c>
      <c r="B20" s="7" t="s">
        <v>95</v>
      </c>
      <c r="C20" s="8" t="s">
        <v>15</v>
      </c>
      <c r="D20" s="8" t="s">
        <v>96</v>
      </c>
      <c r="E20" s="8" t="s">
        <v>97</v>
      </c>
      <c r="F20" s="8" t="s">
        <v>98</v>
      </c>
      <c r="G20" s="8" t="s">
        <v>99</v>
      </c>
      <c r="H20" s="8" t="s">
        <v>77</v>
      </c>
      <c r="I20" s="8" t="s">
        <v>100</v>
      </c>
      <c r="J20" s="8" t="s">
        <v>101</v>
      </c>
      <c r="K20" s="19" t="s">
        <v>102</v>
      </c>
      <c r="L20" s="20" t="s">
        <v>22</v>
      </c>
      <c r="M20" s="11"/>
    </row>
    <row r="21" ht="32" customHeight="1" spans="1:13">
      <c r="A21" s="6">
        <v>19</v>
      </c>
      <c r="B21" s="7" t="s">
        <v>103</v>
      </c>
      <c r="C21" s="8" t="s">
        <v>15</v>
      </c>
      <c r="D21" s="8" t="s">
        <v>104</v>
      </c>
      <c r="E21" s="8" t="s">
        <v>105</v>
      </c>
      <c r="F21" s="8" t="s">
        <v>106</v>
      </c>
      <c r="G21" s="8" t="s">
        <v>107</v>
      </c>
      <c r="H21" s="8" t="s">
        <v>108</v>
      </c>
      <c r="I21" s="8" t="s">
        <v>109</v>
      </c>
      <c r="J21" s="8" t="s">
        <v>101</v>
      </c>
      <c r="K21" s="19" t="s">
        <v>110</v>
      </c>
      <c r="L21" s="20" t="s">
        <v>22</v>
      </c>
      <c r="M21" s="11"/>
    </row>
    <row r="22" ht="32" customHeight="1" spans="1:13">
      <c r="A22" s="6">
        <v>20</v>
      </c>
      <c r="B22" s="7" t="s">
        <v>111</v>
      </c>
      <c r="C22" s="8" t="s">
        <v>15</v>
      </c>
      <c r="D22" s="8" t="s">
        <v>112</v>
      </c>
      <c r="E22" s="8" t="s">
        <v>113</v>
      </c>
      <c r="F22" s="8" t="s">
        <v>114</v>
      </c>
      <c r="G22" s="8" t="s">
        <v>115</v>
      </c>
      <c r="H22" s="8" t="s">
        <v>77</v>
      </c>
      <c r="I22" s="8" t="s">
        <v>116</v>
      </c>
      <c r="J22" s="8" t="s">
        <v>101</v>
      </c>
      <c r="K22" s="9" t="s">
        <v>117</v>
      </c>
      <c r="L22" s="20" t="s">
        <v>22</v>
      </c>
      <c r="M22" s="11"/>
    </row>
    <row r="23" ht="32" customHeight="1" spans="1:13">
      <c r="A23" s="6">
        <v>21</v>
      </c>
      <c r="B23" s="7" t="s">
        <v>118</v>
      </c>
      <c r="C23" s="8" t="s">
        <v>15</v>
      </c>
      <c r="D23" s="8" t="s">
        <v>119</v>
      </c>
      <c r="E23" s="8" t="s">
        <v>120</v>
      </c>
      <c r="F23" s="8" t="s">
        <v>121</v>
      </c>
      <c r="G23" s="8" t="s">
        <v>122</v>
      </c>
      <c r="H23" s="8" t="s">
        <v>123</v>
      </c>
      <c r="I23" s="8" t="s">
        <v>123</v>
      </c>
      <c r="J23" s="8" t="s">
        <v>101</v>
      </c>
      <c r="K23" s="9" t="s">
        <v>124</v>
      </c>
      <c r="L23" s="20" t="s">
        <v>22</v>
      </c>
      <c r="M23" s="11"/>
    </row>
    <row r="24" ht="32" customHeight="1" spans="1:13">
      <c r="A24" s="6">
        <v>22</v>
      </c>
      <c r="B24" s="7" t="s">
        <v>125</v>
      </c>
      <c r="C24" s="8" t="s">
        <v>15</v>
      </c>
      <c r="D24" s="8" t="s">
        <v>126</v>
      </c>
      <c r="E24" s="8" t="s">
        <v>127</v>
      </c>
      <c r="F24" s="8" t="s">
        <v>128</v>
      </c>
      <c r="G24" s="8" t="s">
        <v>129</v>
      </c>
      <c r="H24" s="8" t="s">
        <v>130</v>
      </c>
      <c r="I24" s="8" t="s">
        <v>131</v>
      </c>
      <c r="J24" s="8" t="s">
        <v>101</v>
      </c>
      <c r="K24" s="9" t="s">
        <v>132</v>
      </c>
      <c r="L24" s="20" t="s">
        <v>133</v>
      </c>
      <c r="M24" s="11"/>
    </row>
    <row r="25" ht="32" customHeight="1" spans="1:13">
      <c r="A25" s="6">
        <v>23</v>
      </c>
      <c r="B25" s="7" t="s">
        <v>134</v>
      </c>
      <c r="C25" s="8" t="s">
        <v>15</v>
      </c>
      <c r="D25" s="8" t="s">
        <v>135</v>
      </c>
      <c r="E25" s="8" t="s">
        <v>136</v>
      </c>
      <c r="F25" s="8" t="s">
        <v>137</v>
      </c>
      <c r="G25" s="8" t="s">
        <v>138</v>
      </c>
      <c r="H25" s="8" t="s">
        <v>139</v>
      </c>
      <c r="I25" s="8" t="s">
        <v>139</v>
      </c>
      <c r="J25" s="8" t="s">
        <v>101</v>
      </c>
      <c r="K25" s="9" t="s">
        <v>140</v>
      </c>
      <c r="L25" s="21" t="s">
        <v>36</v>
      </c>
      <c r="M25" s="11" t="s">
        <v>141</v>
      </c>
    </row>
    <row r="26" ht="32" customHeight="1" spans="1:13">
      <c r="A26" s="6">
        <v>24</v>
      </c>
      <c r="B26" s="7" t="s">
        <v>142</v>
      </c>
      <c r="C26" s="8" t="s">
        <v>15</v>
      </c>
      <c r="D26" s="8" t="s">
        <v>143</v>
      </c>
      <c r="E26" s="8" t="s">
        <v>144</v>
      </c>
      <c r="F26" s="8" t="s">
        <v>145</v>
      </c>
      <c r="G26" s="8" t="s">
        <v>146</v>
      </c>
      <c r="H26" s="8" t="s">
        <v>147</v>
      </c>
      <c r="I26" s="8" t="s">
        <v>147</v>
      </c>
      <c r="J26" s="8" t="s">
        <v>101</v>
      </c>
      <c r="K26" s="9" t="s">
        <v>148</v>
      </c>
      <c r="L26" s="21" t="s">
        <v>22</v>
      </c>
      <c r="M26" s="11"/>
    </row>
    <row r="27" ht="32" customHeight="1" spans="1:13">
      <c r="A27" s="6">
        <v>25</v>
      </c>
      <c r="B27" s="7" t="s">
        <v>149</v>
      </c>
      <c r="C27" s="8" t="s">
        <v>15</v>
      </c>
      <c r="D27" s="8" t="s">
        <v>150</v>
      </c>
      <c r="E27" s="8" t="s">
        <v>151</v>
      </c>
      <c r="F27" s="8" t="s">
        <v>152</v>
      </c>
      <c r="G27" s="8" t="s">
        <v>153</v>
      </c>
      <c r="H27" s="8" t="s">
        <v>154</v>
      </c>
      <c r="I27" s="8" t="s">
        <v>155</v>
      </c>
      <c r="J27" s="8" t="s">
        <v>101</v>
      </c>
      <c r="K27" s="9" t="s">
        <v>156</v>
      </c>
      <c r="L27" s="21" t="s">
        <v>36</v>
      </c>
      <c r="M27" s="11" t="s">
        <v>157</v>
      </c>
    </row>
    <row r="28" ht="25" customHeight="1" spans="1:13">
      <c r="A28" s="6">
        <v>26</v>
      </c>
      <c r="B28" s="7" t="s">
        <v>158</v>
      </c>
      <c r="C28" s="8" t="s">
        <v>15</v>
      </c>
      <c r="D28" s="8" t="s">
        <v>159</v>
      </c>
      <c r="E28" s="8" t="s">
        <v>160</v>
      </c>
      <c r="F28" s="8" t="s">
        <v>161</v>
      </c>
      <c r="G28" s="8" t="s">
        <v>162</v>
      </c>
      <c r="H28" s="8" t="s">
        <v>163</v>
      </c>
      <c r="I28" s="8" t="s">
        <v>164</v>
      </c>
      <c r="J28" s="8" t="s">
        <v>101</v>
      </c>
      <c r="K28" s="9" t="s">
        <v>165</v>
      </c>
      <c r="L28" s="20" t="s">
        <v>36</v>
      </c>
      <c r="M28" s="11" t="s">
        <v>166</v>
      </c>
    </row>
    <row r="29" ht="25" customHeight="1" spans="1:13">
      <c r="A29" s="6">
        <v>27</v>
      </c>
      <c r="B29" s="7" t="s">
        <v>167</v>
      </c>
      <c r="C29" s="8" t="s">
        <v>15</v>
      </c>
      <c r="D29" s="8" t="s">
        <v>168</v>
      </c>
      <c r="E29" s="8" t="s">
        <v>169</v>
      </c>
      <c r="F29" s="8" t="s">
        <v>170</v>
      </c>
      <c r="G29" s="8" t="s">
        <v>171</v>
      </c>
      <c r="H29" s="8" t="s">
        <v>35</v>
      </c>
      <c r="I29" s="8" t="s">
        <v>35</v>
      </c>
      <c r="J29" s="8" t="s">
        <v>101</v>
      </c>
      <c r="K29" s="9" t="s">
        <v>172</v>
      </c>
      <c r="L29" s="20" t="s">
        <v>36</v>
      </c>
      <c r="M29" s="11" t="s">
        <v>173</v>
      </c>
    </row>
    <row r="30" ht="25" customHeight="1" spans="1:13">
      <c r="A30" s="6">
        <v>28</v>
      </c>
      <c r="B30" s="7" t="s">
        <v>174</v>
      </c>
      <c r="C30" s="8" t="s">
        <v>15</v>
      </c>
      <c r="D30" s="8" t="s">
        <v>175</v>
      </c>
      <c r="E30" s="8" t="s">
        <v>176</v>
      </c>
      <c r="F30" s="8" t="s">
        <v>177</v>
      </c>
      <c r="G30" s="8" t="s">
        <v>178</v>
      </c>
      <c r="H30" s="8" t="s">
        <v>179</v>
      </c>
      <c r="I30" s="8" t="s">
        <v>180</v>
      </c>
      <c r="J30" s="8" t="s">
        <v>101</v>
      </c>
      <c r="K30" s="9" t="s">
        <v>181</v>
      </c>
      <c r="L30" s="20" t="s">
        <v>36</v>
      </c>
      <c r="M30" s="11" t="s">
        <v>182</v>
      </c>
    </row>
    <row r="31" ht="25" customHeight="1" spans="1:13">
      <c r="A31" s="6">
        <v>29</v>
      </c>
      <c r="B31" s="7" t="s">
        <v>183</v>
      </c>
      <c r="C31" s="8" t="s">
        <v>15</v>
      </c>
      <c r="D31" s="8" t="s">
        <v>184</v>
      </c>
      <c r="E31" s="8" t="s">
        <v>185</v>
      </c>
      <c r="F31" s="8" t="s">
        <v>186</v>
      </c>
      <c r="G31" s="8" t="s">
        <v>187</v>
      </c>
      <c r="H31" s="8" t="s">
        <v>130</v>
      </c>
      <c r="I31" s="8" t="s">
        <v>163</v>
      </c>
      <c r="J31" s="8" t="s">
        <v>101</v>
      </c>
      <c r="K31" s="9" t="s">
        <v>188</v>
      </c>
      <c r="L31" s="20" t="s">
        <v>22</v>
      </c>
      <c r="M31" s="11"/>
    </row>
    <row r="32" ht="25" customHeight="1" spans="1:13">
      <c r="A32" s="6">
        <v>30</v>
      </c>
      <c r="B32" s="7" t="s">
        <v>189</v>
      </c>
      <c r="C32" s="8" t="s">
        <v>15</v>
      </c>
      <c r="D32" s="8" t="s">
        <v>190</v>
      </c>
      <c r="E32" s="8" t="s">
        <v>191</v>
      </c>
      <c r="F32" s="8" t="s">
        <v>192</v>
      </c>
      <c r="G32" s="8" t="s">
        <v>193</v>
      </c>
      <c r="H32" s="8" t="s">
        <v>194</v>
      </c>
      <c r="I32" s="8" t="s">
        <v>194</v>
      </c>
      <c r="J32" s="8" t="s">
        <v>101</v>
      </c>
      <c r="K32" s="9" t="s">
        <v>195</v>
      </c>
      <c r="L32" s="20" t="s">
        <v>196</v>
      </c>
      <c r="M32" s="11"/>
    </row>
    <row r="33" ht="25" customHeight="1" spans="1:13">
      <c r="A33" s="6">
        <v>31</v>
      </c>
      <c r="B33" s="7" t="s">
        <v>197</v>
      </c>
      <c r="C33" s="8" t="s">
        <v>15</v>
      </c>
      <c r="D33" s="8" t="s">
        <v>198</v>
      </c>
      <c r="E33" s="8" t="s">
        <v>199</v>
      </c>
      <c r="F33" s="8" t="s">
        <v>200</v>
      </c>
      <c r="G33" s="8" t="s">
        <v>201</v>
      </c>
      <c r="H33" s="8" t="s">
        <v>147</v>
      </c>
      <c r="I33" s="8" t="s">
        <v>147</v>
      </c>
      <c r="J33" s="8" t="s">
        <v>101</v>
      </c>
      <c r="K33" s="9" t="s">
        <v>202</v>
      </c>
      <c r="L33" s="20" t="s">
        <v>36</v>
      </c>
      <c r="M33" s="11" t="s">
        <v>203</v>
      </c>
    </row>
    <row r="34" ht="25" customHeight="1" spans="1:13">
      <c r="A34" s="6">
        <v>32</v>
      </c>
      <c r="B34" s="7" t="s">
        <v>204</v>
      </c>
      <c r="C34" s="8" t="s">
        <v>15</v>
      </c>
      <c r="D34" s="8" t="s">
        <v>205</v>
      </c>
      <c r="E34" s="8" t="s">
        <v>206</v>
      </c>
      <c r="F34" s="8" t="s">
        <v>207</v>
      </c>
      <c r="G34" s="8" t="s">
        <v>208</v>
      </c>
      <c r="H34" s="8" t="s">
        <v>209</v>
      </c>
      <c r="I34" s="8" t="s">
        <v>210</v>
      </c>
      <c r="J34" s="8" t="s">
        <v>101</v>
      </c>
      <c r="K34" s="9" t="s">
        <v>211</v>
      </c>
      <c r="L34" s="20" t="s">
        <v>51</v>
      </c>
      <c r="M34" s="11"/>
    </row>
    <row r="35" ht="25" customHeight="1" spans="1:13">
      <c r="A35" s="6">
        <v>33</v>
      </c>
      <c r="B35" s="7" t="s">
        <v>212</v>
      </c>
      <c r="C35" s="8" t="s">
        <v>15</v>
      </c>
      <c r="D35" s="6" t="str">
        <f>VLOOKUP(B35,[1]Sheet1!$A:$D,4,FALSE)</f>
        <v>2026-08-13 17:28:50</v>
      </c>
      <c r="E35" s="13"/>
      <c r="F35" s="13"/>
      <c r="G35" s="13"/>
      <c r="H35" s="13"/>
      <c r="I35" s="13"/>
      <c r="J35" s="6" t="str">
        <f>VLOOKUP(B35,[1]Sheet1!$A:$J,10,FALSE)</f>
        <v>陈子凡</v>
      </c>
      <c r="K35" s="9" t="s">
        <v>213</v>
      </c>
      <c r="L35" s="20" t="s">
        <v>22</v>
      </c>
      <c r="M35" s="11"/>
    </row>
    <row r="36" ht="25" customHeight="1" spans="1:13">
      <c r="A36" s="6">
        <v>34</v>
      </c>
      <c r="B36" s="7" t="s">
        <v>214</v>
      </c>
      <c r="C36" s="8" t="s">
        <v>15</v>
      </c>
      <c r="D36" s="8" t="s">
        <v>215</v>
      </c>
      <c r="E36" s="8" t="s">
        <v>216</v>
      </c>
      <c r="F36" s="8" t="s">
        <v>217</v>
      </c>
      <c r="G36" s="8" t="s">
        <v>218</v>
      </c>
      <c r="H36" s="8" t="s">
        <v>219</v>
      </c>
      <c r="I36" s="8" t="s">
        <v>218</v>
      </c>
      <c r="J36" s="8" t="s">
        <v>220</v>
      </c>
      <c r="K36" s="22"/>
      <c r="L36" s="23"/>
      <c r="M36" s="11"/>
    </row>
    <row r="37" ht="25" customHeight="1" spans="1:13">
      <c r="A37" s="6">
        <v>35</v>
      </c>
      <c r="B37" s="7" t="s">
        <v>221</v>
      </c>
      <c r="C37" s="8" t="s">
        <v>15</v>
      </c>
      <c r="D37" s="8" t="s">
        <v>222</v>
      </c>
      <c r="E37" s="8" t="s">
        <v>223</v>
      </c>
      <c r="F37" s="8" t="s">
        <v>224</v>
      </c>
      <c r="G37" s="8" t="s">
        <v>225</v>
      </c>
      <c r="H37" s="8" t="s">
        <v>77</v>
      </c>
      <c r="I37" s="8" t="s">
        <v>147</v>
      </c>
      <c r="J37" s="8" t="s">
        <v>220</v>
      </c>
      <c r="K37" s="22"/>
      <c r="L37" s="23"/>
      <c r="M37" s="11"/>
    </row>
    <row r="38" ht="25" customHeight="1" spans="1:13">
      <c r="A38" s="6">
        <v>36</v>
      </c>
      <c r="B38" s="7" t="s">
        <v>226</v>
      </c>
      <c r="C38" s="8" t="s">
        <v>15</v>
      </c>
      <c r="D38" s="8" t="s">
        <v>227</v>
      </c>
      <c r="E38" s="8" t="s">
        <v>228</v>
      </c>
      <c r="F38" s="8" t="s">
        <v>229</v>
      </c>
      <c r="G38" s="8" t="s">
        <v>218</v>
      </c>
      <c r="H38" s="8" t="s">
        <v>230</v>
      </c>
      <c r="I38" s="8" t="s">
        <v>218</v>
      </c>
      <c r="J38" s="8" t="s">
        <v>220</v>
      </c>
      <c r="K38" s="22"/>
      <c r="L38" s="23"/>
      <c r="M38" s="11"/>
    </row>
    <row r="39" ht="25" customHeight="1" spans="1:13">
      <c r="A39" s="6">
        <v>37</v>
      </c>
      <c r="B39" s="7" t="s">
        <v>231</v>
      </c>
      <c r="C39" s="8" t="s">
        <v>15</v>
      </c>
      <c r="D39" s="8" t="s">
        <v>232</v>
      </c>
      <c r="E39" s="8" t="s">
        <v>233</v>
      </c>
      <c r="F39" s="8" t="s">
        <v>234</v>
      </c>
      <c r="G39" s="8" t="s">
        <v>235</v>
      </c>
      <c r="H39" s="8" t="s">
        <v>236</v>
      </c>
      <c r="I39" s="8" t="s">
        <v>237</v>
      </c>
      <c r="J39" s="8" t="s">
        <v>220</v>
      </c>
      <c r="K39" s="22"/>
      <c r="L39" s="23"/>
      <c r="M39" s="11"/>
    </row>
    <row r="40" ht="25" customHeight="1" spans="1:13">
      <c r="A40" s="6">
        <v>38</v>
      </c>
      <c r="B40" s="7" t="s">
        <v>238</v>
      </c>
      <c r="C40" s="8" t="s">
        <v>15</v>
      </c>
      <c r="D40" s="8" t="s">
        <v>239</v>
      </c>
      <c r="E40" s="8" t="s">
        <v>240</v>
      </c>
      <c r="F40" s="8" t="s">
        <v>241</v>
      </c>
      <c r="G40" s="8" t="s">
        <v>242</v>
      </c>
      <c r="H40" s="8" t="s">
        <v>236</v>
      </c>
      <c r="I40" s="8" t="s">
        <v>35</v>
      </c>
      <c r="J40" s="8" t="s">
        <v>220</v>
      </c>
      <c r="K40" s="22"/>
      <c r="L40" s="23"/>
      <c r="M40" s="11"/>
    </row>
    <row r="41" ht="25" customHeight="1" spans="1:13">
      <c r="A41" s="6">
        <v>39</v>
      </c>
      <c r="B41" s="7" t="s">
        <v>243</v>
      </c>
      <c r="C41" s="8" t="s">
        <v>15</v>
      </c>
      <c r="D41" s="8" t="s">
        <v>244</v>
      </c>
      <c r="E41" s="8" t="s">
        <v>245</v>
      </c>
      <c r="F41" s="8" t="s">
        <v>246</v>
      </c>
      <c r="G41" s="8" t="s">
        <v>247</v>
      </c>
      <c r="H41" s="8" t="s">
        <v>28</v>
      </c>
      <c r="I41" s="8" t="s">
        <v>28</v>
      </c>
      <c r="J41" s="8" t="s">
        <v>220</v>
      </c>
      <c r="K41" s="22"/>
      <c r="L41" s="23"/>
      <c r="M41" s="11"/>
    </row>
    <row r="42" ht="25" customHeight="1" spans="1:13">
      <c r="A42" s="6">
        <v>40</v>
      </c>
      <c r="B42" s="7" t="s">
        <v>248</v>
      </c>
      <c r="C42" s="8" t="s">
        <v>15</v>
      </c>
      <c r="D42" s="8" t="s">
        <v>249</v>
      </c>
      <c r="E42" s="8" t="s">
        <v>245</v>
      </c>
      <c r="F42" s="8" t="s">
        <v>250</v>
      </c>
      <c r="G42" s="8" t="s">
        <v>251</v>
      </c>
      <c r="H42" s="8" t="s">
        <v>252</v>
      </c>
      <c r="I42" s="8" t="s">
        <v>253</v>
      </c>
      <c r="J42" s="8" t="s">
        <v>220</v>
      </c>
      <c r="K42" s="22"/>
      <c r="L42" s="23"/>
      <c r="M42" s="11"/>
    </row>
    <row r="43" ht="25" customHeight="1" spans="1:13">
      <c r="A43" s="6">
        <v>41</v>
      </c>
      <c r="B43" s="7" t="s">
        <v>254</v>
      </c>
      <c r="C43" s="8" t="s">
        <v>15</v>
      </c>
      <c r="D43" s="8" t="s">
        <v>255</v>
      </c>
      <c r="E43" s="8" t="s">
        <v>256</v>
      </c>
      <c r="F43" s="8" t="s">
        <v>257</v>
      </c>
      <c r="G43" s="8" t="s">
        <v>258</v>
      </c>
      <c r="H43" s="8" t="s">
        <v>237</v>
      </c>
      <c r="I43" s="8" t="s">
        <v>236</v>
      </c>
      <c r="J43" s="8" t="s">
        <v>220</v>
      </c>
      <c r="K43" s="22"/>
      <c r="L43" s="23"/>
      <c r="M43" s="11"/>
    </row>
    <row r="44" ht="25" customHeight="1" spans="1:13">
      <c r="A44" s="6">
        <v>42</v>
      </c>
      <c r="B44" s="7" t="s">
        <v>259</v>
      </c>
      <c r="C44" s="8" t="s">
        <v>15</v>
      </c>
      <c r="D44" s="8" t="s">
        <v>260</v>
      </c>
      <c r="E44" s="8" t="s">
        <v>261</v>
      </c>
      <c r="F44" s="8" t="s">
        <v>224</v>
      </c>
      <c r="G44" s="8" t="s">
        <v>218</v>
      </c>
      <c r="H44" s="8" t="s">
        <v>210</v>
      </c>
      <c r="I44" s="8" t="s">
        <v>218</v>
      </c>
      <c r="J44" s="8" t="s">
        <v>220</v>
      </c>
      <c r="K44" s="22"/>
      <c r="L44" s="23"/>
      <c r="M44" s="11"/>
    </row>
    <row r="45" ht="25" customHeight="1" spans="1:13">
      <c r="A45" s="6">
        <v>43</v>
      </c>
      <c r="B45" s="7" t="s">
        <v>262</v>
      </c>
      <c r="C45" s="8" t="s">
        <v>15</v>
      </c>
      <c r="D45" s="8" t="s">
        <v>263</v>
      </c>
      <c r="E45" s="8" t="s">
        <v>264</v>
      </c>
      <c r="F45" s="8" t="s">
        <v>265</v>
      </c>
      <c r="G45" s="8" t="s">
        <v>266</v>
      </c>
      <c r="H45" s="8" t="s">
        <v>267</v>
      </c>
      <c r="I45" s="8" t="s">
        <v>268</v>
      </c>
      <c r="J45" s="8" t="s">
        <v>220</v>
      </c>
      <c r="K45" s="22"/>
      <c r="L45" s="23"/>
      <c r="M45" s="11"/>
    </row>
    <row r="46" ht="25" customHeight="1" spans="1:13">
      <c r="A46" s="6">
        <v>44</v>
      </c>
      <c r="B46" s="7" t="s">
        <v>269</v>
      </c>
      <c r="C46" s="8" t="s">
        <v>15</v>
      </c>
      <c r="D46" s="8" t="s">
        <v>270</v>
      </c>
      <c r="E46" s="8" t="s">
        <v>271</v>
      </c>
      <c r="F46" s="8" t="s">
        <v>272</v>
      </c>
      <c r="G46" s="8" t="s">
        <v>273</v>
      </c>
      <c r="H46" s="8" t="s">
        <v>274</v>
      </c>
      <c r="I46" s="8" t="s">
        <v>274</v>
      </c>
      <c r="J46" s="8" t="s">
        <v>220</v>
      </c>
      <c r="K46" s="22"/>
      <c r="L46" s="23"/>
      <c r="M46" s="11"/>
    </row>
    <row r="47" ht="25" customHeight="1" spans="1:13">
      <c r="A47" s="6">
        <v>45</v>
      </c>
      <c r="B47" s="7" t="s">
        <v>275</v>
      </c>
      <c r="C47" s="8" t="s">
        <v>15</v>
      </c>
      <c r="D47" s="8" t="s">
        <v>276</v>
      </c>
      <c r="E47" s="8" t="s">
        <v>277</v>
      </c>
      <c r="F47" s="8" t="s">
        <v>278</v>
      </c>
      <c r="G47" s="8" t="s">
        <v>279</v>
      </c>
      <c r="H47" s="8" t="s">
        <v>280</v>
      </c>
      <c r="I47" s="8" t="s">
        <v>281</v>
      </c>
      <c r="J47" s="8" t="s">
        <v>220</v>
      </c>
      <c r="K47" s="22"/>
      <c r="L47" s="23"/>
      <c r="M47" s="11"/>
    </row>
    <row r="48" ht="25" customHeight="1" spans="1:13">
      <c r="A48" s="6">
        <v>46</v>
      </c>
      <c r="B48" s="7" t="s">
        <v>282</v>
      </c>
      <c r="C48" s="8" t="s">
        <v>15</v>
      </c>
      <c r="D48" s="8" t="s">
        <v>283</v>
      </c>
      <c r="E48" s="8" t="s">
        <v>284</v>
      </c>
      <c r="F48" s="8" t="s">
        <v>285</v>
      </c>
      <c r="G48" s="8" t="s">
        <v>286</v>
      </c>
      <c r="H48" s="8" t="s">
        <v>253</v>
      </c>
      <c r="I48" s="8" t="s">
        <v>253</v>
      </c>
      <c r="J48" s="8" t="s">
        <v>220</v>
      </c>
      <c r="K48" s="22"/>
      <c r="L48" s="23"/>
      <c r="M48" s="11"/>
    </row>
    <row r="49" ht="25" customHeight="1" spans="1:13">
      <c r="A49" s="6">
        <v>47</v>
      </c>
      <c r="B49" s="7" t="s">
        <v>287</v>
      </c>
      <c r="C49" s="8" t="s">
        <v>15</v>
      </c>
      <c r="D49" s="8" t="s">
        <v>288</v>
      </c>
      <c r="E49" s="8" t="s">
        <v>289</v>
      </c>
      <c r="F49" s="8" t="s">
        <v>224</v>
      </c>
      <c r="G49" s="8" t="s">
        <v>218</v>
      </c>
      <c r="H49" s="8" t="s">
        <v>290</v>
      </c>
      <c r="I49" s="8" t="s">
        <v>218</v>
      </c>
      <c r="J49" s="8" t="s">
        <v>220</v>
      </c>
      <c r="K49" s="22"/>
      <c r="L49" s="23"/>
      <c r="M49" s="11"/>
    </row>
    <row r="50" ht="25" customHeight="1" spans="1:13">
      <c r="A50" s="6">
        <v>48</v>
      </c>
      <c r="B50" s="7" t="s">
        <v>291</v>
      </c>
      <c r="C50" s="8" t="s">
        <v>15</v>
      </c>
      <c r="D50" s="8" t="s">
        <v>292</v>
      </c>
      <c r="E50" s="8" t="s">
        <v>293</v>
      </c>
      <c r="F50" s="8" t="s">
        <v>294</v>
      </c>
      <c r="G50" s="8" t="s">
        <v>295</v>
      </c>
      <c r="H50" s="8" t="s">
        <v>154</v>
      </c>
      <c r="I50" s="8" t="s">
        <v>154</v>
      </c>
      <c r="J50" s="8" t="s">
        <v>220</v>
      </c>
      <c r="K50" s="22"/>
      <c r="L50" s="23"/>
      <c r="M50" s="11"/>
    </row>
    <row r="51" ht="25" customHeight="1" spans="1:13">
      <c r="A51" s="6">
        <v>49</v>
      </c>
      <c r="B51" s="7" t="s">
        <v>296</v>
      </c>
      <c r="C51" s="8" t="s">
        <v>15</v>
      </c>
      <c r="D51" s="8" t="s">
        <v>297</v>
      </c>
      <c r="E51" s="8" t="s">
        <v>298</v>
      </c>
      <c r="F51" s="8" t="s">
        <v>299</v>
      </c>
      <c r="G51" s="8" t="s">
        <v>300</v>
      </c>
      <c r="H51" s="8" t="s">
        <v>28</v>
      </c>
      <c r="I51" s="8" t="s">
        <v>28</v>
      </c>
      <c r="J51" s="8" t="s">
        <v>220</v>
      </c>
      <c r="K51" s="22"/>
      <c r="L51" s="23"/>
      <c r="M51" s="11"/>
    </row>
    <row r="52" ht="25" customHeight="1" spans="1:13">
      <c r="A52" s="6">
        <v>50</v>
      </c>
      <c r="B52" s="7" t="s">
        <v>301</v>
      </c>
      <c r="C52" s="8" t="s">
        <v>15</v>
      </c>
      <c r="D52" s="8" t="s">
        <v>302</v>
      </c>
      <c r="E52" s="8" t="s">
        <v>303</v>
      </c>
      <c r="F52" s="8" t="s">
        <v>304</v>
      </c>
      <c r="G52" s="8" t="s">
        <v>305</v>
      </c>
      <c r="H52" s="8" t="s">
        <v>306</v>
      </c>
      <c r="I52" s="8" t="s">
        <v>306</v>
      </c>
      <c r="J52" s="8" t="s">
        <v>220</v>
      </c>
      <c r="K52" s="22"/>
      <c r="L52" s="23"/>
      <c r="M52" s="11"/>
    </row>
    <row r="53" ht="25" customHeight="1" spans="1:13">
      <c r="A53" s="6">
        <v>51</v>
      </c>
      <c r="B53" s="7" t="s">
        <v>307</v>
      </c>
      <c r="C53" s="8" t="s">
        <v>15</v>
      </c>
      <c r="D53" s="8" t="s">
        <v>308</v>
      </c>
      <c r="E53" s="8" t="s">
        <v>309</v>
      </c>
      <c r="F53" s="8" t="s">
        <v>310</v>
      </c>
      <c r="G53" s="8" t="s">
        <v>218</v>
      </c>
      <c r="H53" s="8" t="s">
        <v>311</v>
      </c>
      <c r="I53" s="8" t="s">
        <v>218</v>
      </c>
      <c r="J53" s="8" t="s">
        <v>220</v>
      </c>
      <c r="K53" s="22"/>
      <c r="L53" s="23"/>
      <c r="M53" s="11"/>
    </row>
    <row r="54" ht="25" customHeight="1" spans="1:13">
      <c r="A54" s="6">
        <v>52</v>
      </c>
      <c r="B54" s="7" t="s">
        <v>312</v>
      </c>
      <c r="C54" s="8" t="s">
        <v>15</v>
      </c>
      <c r="D54" s="8" t="s">
        <v>313</v>
      </c>
      <c r="E54" s="8" t="s">
        <v>314</v>
      </c>
      <c r="F54" s="8" t="s">
        <v>315</v>
      </c>
      <c r="G54" s="8" t="s">
        <v>316</v>
      </c>
      <c r="H54" s="8" t="s">
        <v>236</v>
      </c>
      <c r="I54" s="8" t="s">
        <v>317</v>
      </c>
      <c r="J54" s="8" t="s">
        <v>220</v>
      </c>
      <c r="K54" s="22"/>
      <c r="L54" s="23"/>
      <c r="M54" s="11"/>
    </row>
    <row r="55" ht="25" customHeight="1" spans="1:13">
      <c r="A55" s="6">
        <v>53</v>
      </c>
      <c r="B55" s="7" t="s">
        <v>318</v>
      </c>
      <c r="C55" s="8" t="s">
        <v>15</v>
      </c>
      <c r="D55" s="8" t="s">
        <v>319</v>
      </c>
      <c r="E55" s="8" t="s">
        <v>320</v>
      </c>
      <c r="F55" s="8" t="s">
        <v>321</v>
      </c>
      <c r="G55" s="8" t="s">
        <v>322</v>
      </c>
      <c r="H55" s="8" t="s">
        <v>323</v>
      </c>
      <c r="I55" s="8" t="s">
        <v>324</v>
      </c>
      <c r="J55" s="8" t="s">
        <v>220</v>
      </c>
      <c r="K55" s="22"/>
      <c r="L55" s="23"/>
      <c r="M55" s="11"/>
    </row>
    <row r="56" ht="25" customHeight="1" spans="1:13">
      <c r="A56" s="6">
        <v>54</v>
      </c>
      <c r="B56" s="7" t="s">
        <v>325</v>
      </c>
      <c r="C56" s="8" t="s">
        <v>15</v>
      </c>
      <c r="D56" s="8" t="s">
        <v>326</v>
      </c>
      <c r="E56" s="8" t="s">
        <v>320</v>
      </c>
      <c r="F56" s="8" t="s">
        <v>315</v>
      </c>
      <c r="G56" s="8" t="s">
        <v>327</v>
      </c>
      <c r="H56" s="8" t="s">
        <v>237</v>
      </c>
      <c r="I56" s="8" t="s">
        <v>236</v>
      </c>
      <c r="J56" s="8" t="s">
        <v>220</v>
      </c>
      <c r="K56" s="22"/>
      <c r="L56" s="23"/>
      <c r="M56" s="11"/>
    </row>
    <row r="57" ht="25" customHeight="1" spans="1:13">
      <c r="A57" s="6">
        <v>55</v>
      </c>
      <c r="B57" s="7" t="s">
        <v>328</v>
      </c>
      <c r="C57" s="8" t="s">
        <v>15</v>
      </c>
      <c r="D57" s="8" t="s">
        <v>329</v>
      </c>
      <c r="E57" s="8" t="s">
        <v>330</v>
      </c>
      <c r="F57" s="8" t="s">
        <v>331</v>
      </c>
      <c r="G57" s="8" t="s">
        <v>332</v>
      </c>
      <c r="H57" s="8" t="s">
        <v>333</v>
      </c>
      <c r="I57" s="8" t="s">
        <v>88</v>
      </c>
      <c r="J57" s="8" t="s">
        <v>220</v>
      </c>
      <c r="K57" s="22"/>
      <c r="L57" s="23"/>
      <c r="M57" s="11"/>
    </row>
    <row r="58" ht="25" customHeight="1" spans="1:13">
      <c r="A58" s="6">
        <v>56</v>
      </c>
      <c r="B58" s="7" t="s">
        <v>334</v>
      </c>
      <c r="C58" s="8" t="s">
        <v>15</v>
      </c>
      <c r="D58" s="8" t="s">
        <v>335</v>
      </c>
      <c r="E58" s="8" t="s">
        <v>336</v>
      </c>
      <c r="F58" s="8" t="s">
        <v>337</v>
      </c>
      <c r="G58" s="8" t="s">
        <v>338</v>
      </c>
      <c r="H58" s="8" t="s">
        <v>339</v>
      </c>
      <c r="I58" s="8" t="s">
        <v>340</v>
      </c>
      <c r="J58" s="8" t="s">
        <v>220</v>
      </c>
      <c r="K58" s="22"/>
      <c r="L58" s="23"/>
      <c r="M58" s="11"/>
    </row>
    <row r="59" ht="25" customHeight="1" spans="1:13">
      <c r="A59" s="6">
        <v>57</v>
      </c>
      <c r="B59" s="7" t="s">
        <v>341</v>
      </c>
      <c r="C59" s="8" t="s">
        <v>15</v>
      </c>
      <c r="D59" s="8" t="s">
        <v>342</v>
      </c>
      <c r="E59" s="8" t="s">
        <v>343</v>
      </c>
      <c r="F59" s="8" t="s">
        <v>344</v>
      </c>
      <c r="G59" s="8" t="s">
        <v>345</v>
      </c>
      <c r="H59" s="8" t="s">
        <v>346</v>
      </c>
      <c r="I59" s="8" t="s">
        <v>347</v>
      </c>
      <c r="J59" s="8" t="s">
        <v>220</v>
      </c>
      <c r="K59" s="22"/>
      <c r="L59" s="23"/>
      <c r="M59" s="11"/>
    </row>
    <row r="60" ht="25" customHeight="1" spans="1:13">
      <c r="A60" s="6">
        <v>58</v>
      </c>
      <c r="B60" s="7" t="s">
        <v>348</v>
      </c>
      <c r="C60" s="8" t="s">
        <v>15</v>
      </c>
      <c r="D60" s="8" t="s">
        <v>349</v>
      </c>
      <c r="E60" s="8" t="s">
        <v>350</v>
      </c>
      <c r="F60" s="8" t="s">
        <v>351</v>
      </c>
      <c r="G60" s="8" t="s">
        <v>352</v>
      </c>
      <c r="H60" s="8" t="s">
        <v>353</v>
      </c>
      <c r="I60" s="8" t="s">
        <v>354</v>
      </c>
      <c r="J60" s="8" t="s">
        <v>220</v>
      </c>
      <c r="K60" s="22"/>
      <c r="L60" s="23"/>
      <c r="M60" s="11"/>
    </row>
    <row r="61" ht="25" customHeight="1" spans="1:13">
      <c r="A61" s="6">
        <v>59</v>
      </c>
      <c r="B61" s="7" t="s">
        <v>355</v>
      </c>
      <c r="C61" s="8" t="s">
        <v>15</v>
      </c>
      <c r="D61" s="8" t="s">
        <v>356</v>
      </c>
      <c r="E61" s="8" t="s">
        <v>357</v>
      </c>
      <c r="F61" s="8" t="s">
        <v>358</v>
      </c>
      <c r="G61" s="8" t="s">
        <v>359</v>
      </c>
      <c r="H61" s="8" t="s">
        <v>237</v>
      </c>
      <c r="I61" s="8" t="s">
        <v>237</v>
      </c>
      <c r="J61" s="8" t="s">
        <v>220</v>
      </c>
      <c r="K61" s="22"/>
      <c r="L61" s="23"/>
      <c r="M61" s="11"/>
    </row>
    <row r="62" ht="25" customHeight="1" spans="1:13">
      <c r="A62" s="6">
        <v>60</v>
      </c>
      <c r="B62" s="7" t="s">
        <v>360</v>
      </c>
      <c r="C62" s="8" t="s">
        <v>15</v>
      </c>
      <c r="D62" s="8" t="s">
        <v>361</v>
      </c>
      <c r="E62" s="8" t="s">
        <v>362</v>
      </c>
      <c r="F62" s="8" t="s">
        <v>363</v>
      </c>
      <c r="G62" s="8" t="s">
        <v>364</v>
      </c>
      <c r="H62" s="8" t="s">
        <v>109</v>
      </c>
      <c r="I62" s="8" t="s">
        <v>179</v>
      </c>
      <c r="J62" s="8" t="s">
        <v>220</v>
      </c>
      <c r="K62" s="22"/>
      <c r="L62" s="23"/>
      <c r="M62" s="11"/>
    </row>
    <row r="63" ht="25" customHeight="1" spans="1:13">
      <c r="A63" s="6">
        <v>61</v>
      </c>
      <c r="B63" s="7" t="s">
        <v>365</v>
      </c>
      <c r="C63" s="8" t="s">
        <v>15</v>
      </c>
      <c r="D63" s="8" t="s">
        <v>366</v>
      </c>
      <c r="E63" s="8" t="s">
        <v>367</v>
      </c>
      <c r="F63" s="8" t="s">
        <v>368</v>
      </c>
      <c r="G63" s="8" t="s">
        <v>369</v>
      </c>
      <c r="H63" s="8" t="s">
        <v>57</v>
      </c>
      <c r="I63" s="8" t="s">
        <v>370</v>
      </c>
      <c r="J63" s="8" t="s">
        <v>220</v>
      </c>
      <c r="K63" s="22"/>
      <c r="L63" s="23"/>
      <c r="M63" s="11"/>
    </row>
    <row r="64" ht="25" customHeight="1" spans="1:13">
      <c r="A64" s="6">
        <v>62</v>
      </c>
      <c r="B64" s="7" t="s">
        <v>371</v>
      </c>
      <c r="C64" s="8" t="s">
        <v>15</v>
      </c>
      <c r="D64" s="8" t="s">
        <v>372</v>
      </c>
      <c r="E64" s="8" t="s">
        <v>373</v>
      </c>
      <c r="F64" s="8" t="s">
        <v>374</v>
      </c>
      <c r="G64" s="8" t="s">
        <v>218</v>
      </c>
      <c r="H64" s="8" t="s">
        <v>219</v>
      </c>
      <c r="I64" s="8" t="s">
        <v>218</v>
      </c>
      <c r="J64" s="8" t="s">
        <v>220</v>
      </c>
      <c r="K64" s="22"/>
      <c r="L64" s="23"/>
      <c r="M64" s="11"/>
    </row>
    <row r="65" ht="25" customHeight="1" spans="1:13">
      <c r="A65" s="6">
        <v>63</v>
      </c>
      <c r="B65" s="7" t="s">
        <v>375</v>
      </c>
      <c r="C65" s="8" t="s">
        <v>15</v>
      </c>
      <c r="D65" s="8" t="s">
        <v>376</v>
      </c>
      <c r="E65" s="8" t="s">
        <v>377</v>
      </c>
      <c r="F65" s="8" t="s">
        <v>378</v>
      </c>
      <c r="G65" s="8" t="s">
        <v>379</v>
      </c>
      <c r="H65" s="8" t="s">
        <v>28</v>
      </c>
      <c r="I65" s="8" t="s">
        <v>131</v>
      </c>
      <c r="J65" s="8" t="s">
        <v>220</v>
      </c>
      <c r="K65" s="22"/>
      <c r="L65" s="23"/>
      <c r="M65" s="11"/>
    </row>
    <row r="66" ht="25" customHeight="1" spans="1:13">
      <c r="A66" s="6">
        <v>64</v>
      </c>
      <c r="B66" s="7" t="s">
        <v>380</v>
      </c>
      <c r="C66" s="8" t="s">
        <v>15</v>
      </c>
      <c r="D66" s="8" t="s">
        <v>381</v>
      </c>
      <c r="E66" s="8" t="s">
        <v>382</v>
      </c>
      <c r="F66" s="8" t="s">
        <v>383</v>
      </c>
      <c r="G66" s="8" t="s">
        <v>384</v>
      </c>
      <c r="H66" s="8" t="s">
        <v>57</v>
      </c>
      <c r="I66" s="8" t="s">
        <v>370</v>
      </c>
      <c r="J66" s="8" t="s">
        <v>220</v>
      </c>
      <c r="K66" s="22"/>
      <c r="L66" s="23"/>
      <c r="M66" s="11"/>
    </row>
    <row r="67" ht="25" customHeight="1" spans="1:13">
      <c r="A67" s="6">
        <v>65</v>
      </c>
      <c r="B67" s="7" t="s">
        <v>385</v>
      </c>
      <c r="C67" s="8" t="s">
        <v>15</v>
      </c>
      <c r="D67" s="8" t="s">
        <v>386</v>
      </c>
      <c r="E67" s="8" t="s">
        <v>387</v>
      </c>
      <c r="F67" s="8" t="s">
        <v>388</v>
      </c>
      <c r="G67" s="8" t="s">
        <v>218</v>
      </c>
      <c r="H67" s="8" t="s">
        <v>35</v>
      </c>
      <c r="I67" s="8" t="s">
        <v>218</v>
      </c>
      <c r="J67" s="8" t="s">
        <v>220</v>
      </c>
      <c r="K67" s="22"/>
      <c r="L67" s="23"/>
      <c r="M67" s="11"/>
    </row>
    <row r="68" ht="25" customHeight="1" spans="1:13">
      <c r="A68" s="6">
        <v>66</v>
      </c>
      <c r="B68" s="7" t="s">
        <v>389</v>
      </c>
      <c r="C68" s="8" t="s">
        <v>15</v>
      </c>
      <c r="D68" s="8" t="s">
        <v>390</v>
      </c>
      <c r="E68" s="8" t="s">
        <v>391</v>
      </c>
      <c r="F68" s="8" t="s">
        <v>392</v>
      </c>
      <c r="G68" s="8" t="s">
        <v>393</v>
      </c>
      <c r="H68" s="8" t="s">
        <v>394</v>
      </c>
      <c r="I68" s="8" t="s">
        <v>395</v>
      </c>
      <c r="J68" s="8" t="s">
        <v>220</v>
      </c>
      <c r="K68" s="22"/>
      <c r="L68" s="23"/>
      <c r="M68" s="11"/>
    </row>
    <row r="69" ht="25" customHeight="1" spans="1:13">
      <c r="A69" s="6">
        <v>67</v>
      </c>
      <c r="B69" s="7" t="s">
        <v>396</v>
      </c>
      <c r="C69" s="8" t="s">
        <v>15</v>
      </c>
      <c r="D69" s="8" t="s">
        <v>397</v>
      </c>
      <c r="E69" s="8" t="s">
        <v>398</v>
      </c>
      <c r="F69" s="8" t="s">
        <v>378</v>
      </c>
      <c r="G69" s="8" t="s">
        <v>399</v>
      </c>
      <c r="H69" s="8" t="s">
        <v>400</v>
      </c>
      <c r="I69" s="8" t="s">
        <v>401</v>
      </c>
      <c r="J69" s="8" t="s">
        <v>220</v>
      </c>
      <c r="K69" s="22"/>
      <c r="L69" s="23"/>
      <c r="M69" s="11"/>
    </row>
    <row r="70" ht="25" customHeight="1" spans="1:13">
      <c r="A70" s="6">
        <v>68</v>
      </c>
      <c r="B70" s="7" t="s">
        <v>402</v>
      </c>
      <c r="C70" s="8" t="s">
        <v>15</v>
      </c>
      <c r="D70" s="8" t="s">
        <v>403</v>
      </c>
      <c r="E70" s="8" t="s">
        <v>404</v>
      </c>
      <c r="F70" s="8" t="s">
        <v>405</v>
      </c>
      <c r="G70" s="8" t="s">
        <v>406</v>
      </c>
      <c r="H70" s="8" t="s">
        <v>407</v>
      </c>
      <c r="I70" s="8" t="s">
        <v>407</v>
      </c>
      <c r="J70" s="8" t="s">
        <v>220</v>
      </c>
      <c r="K70" s="22"/>
      <c r="L70" s="23"/>
      <c r="M70" s="11"/>
    </row>
    <row r="71" ht="25" customHeight="1" spans="1:13">
      <c r="A71" s="6">
        <v>69</v>
      </c>
      <c r="B71" s="7" t="s">
        <v>408</v>
      </c>
      <c r="C71" s="8" t="s">
        <v>15</v>
      </c>
      <c r="D71" s="8" t="s">
        <v>409</v>
      </c>
      <c r="E71" s="8" t="s">
        <v>410</v>
      </c>
      <c r="F71" s="8" t="s">
        <v>48</v>
      </c>
      <c r="G71" s="8" t="s">
        <v>218</v>
      </c>
      <c r="H71" s="8" t="s">
        <v>411</v>
      </c>
      <c r="I71" s="8" t="s">
        <v>218</v>
      </c>
      <c r="J71" s="8" t="s">
        <v>220</v>
      </c>
      <c r="K71" s="22"/>
      <c r="L71" s="23"/>
      <c r="M71" s="11"/>
    </row>
    <row r="72" ht="25" customHeight="1" spans="1:13">
      <c r="A72" s="6">
        <v>70</v>
      </c>
      <c r="B72" s="7" t="s">
        <v>412</v>
      </c>
      <c r="C72" s="8" t="s">
        <v>15</v>
      </c>
      <c r="D72" s="6" t="str">
        <f>VLOOKUP(B72,[1]Sheet1!$A:$D,4,FALSE)</f>
        <v>2026-08-13 11:02:00</v>
      </c>
      <c r="E72" s="13"/>
      <c r="F72" s="13"/>
      <c r="G72" s="13"/>
      <c r="H72" s="13"/>
      <c r="I72" s="13"/>
      <c r="J72" s="8" t="s">
        <v>220</v>
      </c>
      <c r="K72" s="22"/>
      <c r="L72" s="23"/>
      <c r="M72" s="11"/>
    </row>
    <row r="73" ht="25" customHeight="1" spans="1:13">
      <c r="A73" s="6">
        <v>71</v>
      </c>
      <c r="B73" s="7" t="s">
        <v>413</v>
      </c>
      <c r="C73" s="8" t="s">
        <v>15</v>
      </c>
      <c r="D73" s="6" t="str">
        <f>VLOOKUP(B73,[1]Sheet1!$A:$D,4,FALSE)</f>
        <v>2026-07-30 17:50:53</v>
      </c>
      <c r="E73" s="13"/>
      <c r="F73" s="13"/>
      <c r="G73" s="13"/>
      <c r="H73" s="13"/>
      <c r="I73" s="13"/>
      <c r="J73" s="8" t="s">
        <v>220</v>
      </c>
      <c r="K73" s="22"/>
      <c r="L73" s="23"/>
      <c r="M73" s="11"/>
    </row>
    <row r="74" ht="38" customHeight="1" spans="1:13">
      <c r="A74" s="6">
        <v>72</v>
      </c>
      <c r="B74" s="7" t="s">
        <v>414</v>
      </c>
      <c r="C74" s="8" t="s">
        <v>15</v>
      </c>
      <c r="D74" s="8" t="s">
        <v>415</v>
      </c>
      <c r="E74" s="8" t="s">
        <v>416</v>
      </c>
      <c r="F74" s="8" t="s">
        <v>417</v>
      </c>
      <c r="G74" s="8" t="s">
        <v>418</v>
      </c>
      <c r="H74" s="8" t="s">
        <v>50</v>
      </c>
      <c r="I74" s="8" t="s">
        <v>131</v>
      </c>
      <c r="J74" s="8" t="s">
        <v>419</v>
      </c>
      <c r="K74" s="19" t="s">
        <v>420</v>
      </c>
      <c r="L74" s="23" t="s">
        <v>22</v>
      </c>
      <c r="M74" s="11"/>
    </row>
    <row r="75" ht="38" customHeight="1" spans="1:13">
      <c r="A75" s="6">
        <v>73</v>
      </c>
      <c r="B75" s="7" t="s">
        <v>421</v>
      </c>
      <c r="C75" s="8" t="s">
        <v>15</v>
      </c>
      <c r="D75" s="8" t="s">
        <v>422</v>
      </c>
      <c r="E75" s="8" t="s">
        <v>423</v>
      </c>
      <c r="F75" s="8" t="s">
        <v>424</v>
      </c>
      <c r="G75" s="8" t="s">
        <v>425</v>
      </c>
      <c r="H75" s="8" t="s">
        <v>426</v>
      </c>
      <c r="I75" s="8" t="s">
        <v>426</v>
      </c>
      <c r="J75" s="8" t="s">
        <v>419</v>
      </c>
      <c r="K75" s="9" t="s">
        <v>427</v>
      </c>
      <c r="L75" s="23" t="s">
        <v>22</v>
      </c>
      <c r="M75" s="11"/>
    </row>
    <row r="76" ht="38" customHeight="1" spans="1:13">
      <c r="A76" s="6">
        <v>74</v>
      </c>
      <c r="B76" s="7" t="s">
        <v>428</v>
      </c>
      <c r="C76" s="8" t="s">
        <v>15</v>
      </c>
      <c r="D76" s="8" t="s">
        <v>429</v>
      </c>
      <c r="E76" s="8" t="s">
        <v>430</v>
      </c>
      <c r="F76" s="8" t="s">
        <v>431</v>
      </c>
      <c r="G76" s="8" t="s">
        <v>432</v>
      </c>
      <c r="H76" s="8" t="s">
        <v>57</v>
      </c>
      <c r="I76" s="8" t="s">
        <v>82</v>
      </c>
      <c r="J76" s="8" t="s">
        <v>419</v>
      </c>
      <c r="K76" s="9" t="s">
        <v>433</v>
      </c>
      <c r="L76" s="23" t="s">
        <v>22</v>
      </c>
      <c r="M76" s="11"/>
    </row>
    <row r="77" ht="38" customHeight="1" spans="1:13">
      <c r="A77" s="6">
        <v>75</v>
      </c>
      <c r="B77" s="7" t="s">
        <v>434</v>
      </c>
      <c r="C77" s="8" t="s">
        <v>15</v>
      </c>
      <c r="D77" s="8" t="s">
        <v>435</v>
      </c>
      <c r="E77" s="8" t="s">
        <v>436</v>
      </c>
      <c r="F77" s="8" t="s">
        <v>437</v>
      </c>
      <c r="G77" s="8" t="s">
        <v>438</v>
      </c>
      <c r="H77" s="8" t="s">
        <v>154</v>
      </c>
      <c r="I77" s="8" t="s">
        <v>439</v>
      </c>
      <c r="J77" s="8" t="s">
        <v>419</v>
      </c>
      <c r="K77" s="9" t="s">
        <v>440</v>
      </c>
      <c r="L77" s="23" t="s">
        <v>22</v>
      </c>
      <c r="M77" s="11"/>
    </row>
    <row r="78" ht="38" customHeight="1" spans="1:13">
      <c r="A78" s="6">
        <v>76</v>
      </c>
      <c r="B78" s="7" t="s">
        <v>441</v>
      </c>
      <c r="C78" s="8" t="s">
        <v>15</v>
      </c>
      <c r="D78" s="6" t="str">
        <f>VLOOKUP(B78,[1]Sheet1!$A:$D,4,FALSE)</f>
        <v>2026-07-30 15:08:35</v>
      </c>
      <c r="E78" s="13"/>
      <c r="F78" s="13"/>
      <c r="G78" s="13"/>
      <c r="H78" s="13"/>
      <c r="I78" s="13"/>
      <c r="J78" s="6" t="str">
        <f>VLOOKUP(B78,[1]Sheet1!$A:$J,10,FALSE)</f>
        <v>冯乐</v>
      </c>
      <c r="K78" s="9" t="s">
        <v>442</v>
      </c>
      <c r="L78" s="23" t="s">
        <v>22</v>
      </c>
      <c r="M78" s="11"/>
    </row>
    <row r="79" ht="38" customHeight="1" spans="1:13">
      <c r="A79" s="6">
        <v>77</v>
      </c>
      <c r="B79" s="7" t="s">
        <v>443</v>
      </c>
      <c r="C79" s="8" t="s">
        <v>15</v>
      </c>
      <c r="D79" s="6" t="str">
        <f>VLOOKUP(B79,[1]Sheet1!$A:$D,4,FALSE)</f>
        <v>2026-07-24 17:13:36</v>
      </c>
      <c r="E79" s="13"/>
      <c r="F79" s="13"/>
      <c r="G79" s="13"/>
      <c r="H79" s="13"/>
      <c r="I79" s="13"/>
      <c r="J79" s="6" t="str">
        <f>VLOOKUP(B79,[1]Sheet1!$A:$J,10,FALSE)</f>
        <v>冯乐</v>
      </c>
      <c r="K79" s="9" t="s">
        <v>444</v>
      </c>
      <c r="L79" s="23" t="s">
        <v>22</v>
      </c>
      <c r="M79" s="11"/>
    </row>
    <row r="80" ht="25" customHeight="1" spans="1:13">
      <c r="A80" s="6">
        <v>78</v>
      </c>
      <c r="B80" s="7" t="s">
        <v>445</v>
      </c>
      <c r="C80" s="8" t="s">
        <v>15</v>
      </c>
      <c r="D80" s="8" t="s">
        <v>446</v>
      </c>
      <c r="E80" s="8" t="s">
        <v>447</v>
      </c>
      <c r="F80" s="8" t="s">
        <v>448</v>
      </c>
      <c r="G80" s="8" t="s">
        <v>218</v>
      </c>
      <c r="H80" s="8" t="s">
        <v>109</v>
      </c>
      <c r="I80" s="8" t="s">
        <v>218</v>
      </c>
      <c r="J80" s="8" t="s">
        <v>449</v>
      </c>
      <c r="K80" s="22" t="s">
        <v>450</v>
      </c>
      <c r="L80" s="23" t="s">
        <v>22</v>
      </c>
      <c r="M80" s="11"/>
    </row>
    <row r="81" ht="25" customHeight="1" spans="1:13">
      <c r="A81" s="6">
        <v>79</v>
      </c>
      <c r="B81" s="7" t="s">
        <v>451</v>
      </c>
      <c r="C81" s="8" t="s">
        <v>15</v>
      </c>
      <c r="D81" s="8" t="s">
        <v>452</v>
      </c>
      <c r="E81" s="8" t="s">
        <v>453</v>
      </c>
      <c r="F81" s="8" t="s">
        <v>454</v>
      </c>
      <c r="G81" s="8" t="s">
        <v>455</v>
      </c>
      <c r="H81" s="8" t="s">
        <v>34</v>
      </c>
      <c r="I81" s="8" t="s">
        <v>34</v>
      </c>
      <c r="J81" s="8" t="s">
        <v>449</v>
      </c>
      <c r="K81" s="22" t="s">
        <v>456</v>
      </c>
      <c r="L81" s="23" t="s">
        <v>22</v>
      </c>
      <c r="M81" s="11"/>
    </row>
    <row r="82" ht="25" customHeight="1" spans="1:13">
      <c r="A82" s="6">
        <v>80</v>
      </c>
      <c r="B82" s="7" t="s">
        <v>457</v>
      </c>
      <c r="C82" s="8" t="s">
        <v>15</v>
      </c>
      <c r="D82" s="8" t="s">
        <v>458</v>
      </c>
      <c r="E82" s="8" t="s">
        <v>459</v>
      </c>
      <c r="F82" s="8" t="s">
        <v>460</v>
      </c>
      <c r="G82" s="8" t="s">
        <v>461</v>
      </c>
      <c r="H82" s="8" t="s">
        <v>108</v>
      </c>
      <c r="I82" s="8" t="s">
        <v>108</v>
      </c>
      <c r="J82" s="8" t="s">
        <v>449</v>
      </c>
      <c r="K82" s="22" t="s">
        <v>462</v>
      </c>
      <c r="L82" s="23" t="s">
        <v>36</v>
      </c>
      <c r="M82" s="11" t="s">
        <v>463</v>
      </c>
    </row>
    <row r="83" ht="25" customHeight="1" spans="1:13">
      <c r="A83" s="6">
        <v>81</v>
      </c>
      <c r="B83" s="7" t="s">
        <v>464</v>
      </c>
      <c r="C83" s="8" t="s">
        <v>15</v>
      </c>
      <c r="D83" s="8" t="s">
        <v>465</v>
      </c>
      <c r="E83" s="8" t="s">
        <v>466</v>
      </c>
      <c r="F83" s="8" t="s">
        <v>460</v>
      </c>
      <c r="G83" s="8" t="s">
        <v>467</v>
      </c>
      <c r="H83" s="8" t="s">
        <v>109</v>
      </c>
      <c r="I83" s="8" t="s">
        <v>35</v>
      </c>
      <c r="J83" s="8" t="s">
        <v>449</v>
      </c>
      <c r="K83" s="22" t="s">
        <v>468</v>
      </c>
      <c r="L83" s="23" t="s">
        <v>22</v>
      </c>
      <c r="M83" s="11"/>
    </row>
    <row r="84" ht="25" customHeight="1" spans="1:13">
      <c r="A84" s="6">
        <v>82</v>
      </c>
      <c r="B84" s="7" t="s">
        <v>469</v>
      </c>
      <c r="C84" s="8" t="s">
        <v>15</v>
      </c>
      <c r="D84" s="8" t="s">
        <v>470</v>
      </c>
      <c r="E84" s="8" t="s">
        <v>471</v>
      </c>
      <c r="F84" s="8" t="s">
        <v>472</v>
      </c>
      <c r="G84" s="8" t="s">
        <v>473</v>
      </c>
      <c r="H84" s="8" t="s">
        <v>474</v>
      </c>
      <c r="I84" s="8" t="s">
        <v>426</v>
      </c>
      <c r="J84" s="8" t="s">
        <v>475</v>
      </c>
      <c r="K84" s="9" t="s">
        <v>476</v>
      </c>
      <c r="L84" s="23" t="s">
        <v>22</v>
      </c>
      <c r="M84" s="11"/>
    </row>
    <row r="85" ht="25" customHeight="1" spans="1:13">
      <c r="A85" s="6">
        <v>83</v>
      </c>
      <c r="B85" s="7" t="s">
        <v>477</v>
      </c>
      <c r="C85" s="8" t="s">
        <v>15</v>
      </c>
      <c r="D85" s="8" t="s">
        <v>478</v>
      </c>
      <c r="E85" s="8" t="s">
        <v>479</v>
      </c>
      <c r="F85" s="8" t="s">
        <v>480</v>
      </c>
      <c r="G85" s="8" t="s">
        <v>481</v>
      </c>
      <c r="H85" s="8" t="s">
        <v>108</v>
      </c>
      <c r="I85" s="8" t="s">
        <v>482</v>
      </c>
      <c r="J85" s="8" t="s">
        <v>475</v>
      </c>
      <c r="K85" s="9" t="s">
        <v>483</v>
      </c>
      <c r="L85" s="23" t="s">
        <v>22</v>
      </c>
      <c r="M85" s="11"/>
    </row>
    <row r="86" ht="25" customHeight="1" spans="1:13">
      <c r="A86" s="6">
        <v>84</v>
      </c>
      <c r="B86" s="7" t="s">
        <v>484</v>
      </c>
      <c r="C86" s="8" t="s">
        <v>15</v>
      </c>
      <c r="D86" s="8" t="s">
        <v>485</v>
      </c>
      <c r="E86" s="8" t="s">
        <v>486</v>
      </c>
      <c r="F86" s="8" t="s">
        <v>487</v>
      </c>
      <c r="G86" s="8" t="s">
        <v>488</v>
      </c>
      <c r="H86" s="8" t="s">
        <v>154</v>
      </c>
      <c r="I86" s="8" t="s">
        <v>209</v>
      </c>
      <c r="J86" s="8" t="s">
        <v>475</v>
      </c>
      <c r="K86" s="9" t="s">
        <v>489</v>
      </c>
      <c r="L86" s="23" t="s">
        <v>51</v>
      </c>
      <c r="M86" s="11"/>
    </row>
    <row r="87" ht="25" customHeight="1" spans="1:13">
      <c r="A87" s="6">
        <v>85</v>
      </c>
      <c r="B87" s="7" t="s">
        <v>490</v>
      </c>
      <c r="C87" s="8" t="s">
        <v>15</v>
      </c>
      <c r="D87" s="8" t="s">
        <v>491</v>
      </c>
      <c r="E87" s="8" t="s">
        <v>492</v>
      </c>
      <c r="F87" s="8" t="s">
        <v>493</v>
      </c>
      <c r="G87" s="8" t="s">
        <v>494</v>
      </c>
      <c r="H87" s="8" t="s">
        <v>495</v>
      </c>
      <c r="I87" s="8" t="s">
        <v>347</v>
      </c>
      <c r="J87" s="8" t="s">
        <v>475</v>
      </c>
      <c r="K87" s="9" t="s">
        <v>496</v>
      </c>
      <c r="L87" s="23" t="s">
        <v>51</v>
      </c>
      <c r="M87" s="11"/>
    </row>
    <row r="88" ht="25" customHeight="1" spans="1:13">
      <c r="A88" s="6">
        <v>86</v>
      </c>
      <c r="B88" s="7" t="s">
        <v>497</v>
      </c>
      <c r="C88" s="8" t="s">
        <v>15</v>
      </c>
      <c r="D88" s="8" t="s">
        <v>498</v>
      </c>
      <c r="E88" s="8" t="s">
        <v>499</v>
      </c>
      <c r="F88" s="8" t="s">
        <v>500</v>
      </c>
      <c r="G88" s="8" t="s">
        <v>501</v>
      </c>
      <c r="H88" s="8" t="s">
        <v>35</v>
      </c>
      <c r="I88" s="8" t="s">
        <v>35</v>
      </c>
      <c r="J88" s="8" t="s">
        <v>475</v>
      </c>
      <c r="K88" s="9" t="s">
        <v>502</v>
      </c>
      <c r="L88" s="23" t="s">
        <v>22</v>
      </c>
      <c r="M88" s="11"/>
    </row>
    <row r="89" ht="25" customHeight="1" spans="1:13">
      <c r="A89" s="6">
        <v>87</v>
      </c>
      <c r="B89" s="7" t="s">
        <v>503</v>
      </c>
      <c r="C89" s="8" t="s">
        <v>15</v>
      </c>
      <c r="D89" s="8" t="s">
        <v>504</v>
      </c>
      <c r="E89" s="8" t="s">
        <v>505</v>
      </c>
      <c r="F89" s="8" t="s">
        <v>506</v>
      </c>
      <c r="G89" s="8" t="s">
        <v>507</v>
      </c>
      <c r="H89" s="8" t="s">
        <v>508</v>
      </c>
      <c r="I89" s="8" t="s">
        <v>509</v>
      </c>
      <c r="J89" s="8" t="s">
        <v>475</v>
      </c>
      <c r="K89" s="9" t="s">
        <v>510</v>
      </c>
      <c r="L89" s="23" t="s">
        <v>36</v>
      </c>
      <c r="M89" s="11" t="s">
        <v>511</v>
      </c>
    </row>
    <row r="90" ht="25" customHeight="1" spans="1:13">
      <c r="A90" s="6">
        <v>88</v>
      </c>
      <c r="B90" s="7" t="s">
        <v>512</v>
      </c>
      <c r="C90" s="8" t="s">
        <v>15</v>
      </c>
      <c r="D90" s="8" t="s">
        <v>513</v>
      </c>
      <c r="E90" s="8" t="s">
        <v>514</v>
      </c>
      <c r="F90" s="8" t="s">
        <v>515</v>
      </c>
      <c r="G90" s="8" t="s">
        <v>516</v>
      </c>
      <c r="H90" s="8" t="s">
        <v>20</v>
      </c>
      <c r="I90" s="8" t="s">
        <v>20</v>
      </c>
      <c r="J90" s="8" t="s">
        <v>475</v>
      </c>
      <c r="K90" s="9" t="s">
        <v>517</v>
      </c>
      <c r="L90" s="23" t="s">
        <v>22</v>
      </c>
      <c r="M90" s="11"/>
    </row>
    <row r="91" ht="25" customHeight="1" spans="1:13">
      <c r="A91" s="6">
        <v>89</v>
      </c>
      <c r="B91" s="7" t="s">
        <v>518</v>
      </c>
      <c r="C91" s="8" t="s">
        <v>15</v>
      </c>
      <c r="D91" s="8" t="s">
        <v>519</v>
      </c>
      <c r="E91" s="8" t="s">
        <v>520</v>
      </c>
      <c r="F91" s="8" t="s">
        <v>521</v>
      </c>
      <c r="G91" s="8" t="s">
        <v>522</v>
      </c>
      <c r="H91" s="8" t="s">
        <v>44</v>
      </c>
      <c r="I91" s="8" t="s">
        <v>44</v>
      </c>
      <c r="J91" s="8" t="s">
        <v>475</v>
      </c>
      <c r="K91" s="9" t="s">
        <v>523</v>
      </c>
      <c r="L91" s="23" t="s">
        <v>22</v>
      </c>
      <c r="M91" s="11"/>
    </row>
    <row r="92" ht="25" customHeight="1" spans="1:13">
      <c r="A92" s="6">
        <v>90</v>
      </c>
      <c r="B92" s="7" t="s">
        <v>524</v>
      </c>
      <c r="C92" s="8" t="s">
        <v>15</v>
      </c>
      <c r="D92" s="8" t="s">
        <v>525</v>
      </c>
      <c r="E92" s="8" t="s">
        <v>526</v>
      </c>
      <c r="F92" s="8" t="s">
        <v>527</v>
      </c>
      <c r="G92" s="8" t="s">
        <v>528</v>
      </c>
      <c r="H92" s="8" t="s">
        <v>529</v>
      </c>
      <c r="I92" s="8" t="s">
        <v>530</v>
      </c>
      <c r="J92" s="8" t="s">
        <v>475</v>
      </c>
      <c r="K92" s="9" t="s">
        <v>531</v>
      </c>
      <c r="L92" s="23"/>
      <c r="M92" s="11"/>
    </row>
    <row r="93" ht="25" customHeight="1" spans="1:13">
      <c r="A93" s="6">
        <v>91</v>
      </c>
      <c r="B93" s="7" t="s">
        <v>532</v>
      </c>
      <c r="C93" s="8" t="s">
        <v>15</v>
      </c>
      <c r="D93" s="6" t="str">
        <f>VLOOKUP(B93,[1]Sheet1!$A:$D,4,FALSE)</f>
        <v>2026-07-31 17:00:38</v>
      </c>
      <c r="E93" s="13"/>
      <c r="F93" s="13"/>
      <c r="G93" s="13"/>
      <c r="H93" s="13"/>
      <c r="I93" s="13"/>
      <c r="J93" s="6" t="str">
        <f>VLOOKUP(B93,[1]Sheet1!$A:$J,10,FALSE)</f>
        <v>韩鸿彪</v>
      </c>
      <c r="K93" s="9" t="s">
        <v>533</v>
      </c>
      <c r="L93" s="23" t="s">
        <v>22</v>
      </c>
      <c r="M93" s="11"/>
    </row>
    <row r="94" ht="25" customHeight="1" spans="1:13">
      <c r="A94" s="6">
        <v>92</v>
      </c>
      <c r="B94" s="7" t="s">
        <v>534</v>
      </c>
      <c r="C94" s="8" t="s">
        <v>15</v>
      </c>
      <c r="D94" s="6" t="str">
        <f>VLOOKUP(B94,[1]Sheet1!$A:$D,4,FALSE)</f>
        <v>2026-07-30 16:22:22</v>
      </c>
      <c r="E94" s="13"/>
      <c r="F94" s="13"/>
      <c r="G94" s="13"/>
      <c r="H94" s="13"/>
      <c r="I94" s="13"/>
      <c r="J94" s="6" t="str">
        <f>VLOOKUP(B94,[1]Sheet1!$A:$J,10,FALSE)</f>
        <v>韩鸿彪</v>
      </c>
      <c r="K94" s="9" t="s">
        <v>535</v>
      </c>
      <c r="L94" s="23" t="s">
        <v>51</v>
      </c>
      <c r="M94" s="11"/>
    </row>
    <row r="95" ht="25" customHeight="1" spans="1:13">
      <c r="A95" s="6">
        <v>93</v>
      </c>
      <c r="B95" s="7" t="s">
        <v>536</v>
      </c>
      <c r="C95" s="8" t="s">
        <v>15</v>
      </c>
      <c r="D95" s="8" t="s">
        <v>537</v>
      </c>
      <c r="E95" s="8" t="s">
        <v>538</v>
      </c>
      <c r="F95" s="8" t="s">
        <v>539</v>
      </c>
      <c r="G95" s="8" t="s">
        <v>540</v>
      </c>
      <c r="H95" s="8" t="s">
        <v>130</v>
      </c>
      <c r="I95" s="8" t="s">
        <v>130</v>
      </c>
      <c r="J95" s="8" t="s">
        <v>541</v>
      </c>
      <c r="K95" s="24" t="s">
        <v>542</v>
      </c>
      <c r="L95" s="23" t="s">
        <v>22</v>
      </c>
      <c r="M95" s="11"/>
    </row>
    <row r="96" ht="25" customHeight="1" spans="1:13">
      <c r="A96" s="6">
        <v>94</v>
      </c>
      <c r="B96" s="7" t="s">
        <v>543</v>
      </c>
      <c r="C96" s="8" t="s">
        <v>15</v>
      </c>
      <c r="D96" s="8" t="s">
        <v>544</v>
      </c>
      <c r="E96" s="8" t="s">
        <v>240</v>
      </c>
      <c r="F96" s="8" t="s">
        <v>545</v>
      </c>
      <c r="G96" s="8" t="s">
        <v>546</v>
      </c>
      <c r="H96" s="8" t="s">
        <v>131</v>
      </c>
      <c r="I96" s="8" t="s">
        <v>131</v>
      </c>
      <c r="J96" s="8" t="s">
        <v>541</v>
      </c>
      <c r="K96" s="24" t="s">
        <v>547</v>
      </c>
      <c r="L96" s="23" t="s">
        <v>36</v>
      </c>
      <c r="M96" s="11" t="s">
        <v>548</v>
      </c>
    </row>
    <row r="97" ht="25" customHeight="1" spans="1:13">
      <c r="A97" s="6">
        <v>95</v>
      </c>
      <c r="B97" s="7" t="s">
        <v>549</v>
      </c>
      <c r="C97" s="8" t="s">
        <v>15</v>
      </c>
      <c r="D97" s="8" t="s">
        <v>550</v>
      </c>
      <c r="E97" s="8" t="s">
        <v>551</v>
      </c>
      <c r="F97" s="8" t="s">
        <v>552</v>
      </c>
      <c r="G97" s="8" t="s">
        <v>553</v>
      </c>
      <c r="H97" s="8" t="s">
        <v>554</v>
      </c>
      <c r="I97" s="8" t="s">
        <v>555</v>
      </c>
      <c r="J97" s="8" t="s">
        <v>541</v>
      </c>
      <c r="K97" s="24" t="s">
        <v>556</v>
      </c>
      <c r="L97" s="23" t="s">
        <v>36</v>
      </c>
      <c r="M97" s="11" t="s">
        <v>548</v>
      </c>
    </row>
    <row r="98" ht="25" customHeight="1" spans="1:13">
      <c r="A98" s="6">
        <v>96</v>
      </c>
      <c r="B98" s="7" t="s">
        <v>557</v>
      </c>
      <c r="C98" s="8" t="s">
        <v>15</v>
      </c>
      <c r="D98" s="8" t="s">
        <v>558</v>
      </c>
      <c r="E98" s="8" t="s">
        <v>559</v>
      </c>
      <c r="F98" s="8" t="s">
        <v>560</v>
      </c>
      <c r="G98" s="8" t="s">
        <v>218</v>
      </c>
      <c r="H98" s="8" t="s">
        <v>561</v>
      </c>
      <c r="I98" s="8" t="s">
        <v>218</v>
      </c>
      <c r="J98" s="8" t="s">
        <v>541</v>
      </c>
      <c r="K98" s="24" t="s">
        <v>562</v>
      </c>
      <c r="L98" s="23" t="s">
        <v>36</v>
      </c>
      <c r="M98" s="11" t="s">
        <v>548</v>
      </c>
    </row>
    <row r="99" ht="25" customHeight="1" spans="1:13">
      <c r="A99" s="6">
        <v>97</v>
      </c>
      <c r="B99" s="7" t="s">
        <v>563</v>
      </c>
      <c r="C99" s="8" t="s">
        <v>15</v>
      </c>
      <c r="D99" s="8" t="s">
        <v>564</v>
      </c>
      <c r="E99" s="8" t="s">
        <v>565</v>
      </c>
      <c r="F99" s="8" t="s">
        <v>566</v>
      </c>
      <c r="G99" s="8" t="s">
        <v>567</v>
      </c>
      <c r="H99" s="8" t="s">
        <v>568</v>
      </c>
      <c r="I99" s="8" t="s">
        <v>569</v>
      </c>
      <c r="J99" s="8" t="s">
        <v>541</v>
      </c>
      <c r="K99" s="24" t="s">
        <v>570</v>
      </c>
      <c r="L99" s="23" t="s">
        <v>36</v>
      </c>
      <c r="M99" s="11" t="s">
        <v>571</v>
      </c>
    </row>
    <row r="100" ht="25" customHeight="1" spans="1:13">
      <c r="A100" s="6">
        <v>98</v>
      </c>
      <c r="B100" s="7" t="s">
        <v>572</v>
      </c>
      <c r="C100" s="8" t="s">
        <v>15</v>
      </c>
      <c r="D100" s="8" t="s">
        <v>573</v>
      </c>
      <c r="E100" s="8" t="s">
        <v>574</v>
      </c>
      <c r="F100" s="8" t="s">
        <v>575</v>
      </c>
      <c r="G100" s="8" t="s">
        <v>576</v>
      </c>
      <c r="H100" s="8" t="s">
        <v>577</v>
      </c>
      <c r="I100" s="8" t="s">
        <v>578</v>
      </c>
      <c r="J100" s="8" t="s">
        <v>541</v>
      </c>
      <c r="K100" s="24" t="s">
        <v>579</v>
      </c>
      <c r="L100" s="23" t="s">
        <v>36</v>
      </c>
      <c r="M100" s="11" t="s">
        <v>580</v>
      </c>
    </row>
    <row r="101" ht="25" customHeight="1" spans="1:13">
      <c r="A101" s="6">
        <v>99</v>
      </c>
      <c r="B101" s="7" t="s">
        <v>581</v>
      </c>
      <c r="C101" s="8" t="s">
        <v>15</v>
      </c>
      <c r="D101" s="8" t="s">
        <v>582</v>
      </c>
      <c r="E101" s="8" t="s">
        <v>583</v>
      </c>
      <c r="F101" s="8" t="s">
        <v>584</v>
      </c>
      <c r="G101" s="8" t="s">
        <v>585</v>
      </c>
      <c r="H101" s="8" t="s">
        <v>586</v>
      </c>
      <c r="I101" s="8" t="s">
        <v>587</v>
      </c>
      <c r="J101" s="8" t="s">
        <v>541</v>
      </c>
      <c r="K101" s="24" t="s">
        <v>588</v>
      </c>
      <c r="L101" s="23" t="s">
        <v>22</v>
      </c>
      <c r="M101" s="11"/>
    </row>
    <row r="102" ht="25" customHeight="1" spans="1:13">
      <c r="A102" s="6">
        <v>100</v>
      </c>
      <c r="B102" s="7" t="s">
        <v>589</v>
      </c>
      <c r="C102" s="8" t="s">
        <v>15</v>
      </c>
      <c r="D102" s="8" t="s">
        <v>590</v>
      </c>
      <c r="E102" s="8" t="s">
        <v>591</v>
      </c>
      <c r="F102" s="8" t="s">
        <v>592</v>
      </c>
      <c r="G102" s="8" t="s">
        <v>593</v>
      </c>
      <c r="H102" s="8" t="s">
        <v>20</v>
      </c>
      <c r="I102" s="8" t="s">
        <v>594</v>
      </c>
      <c r="J102" s="8" t="s">
        <v>541</v>
      </c>
      <c r="K102" s="24" t="s">
        <v>595</v>
      </c>
      <c r="L102" s="23" t="s">
        <v>36</v>
      </c>
      <c r="M102" s="11" t="s">
        <v>596</v>
      </c>
    </row>
    <row r="103" ht="25" customHeight="1" spans="1:13">
      <c r="A103" s="6">
        <v>101</v>
      </c>
      <c r="B103" s="7" t="s">
        <v>597</v>
      </c>
      <c r="C103" s="8" t="s">
        <v>15</v>
      </c>
      <c r="D103" s="8" t="s">
        <v>598</v>
      </c>
      <c r="E103" s="8" t="s">
        <v>599</v>
      </c>
      <c r="F103" s="8" t="s">
        <v>600</v>
      </c>
      <c r="G103" s="8" t="s">
        <v>601</v>
      </c>
      <c r="H103" s="8" t="s">
        <v>602</v>
      </c>
      <c r="I103" s="8" t="s">
        <v>602</v>
      </c>
      <c r="J103" s="8" t="s">
        <v>541</v>
      </c>
      <c r="K103" s="24" t="s">
        <v>603</v>
      </c>
      <c r="L103" s="23" t="s">
        <v>36</v>
      </c>
      <c r="M103" s="11" t="s">
        <v>548</v>
      </c>
    </row>
    <row r="104" ht="25" customHeight="1" spans="1:13">
      <c r="A104" s="6">
        <v>102</v>
      </c>
      <c r="B104" s="7" t="s">
        <v>604</v>
      </c>
      <c r="C104" s="8" t="s">
        <v>15</v>
      </c>
      <c r="D104" s="8" t="s">
        <v>605</v>
      </c>
      <c r="E104" s="8" t="s">
        <v>606</v>
      </c>
      <c r="F104" s="8" t="s">
        <v>607</v>
      </c>
      <c r="G104" s="8" t="s">
        <v>218</v>
      </c>
      <c r="H104" s="8" t="s">
        <v>608</v>
      </c>
      <c r="I104" s="8" t="s">
        <v>218</v>
      </c>
      <c r="J104" s="8" t="s">
        <v>541</v>
      </c>
      <c r="K104" s="24" t="s">
        <v>609</v>
      </c>
      <c r="L104" s="23" t="s">
        <v>22</v>
      </c>
      <c r="M104" s="11" t="s">
        <v>610</v>
      </c>
    </row>
    <row r="105" ht="25" customHeight="1" spans="1:13">
      <c r="A105" s="6">
        <v>103</v>
      </c>
      <c r="B105" s="7" t="s">
        <v>611</v>
      </c>
      <c r="C105" s="8" t="s">
        <v>15</v>
      </c>
      <c r="D105" s="6" t="str">
        <f>VLOOKUP(B105,[1]Sheet1!$A:$D,4,FALSE)</f>
        <v>2026-08-13 10:04:27</v>
      </c>
      <c r="E105" s="13"/>
      <c r="F105" s="13"/>
      <c r="G105" s="13"/>
      <c r="H105" s="13"/>
      <c r="I105" s="13"/>
      <c r="J105" s="6" t="str">
        <f>VLOOKUP(B105,[1]Sheet1!$A:$J,10,FALSE)</f>
        <v>马鹏飞</v>
      </c>
      <c r="K105" s="24" t="s">
        <v>612</v>
      </c>
      <c r="L105" s="23" t="s">
        <v>22</v>
      </c>
      <c r="M105" s="11"/>
    </row>
    <row r="106" ht="25" customHeight="1" spans="1:13">
      <c r="A106" s="6">
        <v>104</v>
      </c>
      <c r="B106" s="7" t="s">
        <v>613</v>
      </c>
      <c r="C106" s="8" t="s">
        <v>15</v>
      </c>
      <c r="D106" s="8" t="s">
        <v>614</v>
      </c>
      <c r="E106" s="8" t="s">
        <v>615</v>
      </c>
      <c r="F106" s="8" t="s">
        <v>616</v>
      </c>
      <c r="G106" s="8" t="s">
        <v>218</v>
      </c>
      <c r="H106" s="8" t="s">
        <v>236</v>
      </c>
      <c r="I106" s="8" t="s">
        <v>218</v>
      </c>
      <c r="J106" s="8" t="s">
        <v>617</v>
      </c>
      <c r="K106" s="9" t="s">
        <v>618</v>
      </c>
      <c r="L106" s="23" t="s">
        <v>22</v>
      </c>
      <c r="M106" s="11"/>
    </row>
    <row r="107" ht="25" customHeight="1" spans="1:13">
      <c r="A107" s="6">
        <v>105</v>
      </c>
      <c r="B107" s="7" t="s">
        <v>619</v>
      </c>
      <c r="C107" s="8" t="s">
        <v>15</v>
      </c>
      <c r="D107" s="8" t="s">
        <v>620</v>
      </c>
      <c r="E107" s="8" t="s">
        <v>621</v>
      </c>
      <c r="F107" s="8" t="s">
        <v>622</v>
      </c>
      <c r="G107" s="8" t="s">
        <v>623</v>
      </c>
      <c r="H107" s="8" t="s">
        <v>624</v>
      </c>
      <c r="I107" s="8" t="s">
        <v>482</v>
      </c>
      <c r="J107" s="8" t="s">
        <v>617</v>
      </c>
      <c r="K107" s="9" t="s">
        <v>625</v>
      </c>
      <c r="L107" s="23" t="s">
        <v>22</v>
      </c>
      <c r="M107" s="11"/>
    </row>
    <row r="108" ht="25" customHeight="1" spans="1:13">
      <c r="A108" s="6">
        <v>106</v>
      </c>
      <c r="B108" s="7" t="s">
        <v>626</v>
      </c>
      <c r="C108" s="8" t="s">
        <v>15</v>
      </c>
      <c r="D108" s="8" t="s">
        <v>627</v>
      </c>
      <c r="E108" s="8" t="s">
        <v>628</v>
      </c>
      <c r="F108" s="8" t="s">
        <v>629</v>
      </c>
      <c r="G108" s="8" t="s">
        <v>630</v>
      </c>
      <c r="H108" s="8" t="s">
        <v>333</v>
      </c>
      <c r="I108" s="8" t="s">
        <v>333</v>
      </c>
      <c r="J108" s="8" t="s">
        <v>617</v>
      </c>
      <c r="K108" s="9" t="s">
        <v>631</v>
      </c>
      <c r="L108" s="23" t="s">
        <v>22</v>
      </c>
      <c r="M108" s="11"/>
    </row>
    <row r="109" ht="25" customHeight="1" spans="1:13">
      <c r="A109" s="6">
        <v>107</v>
      </c>
      <c r="B109" s="7" t="s">
        <v>632</v>
      </c>
      <c r="C109" s="8" t="s">
        <v>15</v>
      </c>
      <c r="D109" s="8" t="s">
        <v>633</v>
      </c>
      <c r="E109" s="8" t="s">
        <v>634</v>
      </c>
      <c r="F109" s="8" t="s">
        <v>635</v>
      </c>
      <c r="G109" s="8" t="s">
        <v>636</v>
      </c>
      <c r="H109" s="8" t="s">
        <v>35</v>
      </c>
      <c r="I109" s="8" t="s">
        <v>35</v>
      </c>
      <c r="J109" s="8" t="s">
        <v>617</v>
      </c>
      <c r="K109" s="9" t="s">
        <v>637</v>
      </c>
      <c r="L109" s="23" t="s">
        <v>36</v>
      </c>
      <c r="M109" s="11" t="s">
        <v>638</v>
      </c>
    </row>
    <row r="110" ht="25" customHeight="1" spans="1:13">
      <c r="A110" s="6">
        <v>108</v>
      </c>
      <c r="B110" s="7" t="s">
        <v>639</v>
      </c>
      <c r="C110" s="8" t="s">
        <v>15</v>
      </c>
      <c r="D110" s="8" t="s">
        <v>640</v>
      </c>
      <c r="E110" s="8" t="s">
        <v>641</v>
      </c>
      <c r="F110" s="8" t="s">
        <v>642</v>
      </c>
      <c r="G110" s="8" t="s">
        <v>643</v>
      </c>
      <c r="H110" s="8" t="s">
        <v>644</v>
      </c>
      <c r="I110" s="8" t="s">
        <v>644</v>
      </c>
      <c r="J110" s="8" t="s">
        <v>617</v>
      </c>
      <c r="K110" s="9" t="s">
        <v>637</v>
      </c>
      <c r="L110" s="23" t="s">
        <v>36</v>
      </c>
      <c r="M110" s="11" t="s">
        <v>638</v>
      </c>
    </row>
    <row r="111" ht="25" customHeight="1" spans="1:13">
      <c r="A111" s="6">
        <v>109</v>
      </c>
      <c r="B111" s="7" t="s">
        <v>645</v>
      </c>
      <c r="C111" s="8" t="s">
        <v>15</v>
      </c>
      <c r="D111" s="8" t="s">
        <v>646</v>
      </c>
      <c r="E111" s="8" t="s">
        <v>647</v>
      </c>
      <c r="F111" s="8" t="s">
        <v>648</v>
      </c>
      <c r="G111" s="8" t="s">
        <v>649</v>
      </c>
      <c r="H111" s="8" t="s">
        <v>650</v>
      </c>
      <c r="I111" s="8" t="s">
        <v>651</v>
      </c>
      <c r="J111" s="8" t="s">
        <v>617</v>
      </c>
      <c r="K111" s="9" t="s">
        <v>652</v>
      </c>
      <c r="L111" s="23" t="s">
        <v>22</v>
      </c>
      <c r="M111" s="11"/>
    </row>
    <row r="112" ht="25" customHeight="1" spans="1:13">
      <c r="A112" s="6">
        <v>110</v>
      </c>
      <c r="B112" s="7" t="s">
        <v>653</v>
      </c>
      <c r="C112" s="8" t="s">
        <v>15</v>
      </c>
      <c r="D112" s="8" t="s">
        <v>654</v>
      </c>
      <c r="E112" s="8" t="s">
        <v>655</v>
      </c>
      <c r="F112" s="8" t="s">
        <v>656</v>
      </c>
      <c r="G112" s="8" t="s">
        <v>657</v>
      </c>
      <c r="H112" s="8" t="s">
        <v>658</v>
      </c>
      <c r="I112" s="8" t="s">
        <v>644</v>
      </c>
      <c r="J112" s="8" t="s">
        <v>617</v>
      </c>
      <c r="K112" s="9" t="s">
        <v>659</v>
      </c>
      <c r="L112" s="23" t="s">
        <v>36</v>
      </c>
      <c r="M112" s="11" t="s">
        <v>638</v>
      </c>
    </row>
    <row r="113" ht="25" customHeight="1" spans="1:13">
      <c r="A113" s="6">
        <v>111</v>
      </c>
      <c r="B113" s="7" t="s">
        <v>660</v>
      </c>
      <c r="C113" s="8" t="s">
        <v>15</v>
      </c>
      <c r="D113" s="8" t="s">
        <v>661</v>
      </c>
      <c r="E113" s="8" t="s">
        <v>662</v>
      </c>
      <c r="F113" s="8" t="s">
        <v>663</v>
      </c>
      <c r="G113" s="8" t="s">
        <v>664</v>
      </c>
      <c r="H113" s="8" t="s">
        <v>43</v>
      </c>
      <c r="I113" s="8" t="s">
        <v>43</v>
      </c>
      <c r="J113" s="8" t="s">
        <v>617</v>
      </c>
      <c r="K113" s="9" t="s">
        <v>637</v>
      </c>
      <c r="L113" s="23" t="s">
        <v>36</v>
      </c>
      <c r="M113" s="11" t="s">
        <v>638</v>
      </c>
    </row>
    <row r="114" ht="25" customHeight="1" spans="1:13">
      <c r="A114" s="6">
        <v>112</v>
      </c>
      <c r="B114" s="7" t="s">
        <v>665</v>
      </c>
      <c r="C114" s="8" t="s">
        <v>15</v>
      </c>
      <c r="D114" s="8" t="s">
        <v>666</v>
      </c>
      <c r="E114" s="8" t="s">
        <v>667</v>
      </c>
      <c r="F114" s="8" t="s">
        <v>668</v>
      </c>
      <c r="G114" s="8" t="s">
        <v>669</v>
      </c>
      <c r="H114" s="8" t="s">
        <v>670</v>
      </c>
      <c r="I114" s="8" t="s">
        <v>671</v>
      </c>
      <c r="J114" s="8" t="s">
        <v>617</v>
      </c>
      <c r="K114" s="9" t="s">
        <v>637</v>
      </c>
      <c r="L114" s="23" t="s">
        <v>672</v>
      </c>
      <c r="M114" s="11" t="s">
        <v>673</v>
      </c>
    </row>
    <row r="115" ht="25" customHeight="1" spans="1:13">
      <c r="A115" s="6">
        <v>113</v>
      </c>
      <c r="B115" s="7" t="s">
        <v>674</v>
      </c>
      <c r="C115" s="8" t="s">
        <v>15</v>
      </c>
      <c r="D115" s="8" t="s">
        <v>675</v>
      </c>
      <c r="E115" s="8" t="s">
        <v>676</v>
      </c>
      <c r="F115" s="8" t="s">
        <v>677</v>
      </c>
      <c r="G115" s="8" t="s">
        <v>678</v>
      </c>
      <c r="H115" s="8" t="s">
        <v>679</v>
      </c>
      <c r="I115" s="8" t="s">
        <v>88</v>
      </c>
      <c r="J115" s="8" t="s">
        <v>617</v>
      </c>
      <c r="K115" s="9" t="s">
        <v>680</v>
      </c>
      <c r="L115" s="23" t="s">
        <v>22</v>
      </c>
      <c r="M115" s="11" t="s">
        <v>681</v>
      </c>
    </row>
    <row r="116" ht="25" customHeight="1" spans="1:13">
      <c r="A116" s="6">
        <v>114</v>
      </c>
      <c r="B116" s="7" t="s">
        <v>682</v>
      </c>
      <c r="C116" s="8" t="s">
        <v>15</v>
      </c>
      <c r="D116" s="8" t="s">
        <v>683</v>
      </c>
      <c r="E116" s="8" t="s">
        <v>684</v>
      </c>
      <c r="F116" s="8" t="s">
        <v>685</v>
      </c>
      <c r="G116" s="8" t="s">
        <v>686</v>
      </c>
      <c r="H116" s="8" t="s">
        <v>123</v>
      </c>
      <c r="I116" s="8" t="s">
        <v>131</v>
      </c>
      <c r="J116" s="8" t="s">
        <v>617</v>
      </c>
      <c r="K116" s="9" t="s">
        <v>637</v>
      </c>
      <c r="L116" s="23" t="s">
        <v>211</v>
      </c>
      <c r="M116" s="11"/>
    </row>
    <row r="117" ht="25" customHeight="1" spans="1:13">
      <c r="A117" s="6">
        <v>115</v>
      </c>
      <c r="B117" s="7" t="s">
        <v>687</v>
      </c>
      <c r="C117" s="8" t="s">
        <v>15</v>
      </c>
      <c r="D117" s="8" t="s">
        <v>688</v>
      </c>
      <c r="E117" s="8" t="s">
        <v>689</v>
      </c>
      <c r="F117" s="8" t="s">
        <v>690</v>
      </c>
      <c r="G117" s="8" t="s">
        <v>691</v>
      </c>
      <c r="H117" s="8" t="s">
        <v>43</v>
      </c>
      <c r="I117" s="8" t="s">
        <v>43</v>
      </c>
      <c r="J117" s="8" t="s">
        <v>617</v>
      </c>
      <c r="K117" s="9" t="s">
        <v>637</v>
      </c>
      <c r="L117" s="23" t="s">
        <v>36</v>
      </c>
      <c r="M117" s="11" t="s">
        <v>638</v>
      </c>
    </row>
    <row r="118" ht="25" customHeight="1" spans="1:13">
      <c r="A118" s="6">
        <v>116</v>
      </c>
      <c r="B118" s="7" t="s">
        <v>692</v>
      </c>
      <c r="C118" s="8" t="s">
        <v>15</v>
      </c>
      <c r="D118" s="8" t="s">
        <v>693</v>
      </c>
      <c r="E118" s="8" t="s">
        <v>694</v>
      </c>
      <c r="F118" s="8" t="s">
        <v>695</v>
      </c>
      <c r="G118" s="8" t="s">
        <v>696</v>
      </c>
      <c r="H118" s="8" t="s">
        <v>123</v>
      </c>
      <c r="I118" s="8" t="s">
        <v>697</v>
      </c>
      <c r="J118" s="8" t="s">
        <v>617</v>
      </c>
      <c r="K118" s="9" t="s">
        <v>637</v>
      </c>
      <c r="L118" s="23" t="s">
        <v>36</v>
      </c>
      <c r="M118" s="11" t="s">
        <v>698</v>
      </c>
    </row>
    <row r="119" ht="25" customHeight="1" spans="1:13">
      <c r="A119" s="6">
        <v>117</v>
      </c>
      <c r="B119" s="7" t="s">
        <v>699</v>
      </c>
      <c r="C119" s="8" t="s">
        <v>15</v>
      </c>
      <c r="D119" s="8" t="s">
        <v>700</v>
      </c>
      <c r="E119" s="8" t="s">
        <v>701</v>
      </c>
      <c r="F119" s="8" t="s">
        <v>702</v>
      </c>
      <c r="G119" s="8" t="s">
        <v>703</v>
      </c>
      <c r="H119" s="8" t="s">
        <v>77</v>
      </c>
      <c r="I119" s="8" t="s">
        <v>704</v>
      </c>
      <c r="J119" s="8" t="s">
        <v>617</v>
      </c>
      <c r="K119" s="9" t="s">
        <v>637</v>
      </c>
      <c r="L119" s="23" t="s">
        <v>211</v>
      </c>
      <c r="M119" s="11"/>
    </row>
    <row r="120" ht="25" customHeight="1" spans="1:13">
      <c r="A120" s="6">
        <v>118</v>
      </c>
      <c r="B120" s="7" t="s">
        <v>705</v>
      </c>
      <c r="C120" s="8" t="s">
        <v>15</v>
      </c>
      <c r="D120" s="8" t="s">
        <v>706</v>
      </c>
      <c r="E120" s="8" t="s">
        <v>707</v>
      </c>
      <c r="F120" s="8" t="s">
        <v>708</v>
      </c>
      <c r="G120" s="8" t="s">
        <v>709</v>
      </c>
      <c r="H120" s="8" t="s">
        <v>147</v>
      </c>
      <c r="I120" s="8" t="s">
        <v>147</v>
      </c>
      <c r="J120" s="8" t="s">
        <v>617</v>
      </c>
      <c r="K120" s="9" t="s">
        <v>637</v>
      </c>
      <c r="L120" s="23" t="s">
        <v>211</v>
      </c>
      <c r="M120" s="11"/>
    </row>
    <row r="121" ht="25" customHeight="1" spans="1:13">
      <c r="A121" s="6">
        <v>119</v>
      </c>
      <c r="B121" s="7" t="s">
        <v>710</v>
      </c>
      <c r="C121" s="8" t="s">
        <v>15</v>
      </c>
      <c r="D121" s="8" t="s">
        <v>711</v>
      </c>
      <c r="E121" s="8" t="s">
        <v>712</v>
      </c>
      <c r="F121" s="8" t="s">
        <v>713</v>
      </c>
      <c r="G121" s="8" t="s">
        <v>714</v>
      </c>
      <c r="H121" s="8" t="s">
        <v>34</v>
      </c>
      <c r="I121" s="8" t="s">
        <v>34</v>
      </c>
      <c r="J121" s="8" t="s">
        <v>617</v>
      </c>
      <c r="K121" s="9" t="s">
        <v>637</v>
      </c>
      <c r="L121" s="23" t="s">
        <v>672</v>
      </c>
      <c r="M121" s="11" t="s">
        <v>673</v>
      </c>
    </row>
    <row r="122" ht="25" customHeight="1" spans="1:13">
      <c r="A122" s="6">
        <v>120</v>
      </c>
      <c r="B122" s="7" t="s">
        <v>715</v>
      </c>
      <c r="C122" s="8" t="s">
        <v>15</v>
      </c>
      <c r="D122" s="6" t="str">
        <f>VLOOKUP(B122,[1]Sheet1!$A:$D,4,FALSE)</f>
        <v>2026-08-12 17:10:51</v>
      </c>
      <c r="E122" s="13"/>
      <c r="F122" s="13"/>
      <c r="G122" s="13"/>
      <c r="H122" s="13"/>
      <c r="I122" s="13"/>
      <c r="J122" s="6" t="str">
        <f>VLOOKUP(B122,[1]Sheet1!$A:$J,10,FALSE)</f>
        <v>苗恒</v>
      </c>
      <c r="K122" s="9" t="s">
        <v>716</v>
      </c>
      <c r="L122" s="23" t="s">
        <v>22</v>
      </c>
      <c r="M122" s="11"/>
    </row>
    <row r="123" ht="25" customHeight="1" spans="1:13">
      <c r="A123" s="6">
        <v>121</v>
      </c>
      <c r="B123" s="7" t="s">
        <v>717</v>
      </c>
      <c r="C123" s="8" t="s">
        <v>15</v>
      </c>
      <c r="D123" s="6" t="str">
        <f>VLOOKUP(B123,[1]Sheet1!$A:$D,4,FALSE)</f>
        <v>2026-08-10 09:27:03</v>
      </c>
      <c r="E123" s="13"/>
      <c r="F123" s="13"/>
      <c r="G123" s="13"/>
      <c r="H123" s="13"/>
      <c r="I123" s="13"/>
      <c r="J123" s="6" t="str">
        <f>VLOOKUP(B123,[1]Sheet1!$A:$J,10,FALSE)</f>
        <v>苗恒</v>
      </c>
      <c r="K123" s="9" t="s">
        <v>718</v>
      </c>
      <c r="L123" s="23" t="s">
        <v>22</v>
      </c>
      <c r="M123" s="11"/>
    </row>
    <row r="124" ht="35" customHeight="1" spans="1:13">
      <c r="A124" s="6">
        <v>122</v>
      </c>
      <c r="B124" s="7" t="s">
        <v>719</v>
      </c>
      <c r="C124" s="8" t="s">
        <v>15</v>
      </c>
      <c r="D124" s="8" t="s">
        <v>720</v>
      </c>
      <c r="E124" s="8" t="s">
        <v>721</v>
      </c>
      <c r="F124" s="8" t="s">
        <v>722</v>
      </c>
      <c r="G124" s="8" t="s">
        <v>723</v>
      </c>
      <c r="H124" s="8" t="s">
        <v>179</v>
      </c>
      <c r="I124" s="8" t="s">
        <v>724</v>
      </c>
      <c r="J124" s="8" t="s">
        <v>725</v>
      </c>
      <c r="K124" s="25" t="s">
        <v>726</v>
      </c>
      <c r="L124" s="23" t="s">
        <v>36</v>
      </c>
      <c r="M124" s="11" t="s">
        <v>727</v>
      </c>
    </row>
    <row r="125" ht="35" customHeight="1" spans="1:13">
      <c r="A125" s="6">
        <v>123</v>
      </c>
      <c r="B125" s="7" t="s">
        <v>728</v>
      </c>
      <c r="C125" s="8" t="s">
        <v>15</v>
      </c>
      <c r="D125" s="8" t="s">
        <v>729</v>
      </c>
      <c r="E125" s="8" t="s">
        <v>233</v>
      </c>
      <c r="F125" s="8" t="s">
        <v>730</v>
      </c>
      <c r="G125" s="8" t="s">
        <v>731</v>
      </c>
      <c r="H125" s="8" t="s">
        <v>109</v>
      </c>
      <c r="I125" s="8" t="s">
        <v>34</v>
      </c>
      <c r="J125" s="8" t="s">
        <v>725</v>
      </c>
      <c r="K125" s="24" t="s">
        <v>732</v>
      </c>
      <c r="L125" s="23" t="s">
        <v>22</v>
      </c>
      <c r="M125" s="11"/>
    </row>
    <row r="126" ht="35" customHeight="1" spans="1:13">
      <c r="A126" s="6">
        <v>124</v>
      </c>
      <c r="B126" s="7" t="s">
        <v>733</v>
      </c>
      <c r="C126" s="8" t="s">
        <v>15</v>
      </c>
      <c r="D126" s="8" t="s">
        <v>734</v>
      </c>
      <c r="E126" s="8" t="s">
        <v>735</v>
      </c>
      <c r="F126" s="8" t="s">
        <v>584</v>
      </c>
      <c r="G126" s="8" t="s">
        <v>218</v>
      </c>
      <c r="H126" s="8" t="s">
        <v>237</v>
      </c>
      <c r="I126" s="8" t="s">
        <v>218</v>
      </c>
      <c r="J126" s="8" t="s">
        <v>725</v>
      </c>
      <c r="K126" s="25" t="s">
        <v>736</v>
      </c>
      <c r="L126" s="23" t="s">
        <v>22</v>
      </c>
      <c r="M126" s="11"/>
    </row>
    <row r="127" ht="52" customHeight="1" spans="1:13">
      <c r="A127" s="6">
        <v>125</v>
      </c>
      <c r="B127" s="7" t="s">
        <v>737</v>
      </c>
      <c r="C127" s="8" t="s">
        <v>15</v>
      </c>
      <c r="D127" s="8" t="s">
        <v>738</v>
      </c>
      <c r="E127" s="8" t="s">
        <v>739</v>
      </c>
      <c r="F127" s="8" t="s">
        <v>740</v>
      </c>
      <c r="G127" s="8" t="s">
        <v>741</v>
      </c>
      <c r="H127" s="8" t="s">
        <v>123</v>
      </c>
      <c r="I127" s="8" t="s">
        <v>742</v>
      </c>
      <c r="J127" s="8" t="s">
        <v>725</v>
      </c>
      <c r="K127" s="25" t="s">
        <v>743</v>
      </c>
      <c r="L127" s="23" t="s">
        <v>22</v>
      </c>
      <c r="M127" s="11"/>
    </row>
    <row r="128" ht="35" customHeight="1" spans="1:13">
      <c r="A128" s="6">
        <v>126</v>
      </c>
      <c r="B128" s="7" t="s">
        <v>744</v>
      </c>
      <c r="C128" s="8" t="s">
        <v>15</v>
      </c>
      <c r="D128" s="8" t="s">
        <v>745</v>
      </c>
      <c r="E128" s="8" t="s">
        <v>746</v>
      </c>
      <c r="F128" s="8" t="s">
        <v>747</v>
      </c>
      <c r="G128" s="8" t="s">
        <v>218</v>
      </c>
      <c r="H128" s="8" t="s">
        <v>20</v>
      </c>
      <c r="I128" s="8" t="s">
        <v>218</v>
      </c>
      <c r="J128" s="8" t="s">
        <v>725</v>
      </c>
      <c r="K128" s="25" t="s">
        <v>748</v>
      </c>
      <c r="L128" s="23" t="s">
        <v>22</v>
      </c>
      <c r="M128" s="11"/>
    </row>
    <row r="129" ht="35" customHeight="1" spans="1:13">
      <c r="A129" s="6">
        <v>127</v>
      </c>
      <c r="B129" s="7" t="s">
        <v>749</v>
      </c>
      <c r="C129" s="8" t="s">
        <v>15</v>
      </c>
      <c r="D129" s="8" t="s">
        <v>750</v>
      </c>
      <c r="E129" s="8" t="s">
        <v>751</v>
      </c>
      <c r="F129" s="8" t="s">
        <v>752</v>
      </c>
      <c r="G129" s="8" t="s">
        <v>753</v>
      </c>
      <c r="H129" s="8" t="s">
        <v>236</v>
      </c>
      <c r="I129" s="8" t="s">
        <v>754</v>
      </c>
      <c r="J129" s="8" t="s">
        <v>725</v>
      </c>
      <c r="K129" s="9" t="s">
        <v>755</v>
      </c>
      <c r="L129" s="23" t="s">
        <v>22</v>
      </c>
      <c r="M129" s="11"/>
    </row>
    <row r="130" ht="35" customHeight="1" spans="1:13">
      <c r="A130" s="6">
        <v>128</v>
      </c>
      <c r="B130" s="7" t="s">
        <v>756</v>
      </c>
      <c r="C130" s="8" t="s">
        <v>15</v>
      </c>
      <c r="D130" s="8" t="s">
        <v>757</v>
      </c>
      <c r="E130" s="8" t="s">
        <v>758</v>
      </c>
      <c r="F130" s="8" t="s">
        <v>315</v>
      </c>
      <c r="G130" s="8" t="s">
        <v>759</v>
      </c>
      <c r="H130" s="8" t="s">
        <v>760</v>
      </c>
      <c r="I130" s="8" t="s">
        <v>50</v>
      </c>
      <c r="J130" s="8" t="s">
        <v>725</v>
      </c>
      <c r="K130" s="25" t="s">
        <v>761</v>
      </c>
      <c r="L130" s="23" t="s">
        <v>36</v>
      </c>
      <c r="M130" s="11" t="s">
        <v>762</v>
      </c>
    </row>
    <row r="131" ht="35" customHeight="1" spans="1:13">
      <c r="A131" s="6">
        <v>129</v>
      </c>
      <c r="B131" s="7" t="s">
        <v>763</v>
      </c>
      <c r="C131" s="8" t="s">
        <v>15</v>
      </c>
      <c r="D131" s="8" t="s">
        <v>764</v>
      </c>
      <c r="E131" s="8" t="s">
        <v>765</v>
      </c>
      <c r="F131" s="8" t="s">
        <v>766</v>
      </c>
      <c r="G131" s="8" t="s">
        <v>767</v>
      </c>
      <c r="H131" s="8" t="s">
        <v>28</v>
      </c>
      <c r="I131" s="8" t="s">
        <v>28</v>
      </c>
      <c r="J131" s="8" t="s">
        <v>725</v>
      </c>
      <c r="K131" s="25" t="s">
        <v>768</v>
      </c>
      <c r="L131" s="23" t="s">
        <v>36</v>
      </c>
      <c r="M131" s="11" t="s">
        <v>638</v>
      </c>
    </row>
    <row r="132" ht="35" customHeight="1" spans="1:13">
      <c r="A132" s="6">
        <v>130</v>
      </c>
      <c r="B132" s="7" t="s">
        <v>769</v>
      </c>
      <c r="C132" s="8" t="s">
        <v>15</v>
      </c>
      <c r="D132" s="8" t="s">
        <v>770</v>
      </c>
      <c r="E132" s="8" t="s">
        <v>771</v>
      </c>
      <c r="F132" s="8" t="s">
        <v>772</v>
      </c>
      <c r="G132" s="8" t="s">
        <v>773</v>
      </c>
      <c r="H132" s="8" t="s">
        <v>20</v>
      </c>
      <c r="I132" s="8" t="s">
        <v>774</v>
      </c>
      <c r="J132" s="8" t="s">
        <v>725</v>
      </c>
      <c r="K132" s="25" t="s">
        <v>775</v>
      </c>
      <c r="L132" s="23" t="s">
        <v>22</v>
      </c>
      <c r="M132" s="11"/>
    </row>
    <row r="133" ht="35" customHeight="1" spans="1:13">
      <c r="A133" s="6">
        <v>131</v>
      </c>
      <c r="B133" s="7" t="s">
        <v>776</v>
      </c>
      <c r="C133" s="8" t="s">
        <v>15</v>
      </c>
      <c r="D133" s="8" t="s">
        <v>777</v>
      </c>
      <c r="E133" s="8" t="s">
        <v>778</v>
      </c>
      <c r="F133" s="8" t="s">
        <v>779</v>
      </c>
      <c r="G133" s="8" t="s">
        <v>780</v>
      </c>
      <c r="H133" s="8" t="s">
        <v>781</v>
      </c>
      <c r="I133" s="8" t="s">
        <v>77</v>
      </c>
      <c r="J133" s="8" t="s">
        <v>725</v>
      </c>
      <c r="K133" s="25" t="s">
        <v>782</v>
      </c>
      <c r="L133" s="23" t="s">
        <v>22</v>
      </c>
      <c r="M133" s="11"/>
    </row>
    <row r="134" ht="35" customHeight="1" spans="1:13">
      <c r="A134" s="6">
        <v>132</v>
      </c>
      <c r="B134" s="7" t="s">
        <v>783</v>
      </c>
      <c r="C134" s="8" t="s">
        <v>15</v>
      </c>
      <c r="D134" s="8" t="s">
        <v>784</v>
      </c>
      <c r="E134" s="8" t="s">
        <v>785</v>
      </c>
      <c r="F134" s="8" t="s">
        <v>786</v>
      </c>
      <c r="G134" s="8" t="s">
        <v>787</v>
      </c>
      <c r="H134" s="8" t="s">
        <v>781</v>
      </c>
      <c r="I134" s="8" t="s">
        <v>108</v>
      </c>
      <c r="J134" s="8" t="s">
        <v>725</v>
      </c>
      <c r="K134" s="24" t="s">
        <v>788</v>
      </c>
      <c r="L134" s="23" t="s">
        <v>51</v>
      </c>
      <c r="M134" s="11"/>
    </row>
    <row r="135" ht="35" customHeight="1" spans="1:13">
      <c r="A135" s="6">
        <v>133</v>
      </c>
      <c r="B135" s="7" t="s">
        <v>789</v>
      </c>
      <c r="C135" s="8" t="s">
        <v>15</v>
      </c>
      <c r="D135" s="8" t="s">
        <v>790</v>
      </c>
      <c r="E135" s="8" t="s">
        <v>791</v>
      </c>
      <c r="F135" s="8" t="s">
        <v>792</v>
      </c>
      <c r="G135" s="8" t="s">
        <v>793</v>
      </c>
      <c r="H135" s="8" t="s">
        <v>760</v>
      </c>
      <c r="I135" s="8" t="s">
        <v>131</v>
      </c>
      <c r="J135" s="8" t="s">
        <v>725</v>
      </c>
      <c r="K135" s="25" t="s">
        <v>794</v>
      </c>
      <c r="L135" s="23" t="s">
        <v>51</v>
      </c>
      <c r="M135" s="11"/>
    </row>
    <row r="136" ht="35" customHeight="1" spans="1:13">
      <c r="A136" s="6">
        <v>134</v>
      </c>
      <c r="B136" s="7" t="s">
        <v>795</v>
      </c>
      <c r="C136" s="8" t="s">
        <v>15</v>
      </c>
      <c r="D136" s="8" t="s">
        <v>796</v>
      </c>
      <c r="E136" s="8" t="s">
        <v>797</v>
      </c>
      <c r="F136" s="8" t="s">
        <v>798</v>
      </c>
      <c r="G136" s="8" t="s">
        <v>799</v>
      </c>
      <c r="H136" s="8" t="s">
        <v>123</v>
      </c>
      <c r="I136" s="8" t="s">
        <v>800</v>
      </c>
      <c r="J136" s="8" t="s">
        <v>725</v>
      </c>
      <c r="K136" s="24" t="s">
        <v>801</v>
      </c>
      <c r="L136" s="23" t="s">
        <v>36</v>
      </c>
      <c r="M136" s="11" t="s">
        <v>638</v>
      </c>
    </row>
    <row r="137" ht="53" customHeight="1" spans="1:13">
      <c r="A137" s="6">
        <v>135</v>
      </c>
      <c r="B137" s="7" t="s">
        <v>802</v>
      </c>
      <c r="C137" s="8" t="s">
        <v>15</v>
      </c>
      <c r="D137" s="6" t="str">
        <f>VLOOKUP(B137,[1]Sheet1!$A:$D,4,FALSE)</f>
        <v>2026-08-15 11:19:28</v>
      </c>
      <c r="E137" s="13"/>
      <c r="F137" s="13"/>
      <c r="G137" s="13"/>
      <c r="H137" s="13"/>
      <c r="I137" s="13"/>
      <c r="J137" s="6" t="str">
        <f>VLOOKUP(B137,[1]Sheet1!$A:$J,10,FALSE)</f>
        <v>司斌</v>
      </c>
      <c r="K137" s="25" t="s">
        <v>803</v>
      </c>
      <c r="L137" s="22" t="s">
        <v>22</v>
      </c>
      <c r="M137" s="11"/>
    </row>
    <row r="138" ht="35" customHeight="1" spans="1:13">
      <c r="A138" s="6">
        <v>136</v>
      </c>
      <c r="B138" s="7" t="s">
        <v>804</v>
      </c>
      <c r="C138" s="8" t="s">
        <v>15</v>
      </c>
      <c r="D138" s="6" t="str">
        <f>VLOOKUP(B138,[1]Sheet1!$A:$D,4,FALSE)</f>
        <v>2026-08-13 10:49:00</v>
      </c>
      <c r="E138" s="13"/>
      <c r="F138" s="13"/>
      <c r="G138" s="13"/>
      <c r="H138" s="13"/>
      <c r="I138" s="13"/>
      <c r="J138" s="6" t="str">
        <f>VLOOKUP(B138,[1]Sheet1!$A:$J,10,FALSE)</f>
        <v>司斌</v>
      </c>
      <c r="K138" s="9" t="s">
        <v>755</v>
      </c>
      <c r="L138" s="23" t="s">
        <v>22</v>
      </c>
      <c r="M138" s="11"/>
    </row>
    <row r="139" ht="35" customHeight="1" spans="1:13">
      <c r="A139" s="6">
        <v>137</v>
      </c>
      <c r="B139" s="7" t="s">
        <v>805</v>
      </c>
      <c r="C139" s="8" t="s">
        <v>15</v>
      </c>
      <c r="D139" s="6" t="str">
        <f>VLOOKUP(B139,[1]Sheet1!$A:$D,4,FALSE)</f>
        <v>2026-07-28 16:24:32</v>
      </c>
      <c r="E139" s="13"/>
      <c r="F139" s="13"/>
      <c r="G139" s="13"/>
      <c r="H139" s="13"/>
      <c r="I139" s="13"/>
      <c r="J139" s="6" t="str">
        <f>VLOOKUP(B139,[1]Sheet1!$A:$J,10,FALSE)</f>
        <v>司斌</v>
      </c>
      <c r="K139" s="25" t="s">
        <v>806</v>
      </c>
      <c r="L139" s="23" t="s">
        <v>22</v>
      </c>
      <c r="M139" s="11"/>
    </row>
    <row r="140" ht="35" customHeight="1" spans="1:13">
      <c r="A140" s="6">
        <v>138</v>
      </c>
      <c r="B140" s="7" t="s">
        <v>807</v>
      </c>
      <c r="C140" s="8" t="s">
        <v>15</v>
      </c>
      <c r="D140" s="6" t="str">
        <f>VLOOKUP(B140,[1]Sheet1!$A:$D,4,FALSE)</f>
        <v>2026-07-24 09:43:48</v>
      </c>
      <c r="E140" s="13"/>
      <c r="F140" s="13"/>
      <c r="G140" s="13"/>
      <c r="H140" s="13"/>
      <c r="I140" s="13"/>
      <c r="J140" s="6" t="str">
        <f>VLOOKUP(B140,[1]Sheet1!$A:$J,10,FALSE)</f>
        <v>司斌</v>
      </c>
      <c r="K140" s="25" t="s">
        <v>808</v>
      </c>
      <c r="L140" s="23" t="s">
        <v>22</v>
      </c>
      <c r="M140" s="11"/>
    </row>
    <row r="141" ht="41" customHeight="1" spans="1:13">
      <c r="A141" s="6">
        <v>139</v>
      </c>
      <c r="B141" s="7" t="s">
        <v>809</v>
      </c>
      <c r="C141" s="8" t="s">
        <v>15</v>
      </c>
      <c r="D141" s="8" t="s">
        <v>810</v>
      </c>
      <c r="E141" s="8" t="s">
        <v>811</v>
      </c>
      <c r="F141" s="8" t="s">
        <v>18</v>
      </c>
      <c r="G141" s="8" t="s">
        <v>812</v>
      </c>
      <c r="H141" s="8" t="s">
        <v>813</v>
      </c>
      <c r="I141" s="8" t="s">
        <v>813</v>
      </c>
      <c r="J141" s="8" t="s">
        <v>814</v>
      </c>
      <c r="K141" s="19" t="s">
        <v>815</v>
      </c>
      <c r="L141" s="23" t="s">
        <v>22</v>
      </c>
      <c r="M141" s="11"/>
    </row>
    <row r="142" ht="41" customHeight="1" spans="1:13">
      <c r="A142" s="6">
        <v>140</v>
      </c>
      <c r="B142" s="7" t="s">
        <v>816</v>
      </c>
      <c r="C142" s="8" t="s">
        <v>15</v>
      </c>
      <c r="D142" s="8" t="s">
        <v>817</v>
      </c>
      <c r="E142" s="8" t="s">
        <v>818</v>
      </c>
      <c r="F142" s="8" t="s">
        <v>819</v>
      </c>
      <c r="G142" s="8" t="s">
        <v>820</v>
      </c>
      <c r="H142" s="8" t="s">
        <v>624</v>
      </c>
      <c r="I142" s="8" t="s">
        <v>800</v>
      </c>
      <c r="J142" s="8" t="s">
        <v>814</v>
      </c>
      <c r="K142" s="19" t="s">
        <v>821</v>
      </c>
      <c r="L142" s="23" t="s">
        <v>36</v>
      </c>
      <c r="M142" s="11" t="s">
        <v>822</v>
      </c>
    </row>
    <row r="143" ht="41" customHeight="1" spans="1:13">
      <c r="A143" s="6">
        <v>141</v>
      </c>
      <c r="B143" s="7" t="s">
        <v>823</v>
      </c>
      <c r="C143" s="8" t="s">
        <v>15</v>
      </c>
      <c r="D143" s="8" t="s">
        <v>824</v>
      </c>
      <c r="E143" s="8" t="s">
        <v>825</v>
      </c>
      <c r="F143" s="8" t="s">
        <v>722</v>
      </c>
      <c r="G143" s="8" t="s">
        <v>826</v>
      </c>
      <c r="H143" s="8" t="s">
        <v>827</v>
      </c>
      <c r="I143" s="8" t="s">
        <v>828</v>
      </c>
      <c r="J143" s="8" t="s">
        <v>814</v>
      </c>
      <c r="K143" s="19" t="s">
        <v>829</v>
      </c>
      <c r="L143" s="23" t="s">
        <v>22</v>
      </c>
      <c r="M143" s="11"/>
    </row>
    <row r="144" ht="41" customHeight="1" spans="1:13">
      <c r="A144" s="6">
        <v>142</v>
      </c>
      <c r="B144" s="7" t="s">
        <v>830</v>
      </c>
      <c r="C144" s="8" t="s">
        <v>15</v>
      </c>
      <c r="D144" s="8" t="s">
        <v>831</v>
      </c>
      <c r="E144" s="8" t="s">
        <v>832</v>
      </c>
      <c r="F144" s="8" t="s">
        <v>833</v>
      </c>
      <c r="G144" s="8" t="s">
        <v>834</v>
      </c>
      <c r="H144" s="8" t="s">
        <v>426</v>
      </c>
      <c r="I144" s="8" t="s">
        <v>835</v>
      </c>
      <c r="J144" s="8" t="s">
        <v>814</v>
      </c>
      <c r="K144" s="19" t="s">
        <v>836</v>
      </c>
      <c r="L144" s="23" t="s">
        <v>51</v>
      </c>
      <c r="M144" s="11"/>
    </row>
    <row r="145" ht="41" customHeight="1" spans="1:13">
      <c r="A145" s="6">
        <v>143</v>
      </c>
      <c r="B145" s="7" t="s">
        <v>837</v>
      </c>
      <c r="C145" s="8" t="s">
        <v>15</v>
      </c>
      <c r="D145" s="8" t="str">
        <f>VLOOKUP(B145,[1]Sheet1!$A:$D,4,FALSE)</f>
        <v>2026-08-13 11:28:59</v>
      </c>
      <c r="E145" s="26"/>
      <c r="F145" s="26"/>
      <c r="G145" s="26"/>
      <c r="H145" s="26"/>
      <c r="I145" s="26"/>
      <c r="J145" s="8" t="str">
        <f>VLOOKUP(B145,[1]Sheet1!$A:$J,10,FALSE)</f>
        <v>王伟超</v>
      </c>
      <c r="K145" s="19" t="s">
        <v>838</v>
      </c>
      <c r="L145" s="23" t="s">
        <v>22</v>
      </c>
      <c r="M145" s="11"/>
    </row>
    <row r="146" ht="27" customHeight="1" spans="1:13">
      <c r="A146" s="6">
        <v>144</v>
      </c>
      <c r="B146" s="7" t="s">
        <v>839</v>
      </c>
      <c r="C146" s="8" t="s">
        <v>15</v>
      </c>
      <c r="D146" s="8" t="s">
        <v>840</v>
      </c>
      <c r="E146" s="8" t="s">
        <v>841</v>
      </c>
      <c r="F146" s="8" t="s">
        <v>842</v>
      </c>
      <c r="G146" s="8" t="s">
        <v>843</v>
      </c>
      <c r="H146" s="8" t="s">
        <v>844</v>
      </c>
      <c r="I146" s="8" t="s">
        <v>844</v>
      </c>
      <c r="J146" s="8" t="s">
        <v>845</v>
      </c>
      <c r="K146" s="27" t="s">
        <v>846</v>
      </c>
      <c r="L146" s="23" t="s">
        <v>22</v>
      </c>
      <c r="M146" s="11"/>
    </row>
    <row r="147" ht="27" customHeight="1" spans="1:13">
      <c r="A147" s="6">
        <v>145</v>
      </c>
      <c r="B147" s="7" t="s">
        <v>847</v>
      </c>
      <c r="C147" s="8" t="s">
        <v>15</v>
      </c>
      <c r="D147" s="8" t="s">
        <v>848</v>
      </c>
      <c r="E147" s="8" t="s">
        <v>849</v>
      </c>
      <c r="F147" s="8" t="s">
        <v>850</v>
      </c>
      <c r="G147" s="8" t="s">
        <v>851</v>
      </c>
      <c r="H147" s="8" t="s">
        <v>852</v>
      </c>
      <c r="I147" s="8" t="s">
        <v>704</v>
      </c>
      <c r="J147" s="8" t="s">
        <v>845</v>
      </c>
      <c r="K147" s="27" t="s">
        <v>853</v>
      </c>
      <c r="L147" s="23" t="s">
        <v>22</v>
      </c>
      <c r="M147" s="11"/>
    </row>
    <row r="148" ht="27" customHeight="1" spans="1:13">
      <c r="A148" s="6">
        <v>146</v>
      </c>
      <c r="B148" s="7" t="s">
        <v>854</v>
      </c>
      <c r="C148" s="8" t="s">
        <v>15</v>
      </c>
      <c r="D148" s="8" t="s">
        <v>855</v>
      </c>
      <c r="E148" s="8" t="s">
        <v>856</v>
      </c>
      <c r="F148" s="8" t="s">
        <v>857</v>
      </c>
      <c r="G148" s="8" t="s">
        <v>858</v>
      </c>
      <c r="H148" s="8" t="s">
        <v>781</v>
      </c>
      <c r="I148" s="8" t="s">
        <v>859</v>
      </c>
      <c r="J148" s="8" t="s">
        <v>845</v>
      </c>
      <c r="K148" s="27" t="s">
        <v>860</v>
      </c>
      <c r="L148" s="23" t="s">
        <v>22</v>
      </c>
      <c r="M148" s="11"/>
    </row>
    <row r="149" ht="27" customHeight="1" spans="1:13">
      <c r="A149" s="6">
        <v>147</v>
      </c>
      <c r="B149" s="7" t="s">
        <v>861</v>
      </c>
      <c r="C149" s="8" t="s">
        <v>15</v>
      </c>
      <c r="D149" s="8" t="s">
        <v>862</v>
      </c>
      <c r="E149" s="8" t="s">
        <v>863</v>
      </c>
      <c r="F149" s="8" t="s">
        <v>864</v>
      </c>
      <c r="G149" s="8" t="s">
        <v>865</v>
      </c>
      <c r="H149" s="8" t="s">
        <v>624</v>
      </c>
      <c r="I149" s="8" t="s">
        <v>317</v>
      </c>
      <c r="J149" s="8" t="s">
        <v>845</v>
      </c>
      <c r="K149" s="27" t="s">
        <v>866</v>
      </c>
      <c r="L149" s="23" t="s">
        <v>36</v>
      </c>
      <c r="M149" s="11" t="s">
        <v>867</v>
      </c>
    </row>
    <row r="150" ht="27" customHeight="1" spans="1:13">
      <c r="A150" s="6">
        <v>148</v>
      </c>
      <c r="B150" s="7" t="s">
        <v>868</v>
      </c>
      <c r="C150" s="8" t="s">
        <v>15</v>
      </c>
      <c r="D150" s="8" t="s">
        <v>869</v>
      </c>
      <c r="E150" s="8" t="s">
        <v>870</v>
      </c>
      <c r="F150" s="8" t="s">
        <v>871</v>
      </c>
      <c r="G150" s="8" t="s">
        <v>872</v>
      </c>
      <c r="H150" s="8" t="s">
        <v>624</v>
      </c>
      <c r="I150" s="8" t="s">
        <v>800</v>
      </c>
      <c r="J150" s="8" t="s">
        <v>845</v>
      </c>
      <c r="K150" s="27" t="s">
        <v>873</v>
      </c>
      <c r="L150" s="23" t="s">
        <v>36</v>
      </c>
      <c r="M150" s="11" t="s">
        <v>867</v>
      </c>
    </row>
    <row r="151" ht="27" customHeight="1" spans="1:13">
      <c r="A151" s="6">
        <v>149</v>
      </c>
      <c r="B151" s="7" t="s">
        <v>874</v>
      </c>
      <c r="C151" s="8" t="s">
        <v>15</v>
      </c>
      <c r="D151" s="8" t="s">
        <v>875</v>
      </c>
      <c r="E151" s="8" t="s">
        <v>876</v>
      </c>
      <c r="F151" s="8" t="s">
        <v>877</v>
      </c>
      <c r="G151" s="8" t="s">
        <v>878</v>
      </c>
      <c r="H151" s="8" t="s">
        <v>879</v>
      </c>
      <c r="I151" s="8" t="s">
        <v>880</v>
      </c>
      <c r="J151" s="8" t="s">
        <v>845</v>
      </c>
      <c r="K151" s="27" t="s">
        <v>881</v>
      </c>
      <c r="L151" s="23" t="s">
        <v>36</v>
      </c>
      <c r="M151" s="11" t="s">
        <v>638</v>
      </c>
    </row>
    <row r="152" ht="27" customHeight="1" spans="1:13">
      <c r="A152" s="6">
        <v>150</v>
      </c>
      <c r="B152" s="7" t="s">
        <v>882</v>
      </c>
      <c r="C152" s="8" t="s">
        <v>15</v>
      </c>
      <c r="D152" s="8" t="s">
        <v>883</v>
      </c>
      <c r="E152" s="8" t="s">
        <v>884</v>
      </c>
      <c r="F152" s="8" t="s">
        <v>885</v>
      </c>
      <c r="G152" s="8" t="s">
        <v>886</v>
      </c>
      <c r="H152" s="8" t="s">
        <v>147</v>
      </c>
      <c r="I152" s="8" t="s">
        <v>887</v>
      </c>
      <c r="J152" s="8" t="s">
        <v>845</v>
      </c>
      <c r="K152" s="27" t="s">
        <v>888</v>
      </c>
      <c r="L152" s="23" t="s">
        <v>36</v>
      </c>
      <c r="M152" s="11" t="s">
        <v>867</v>
      </c>
    </row>
    <row r="153" ht="27" customHeight="1" spans="1:13">
      <c r="A153" s="6">
        <v>151</v>
      </c>
      <c r="B153" s="7" t="s">
        <v>889</v>
      </c>
      <c r="C153" s="8" t="s">
        <v>15</v>
      </c>
      <c r="D153" s="8" t="s">
        <v>890</v>
      </c>
      <c r="E153" s="8" t="s">
        <v>891</v>
      </c>
      <c r="F153" s="8" t="s">
        <v>892</v>
      </c>
      <c r="G153" s="8" t="s">
        <v>893</v>
      </c>
      <c r="H153" s="8" t="s">
        <v>50</v>
      </c>
      <c r="I153" s="8" t="s">
        <v>800</v>
      </c>
      <c r="J153" s="8" t="s">
        <v>845</v>
      </c>
      <c r="K153" s="27" t="s">
        <v>894</v>
      </c>
      <c r="L153" s="23" t="s">
        <v>22</v>
      </c>
      <c r="M153" s="11"/>
    </row>
    <row r="154" ht="27" customHeight="1" spans="1:13">
      <c r="A154" s="6">
        <v>152</v>
      </c>
      <c r="B154" s="7" t="s">
        <v>895</v>
      </c>
      <c r="C154" s="8" t="s">
        <v>15</v>
      </c>
      <c r="D154" s="8" t="s">
        <v>896</v>
      </c>
      <c r="E154" s="8" t="s">
        <v>897</v>
      </c>
      <c r="F154" s="8" t="s">
        <v>898</v>
      </c>
      <c r="G154" s="8" t="s">
        <v>899</v>
      </c>
      <c r="H154" s="8" t="s">
        <v>900</v>
      </c>
      <c r="I154" s="8" t="s">
        <v>901</v>
      </c>
      <c r="J154" s="8" t="s">
        <v>902</v>
      </c>
      <c r="K154" s="23" t="s">
        <v>903</v>
      </c>
      <c r="L154" s="23" t="s">
        <v>36</v>
      </c>
      <c r="M154" s="11" t="s">
        <v>904</v>
      </c>
    </row>
    <row r="155" ht="27" customHeight="1" spans="1:13">
      <c r="A155" s="6">
        <v>153</v>
      </c>
      <c r="B155" s="7" t="s">
        <v>905</v>
      </c>
      <c r="C155" s="8" t="s">
        <v>15</v>
      </c>
      <c r="D155" s="8" t="s">
        <v>906</v>
      </c>
      <c r="E155" s="8" t="s">
        <v>907</v>
      </c>
      <c r="F155" s="8" t="s">
        <v>908</v>
      </c>
      <c r="G155" s="8" t="s">
        <v>218</v>
      </c>
      <c r="H155" s="8" t="s">
        <v>909</v>
      </c>
      <c r="I155" s="8" t="s">
        <v>218</v>
      </c>
      <c r="J155" s="8" t="s">
        <v>902</v>
      </c>
      <c r="K155" s="23" t="s">
        <v>910</v>
      </c>
      <c r="L155" s="23" t="s">
        <v>22</v>
      </c>
      <c r="M155" s="11"/>
    </row>
    <row r="156" ht="27" customHeight="1" spans="1:13">
      <c r="A156" s="6">
        <v>154</v>
      </c>
      <c r="B156" s="7" t="s">
        <v>911</v>
      </c>
      <c r="C156" s="8" t="s">
        <v>15</v>
      </c>
      <c r="D156" s="8" t="s">
        <v>912</v>
      </c>
      <c r="E156" s="8" t="s">
        <v>913</v>
      </c>
      <c r="F156" s="8" t="s">
        <v>128</v>
      </c>
      <c r="G156" s="8" t="s">
        <v>914</v>
      </c>
      <c r="H156" s="8" t="s">
        <v>34</v>
      </c>
      <c r="I156" s="8" t="s">
        <v>88</v>
      </c>
      <c r="J156" s="8" t="s">
        <v>902</v>
      </c>
      <c r="K156" s="23" t="s">
        <v>915</v>
      </c>
      <c r="L156" s="23" t="s">
        <v>22</v>
      </c>
      <c r="M156" s="11"/>
    </row>
    <row r="157" ht="27" customHeight="1" spans="1:13">
      <c r="A157" s="6">
        <v>155</v>
      </c>
      <c r="B157" s="7" t="s">
        <v>916</v>
      </c>
      <c r="C157" s="8" t="s">
        <v>15</v>
      </c>
      <c r="D157" s="8" t="s">
        <v>917</v>
      </c>
      <c r="E157" s="8" t="s">
        <v>918</v>
      </c>
      <c r="F157" s="8" t="s">
        <v>919</v>
      </c>
      <c r="G157" s="8" t="s">
        <v>920</v>
      </c>
      <c r="H157" s="8" t="s">
        <v>921</v>
      </c>
      <c r="I157" s="8" t="s">
        <v>922</v>
      </c>
      <c r="J157" s="8" t="s">
        <v>902</v>
      </c>
      <c r="K157" s="23" t="s">
        <v>915</v>
      </c>
      <c r="L157" s="23" t="s">
        <v>36</v>
      </c>
      <c r="M157" s="11" t="s">
        <v>638</v>
      </c>
    </row>
    <row r="158" ht="27" customHeight="1" spans="1:13">
      <c r="A158" s="6">
        <v>156</v>
      </c>
      <c r="B158" s="7" t="s">
        <v>923</v>
      </c>
      <c r="C158" s="8" t="s">
        <v>15</v>
      </c>
      <c r="D158" s="8" t="s">
        <v>924</v>
      </c>
      <c r="E158" s="8" t="s">
        <v>925</v>
      </c>
      <c r="F158" s="8" t="s">
        <v>926</v>
      </c>
      <c r="G158" s="8" t="s">
        <v>927</v>
      </c>
      <c r="H158" s="8" t="s">
        <v>928</v>
      </c>
      <c r="I158" s="8" t="s">
        <v>577</v>
      </c>
      <c r="J158" s="8" t="s">
        <v>902</v>
      </c>
      <c r="K158" s="23" t="s">
        <v>929</v>
      </c>
      <c r="L158" s="23" t="s">
        <v>22</v>
      </c>
      <c r="M158" s="11"/>
    </row>
    <row r="159" ht="27" customHeight="1" spans="1:13">
      <c r="A159" s="6">
        <v>157</v>
      </c>
      <c r="B159" s="7" t="s">
        <v>930</v>
      </c>
      <c r="C159" s="8" t="s">
        <v>15</v>
      </c>
      <c r="D159" s="8" t="s">
        <v>931</v>
      </c>
      <c r="E159" s="8" t="s">
        <v>932</v>
      </c>
      <c r="F159" s="8" t="s">
        <v>933</v>
      </c>
      <c r="G159" s="8" t="s">
        <v>934</v>
      </c>
      <c r="H159" s="8" t="s">
        <v>928</v>
      </c>
      <c r="I159" s="8" t="s">
        <v>928</v>
      </c>
      <c r="J159" s="8" t="s">
        <v>902</v>
      </c>
      <c r="K159" s="23" t="s">
        <v>910</v>
      </c>
      <c r="L159" s="23" t="s">
        <v>36</v>
      </c>
      <c r="M159" s="11" t="s">
        <v>935</v>
      </c>
    </row>
    <row r="160" ht="27" customHeight="1" spans="1:13">
      <c r="A160" s="6">
        <v>158</v>
      </c>
      <c r="B160" s="7" t="s">
        <v>936</v>
      </c>
      <c r="C160" s="8" t="s">
        <v>15</v>
      </c>
      <c r="D160" s="8" t="s">
        <v>937</v>
      </c>
      <c r="E160" s="8" t="s">
        <v>938</v>
      </c>
      <c r="F160" s="8" t="s">
        <v>939</v>
      </c>
      <c r="G160" s="8" t="s">
        <v>940</v>
      </c>
      <c r="H160" s="8" t="s">
        <v>130</v>
      </c>
      <c r="I160" s="8" t="s">
        <v>28</v>
      </c>
      <c r="J160" s="8" t="s">
        <v>902</v>
      </c>
      <c r="K160" s="23" t="s">
        <v>929</v>
      </c>
      <c r="L160" s="23" t="s">
        <v>22</v>
      </c>
      <c r="M160" s="11"/>
    </row>
    <row r="161" ht="27" customHeight="1" spans="1:13">
      <c r="A161" s="6">
        <v>159</v>
      </c>
      <c r="B161" s="7" t="s">
        <v>941</v>
      </c>
      <c r="C161" s="8" t="s">
        <v>15</v>
      </c>
      <c r="D161" s="8" t="s">
        <v>942</v>
      </c>
      <c r="E161" s="8" t="s">
        <v>943</v>
      </c>
      <c r="F161" s="8" t="s">
        <v>944</v>
      </c>
      <c r="G161" s="8" t="s">
        <v>945</v>
      </c>
      <c r="H161" s="8" t="s">
        <v>253</v>
      </c>
      <c r="I161" s="8" t="s">
        <v>317</v>
      </c>
      <c r="J161" s="8" t="s">
        <v>902</v>
      </c>
      <c r="K161" s="23" t="s">
        <v>910</v>
      </c>
      <c r="L161" s="23" t="s">
        <v>36</v>
      </c>
      <c r="M161" s="11" t="s">
        <v>935</v>
      </c>
    </row>
    <row r="162" ht="27" customHeight="1" spans="1:13">
      <c r="A162" s="6">
        <v>160</v>
      </c>
      <c r="B162" s="7" t="s">
        <v>946</v>
      </c>
      <c r="C162" s="8" t="s">
        <v>15</v>
      </c>
      <c r="D162" s="8" t="s">
        <v>947</v>
      </c>
      <c r="E162" s="8" t="s">
        <v>948</v>
      </c>
      <c r="F162" s="8" t="s">
        <v>949</v>
      </c>
      <c r="G162" s="8" t="s">
        <v>950</v>
      </c>
      <c r="H162" s="8" t="s">
        <v>951</v>
      </c>
      <c r="I162" s="8" t="s">
        <v>88</v>
      </c>
      <c r="J162" s="8" t="s">
        <v>902</v>
      </c>
      <c r="K162" s="23" t="s">
        <v>910</v>
      </c>
      <c r="L162" s="23" t="s">
        <v>36</v>
      </c>
      <c r="M162" s="11" t="s">
        <v>935</v>
      </c>
    </row>
    <row r="163" ht="27" customHeight="1" spans="1:13">
      <c r="A163" s="6">
        <v>161</v>
      </c>
      <c r="B163" s="7" t="s">
        <v>952</v>
      </c>
      <c r="C163" s="8" t="s">
        <v>15</v>
      </c>
      <c r="D163" s="6" t="str">
        <f>VLOOKUP(B163,[1]Sheet1!$A:$D,4,FALSE)</f>
        <v>2026-07-31 17:10:36</v>
      </c>
      <c r="E163" s="13"/>
      <c r="F163" s="13"/>
      <c r="G163" s="13"/>
      <c r="H163" s="13"/>
      <c r="I163" s="13"/>
      <c r="J163" s="6" t="str">
        <f>VLOOKUP(B163,[1]Sheet1!$A:$J,10,FALSE)</f>
        <v>尹韬越</v>
      </c>
      <c r="K163" s="23" t="s">
        <v>953</v>
      </c>
      <c r="L163" s="23" t="s">
        <v>51</v>
      </c>
      <c r="M163" s="11" t="s">
        <v>954</v>
      </c>
    </row>
    <row r="164" ht="27" customHeight="1" spans="1:13">
      <c r="A164" s="6">
        <v>162</v>
      </c>
      <c r="B164" s="7" t="s">
        <v>955</v>
      </c>
      <c r="C164" s="8" t="s">
        <v>15</v>
      </c>
      <c r="D164" s="6" t="str">
        <f>VLOOKUP(B164,[1]Sheet1!$A:$D,4,FALSE)</f>
        <v>2026-07-31 16:41:10</v>
      </c>
      <c r="E164" s="13"/>
      <c r="F164" s="13"/>
      <c r="G164" s="13"/>
      <c r="H164" s="13"/>
      <c r="I164" s="13"/>
      <c r="J164" s="6" t="str">
        <f>VLOOKUP(B164,[1]Sheet1!$A:$J,10,FALSE)</f>
        <v>尹韬越</v>
      </c>
      <c r="K164" s="23" t="s">
        <v>956</v>
      </c>
      <c r="L164" s="23" t="s">
        <v>51</v>
      </c>
      <c r="M164" s="11" t="s">
        <v>954</v>
      </c>
    </row>
    <row r="165" ht="27" customHeight="1" spans="1:13">
      <c r="A165" s="6">
        <v>163</v>
      </c>
      <c r="B165" s="7" t="s">
        <v>957</v>
      </c>
      <c r="C165" s="8" t="s">
        <v>15</v>
      </c>
      <c r="D165" s="6" t="str">
        <f>VLOOKUP(B165,[1]Sheet1!$A:$D,4,FALSE)</f>
        <v>2026-07-31 16:28:44</v>
      </c>
      <c r="E165" s="13"/>
      <c r="F165" s="13"/>
      <c r="G165" s="13"/>
      <c r="H165" s="13"/>
      <c r="I165" s="13"/>
      <c r="J165" s="6" t="str">
        <f>VLOOKUP(B165,[1]Sheet1!$A:$J,10,FALSE)</f>
        <v>尹韬越</v>
      </c>
      <c r="K165" s="23" t="s">
        <v>956</v>
      </c>
      <c r="L165" s="23" t="s">
        <v>51</v>
      </c>
      <c r="M165" s="11" t="s">
        <v>954</v>
      </c>
    </row>
    <row r="166" ht="27" customHeight="1" spans="1:13">
      <c r="A166" s="6">
        <v>164</v>
      </c>
      <c r="B166" s="7" t="s">
        <v>958</v>
      </c>
      <c r="C166" s="8" t="s">
        <v>15</v>
      </c>
      <c r="D166" s="6" t="str">
        <f>VLOOKUP(B166,[1]Sheet1!$A:$D,4,FALSE)</f>
        <v>2026-07-31 16:09:53</v>
      </c>
      <c r="E166" s="13"/>
      <c r="F166" s="13"/>
      <c r="G166" s="13"/>
      <c r="H166" s="13"/>
      <c r="I166" s="13"/>
      <c r="J166" s="6" t="str">
        <f>VLOOKUP(B166,[1]Sheet1!$A:$J,10,FALSE)</f>
        <v>尹韬越</v>
      </c>
      <c r="K166" s="23" t="s">
        <v>956</v>
      </c>
      <c r="L166" s="23" t="s">
        <v>51</v>
      </c>
      <c r="M166" s="11" t="s">
        <v>954</v>
      </c>
    </row>
    <row r="167" ht="34" customHeight="1" spans="1:13">
      <c r="A167" s="6">
        <v>165</v>
      </c>
      <c r="B167" s="7" t="s">
        <v>959</v>
      </c>
      <c r="C167" s="8" t="s">
        <v>15</v>
      </c>
      <c r="D167" s="8" t="s">
        <v>960</v>
      </c>
      <c r="E167" s="8" t="s">
        <v>961</v>
      </c>
      <c r="F167" s="8" t="s">
        <v>798</v>
      </c>
      <c r="G167" s="8" t="s">
        <v>962</v>
      </c>
      <c r="H167" s="8" t="s">
        <v>130</v>
      </c>
      <c r="I167" s="8" t="s">
        <v>130</v>
      </c>
      <c r="J167" s="8" t="s">
        <v>963</v>
      </c>
      <c r="K167" s="27" t="s">
        <v>637</v>
      </c>
      <c r="L167" s="20" t="s">
        <v>36</v>
      </c>
      <c r="M167" s="11" t="s">
        <v>638</v>
      </c>
    </row>
    <row r="168" ht="34" customHeight="1" spans="1:13">
      <c r="A168" s="6">
        <v>166</v>
      </c>
      <c r="B168" s="7" t="s">
        <v>964</v>
      </c>
      <c r="C168" s="8" t="s">
        <v>15</v>
      </c>
      <c r="D168" s="8" t="s">
        <v>965</v>
      </c>
      <c r="E168" s="8" t="s">
        <v>966</v>
      </c>
      <c r="F168" s="8" t="s">
        <v>967</v>
      </c>
      <c r="G168" s="8" t="s">
        <v>968</v>
      </c>
      <c r="H168" s="8" t="s">
        <v>109</v>
      </c>
      <c r="I168" s="8" t="s">
        <v>109</v>
      </c>
      <c r="J168" s="8" t="s">
        <v>963</v>
      </c>
      <c r="K168" s="27" t="s">
        <v>637</v>
      </c>
      <c r="L168" s="20" t="s">
        <v>36</v>
      </c>
      <c r="M168" s="11" t="s">
        <v>638</v>
      </c>
    </row>
    <row r="169" ht="34" customHeight="1" spans="1:13">
      <c r="A169" s="6">
        <v>167</v>
      </c>
      <c r="B169" s="7" t="s">
        <v>969</v>
      </c>
      <c r="C169" s="8" t="s">
        <v>15</v>
      </c>
      <c r="D169" s="8" t="s">
        <v>970</v>
      </c>
      <c r="E169" s="8" t="s">
        <v>971</v>
      </c>
      <c r="F169" s="8" t="s">
        <v>972</v>
      </c>
      <c r="G169" s="8" t="s">
        <v>973</v>
      </c>
      <c r="H169" s="8" t="s">
        <v>974</v>
      </c>
      <c r="I169" s="8" t="s">
        <v>975</v>
      </c>
      <c r="J169" s="8" t="s">
        <v>963</v>
      </c>
      <c r="K169" s="9" t="s">
        <v>976</v>
      </c>
      <c r="L169" s="20"/>
      <c r="M169" s="11"/>
    </row>
    <row r="170" ht="61" customHeight="1" spans="1:13">
      <c r="A170" s="6">
        <v>168</v>
      </c>
      <c r="B170" s="7" t="s">
        <v>977</v>
      </c>
      <c r="C170" s="8" t="s">
        <v>15</v>
      </c>
      <c r="D170" s="6" t="str">
        <f>VLOOKUP(B170,[1]Sheet1!$A:$D,4,FALSE)</f>
        <v>2026-08-13 16:24:59</v>
      </c>
      <c r="E170" s="13"/>
      <c r="F170" s="13"/>
      <c r="G170" s="13"/>
      <c r="H170" s="13"/>
      <c r="I170" s="13"/>
      <c r="J170" s="6" t="str">
        <f>VLOOKUP(B170,[1]Sheet1!$A:$J,10,FALSE)</f>
        <v>张硕</v>
      </c>
      <c r="K170" s="19" t="s">
        <v>978</v>
      </c>
      <c r="L170" s="20" t="s">
        <v>22</v>
      </c>
      <c r="M170" s="11"/>
    </row>
    <row r="171" ht="51" customHeight="1" spans="1:13">
      <c r="A171" s="6">
        <v>169</v>
      </c>
      <c r="B171" s="7" t="s">
        <v>979</v>
      </c>
      <c r="C171" s="8" t="s">
        <v>15</v>
      </c>
      <c r="D171" s="6" t="str">
        <f>VLOOKUP(B171,[1]Sheet1!$A:$D,4,FALSE)</f>
        <v>2026-08-13 16:20:32</v>
      </c>
      <c r="E171" s="13"/>
      <c r="F171" s="13"/>
      <c r="G171" s="13"/>
      <c r="H171" s="13"/>
      <c r="I171" s="13"/>
      <c r="J171" s="6" t="str">
        <f>VLOOKUP(B171,[1]Sheet1!$A:$J,10,FALSE)</f>
        <v>张硕</v>
      </c>
      <c r="K171" s="19" t="s">
        <v>980</v>
      </c>
      <c r="L171" s="20" t="s">
        <v>22</v>
      </c>
      <c r="M171" s="11"/>
    </row>
  </sheetData>
  <autoFilter xmlns:etc="http://www.wps.cn/officeDocument/2017/etCustomData" ref="B2:J171" etc:filterBottomFollowUsedRange="0">
    <sortState ref="B2:J171">
      <sortCondition ref="J2"/>
    </sortState>
    <extLst/>
  </autoFilter>
  <mergeCells count="1">
    <mergeCell ref="A1:M1"/>
  </mergeCell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方案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杨超</cp:lastModifiedBy>
  <dcterms:created xsi:type="dcterms:W3CDTF">2026-07-28T08:26:00Z</dcterms:created>
  <dcterms:modified xsi:type="dcterms:W3CDTF">2026-08-28T10:31:21Z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B19E355E3355464F9B88D468802853C4_11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