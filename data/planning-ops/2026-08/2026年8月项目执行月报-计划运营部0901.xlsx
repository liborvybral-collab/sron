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执行项目清单0902" sheetId="2" r:id="rId1"/>
  </sheets>
  <externalReferences>
    <externalReference r:id="rId2"/>
  </externalReferences>
  <definedNames>
    <definedName name="_xlnm._FilterDatabase" localSheetId="0" hidden="1">执行项目清单0902!$A$3:$Z$46</definedName>
    <definedName name="bktname">#REF!</definedName>
    <definedName name="bkts">'[1]GSI - Warranty'!$B$220:$C$415</definedName>
    <definedName name="buckets">#REF!</definedName>
    <definedName name="Col">#REF!</definedName>
    <definedName name="COL_IND">#REF!</definedName>
    <definedName name="Cont.Codes">#REF!</definedName>
    <definedName name="CONT_CODES">#REF!</definedName>
    <definedName name="Lead_Time">#REF!</definedName>
    <definedName name="mlo">#REF!</definedName>
    <definedName name="SALES_PERSON">#REF!</definedName>
    <definedName name="small">#REF!</definedName>
    <definedName name="搅拌罐方案">#REF!</definedName>
    <definedName name="_xlnm.Print_Area" localSheetId="0">执行项目清单0902!$A$1:$Z$42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SRON SUN</author>
  </authors>
  <commentList>
    <comment ref="R6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余约3%质保金</t>
        </r>
      </text>
    </comment>
    <comment ref="R9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安装约80万已收到0729
质保收到一半0729</t>
        </r>
      </text>
    </comment>
    <comment ref="Q14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余指导安装费用3600美元32%</t>
        </r>
      </text>
    </comment>
    <comment ref="Q17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暂无客户安装信息</t>
        </r>
      </text>
    </comment>
    <comment ref="M23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指导调试进行中
指导安装时间长</t>
        </r>
      </text>
    </comment>
    <comment ref="M2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筒仓指导施工已完成
设备指导安装待信息和后续安排</t>
        </r>
      </text>
    </comment>
    <comment ref="Q2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10%客户安装完工验收款未收，指导安装费用另算</t>
        </r>
      </text>
    </comment>
    <comment ref="D26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整体收款35.8% 0729
需催促进度款</t>
        </r>
      </text>
    </comment>
    <comment ref="J3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土建逾期约75天；供货逾期约70天，发货完成53%</t>
        </r>
      </text>
    </comment>
    <comment ref="M3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土建逾期约60天；供货逾期约55天</t>
        </r>
      </text>
    </comment>
    <comment ref="L3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发货时间待定FOB
信用证LC已延期</t>
        </r>
      </text>
    </comment>
    <comment ref="Q36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0828收到至95%</t>
        </r>
      </text>
    </comment>
    <comment ref="J37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期间设计/加工有逾期</t>
        </r>
      </text>
    </comment>
    <comment ref="D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业主施工合同尚未签订；达沃项目业主变更尚未确认</t>
        </r>
      </text>
    </comment>
    <comment ref="I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达沃改造段设计待确定
相关设计逾期
施工合同尚未签署</t>
        </r>
      </text>
    </comment>
    <comment ref="O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仅达沃项目收到20%</t>
        </r>
      </text>
    </comment>
    <comment ref="S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仅达沃收到20%预付款</t>
        </r>
      </text>
    </comment>
    <comment ref="O4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仅到12.5%预付款</t>
        </r>
      </text>
    </comment>
  </commentList>
</comments>
</file>

<file path=xl/sharedStrings.xml><?xml version="1.0" encoding="utf-8"?>
<sst xmlns="http://schemas.openxmlformats.org/spreadsheetml/2006/main" count="862" uniqueCount="246">
  <si>
    <t>2026年8月项目执行月报-计划运营部</t>
  </si>
  <si>
    <t>序号</t>
  </si>
  <si>
    <t>项目
编号</t>
  </si>
  <si>
    <t>项目状态</t>
  </si>
  <si>
    <t>项目名称</t>
  </si>
  <si>
    <t>业绩
归属年度</t>
  </si>
  <si>
    <t>业务
经理</t>
  </si>
  <si>
    <t>合同
性质</t>
  </si>
  <si>
    <t>类别
工业/粮食</t>
  </si>
  <si>
    <t>项目全景计划达成状态
绿色：已完成；浅绿色：正常推进；
黄色：中度逾期；红色：严重逾期</t>
  </si>
  <si>
    <t>项目回款状态
绿色：已完成；浅绿色：正常推进；
黄色：中度逾期；红色：严重逾期</t>
  </si>
  <si>
    <t>项目执行进度说明</t>
  </si>
  <si>
    <t>项目风险事项提示</t>
  </si>
  <si>
    <t>工程
设计</t>
  </si>
  <si>
    <t>生产
制造</t>
  </si>
  <si>
    <t>质量
检验</t>
  </si>
  <si>
    <t>包装
运输</t>
  </si>
  <si>
    <t>施工
验收</t>
  </si>
  <si>
    <t>合同金额
（万元）
（RMB）</t>
  </si>
  <si>
    <t>预付款
收款比例</t>
  </si>
  <si>
    <t>提货款
收款比例</t>
  </si>
  <si>
    <t>安装款
收款比例</t>
  </si>
  <si>
    <t>质保金
收款比例</t>
  </si>
  <si>
    <t>预付款
收款状态</t>
  </si>
  <si>
    <t>提货款
收款状态</t>
  </si>
  <si>
    <t>安装款
收款状态</t>
  </si>
  <si>
    <t>质保金
收款状态</t>
  </si>
  <si>
    <t>支付方式
电汇/信用证</t>
  </si>
  <si>
    <t>项目保函
履约保函/质保保函</t>
  </si>
  <si>
    <t>G2310</t>
  </si>
  <si>
    <t>执行完毕待验收</t>
  </si>
  <si>
    <t>马来西亚3X5000吨生物质颗粒仓项目</t>
  </si>
  <si>
    <t>2023年</t>
  </si>
  <si>
    <t>司斌</t>
  </si>
  <si>
    <t>EPC</t>
  </si>
  <si>
    <t>粮食</t>
  </si>
  <si>
    <t>已完成</t>
  </si>
  <si>
    <t>已完工验收中</t>
  </si>
  <si>
    <t>30%-25%-25%-15%-5%</t>
  </si>
  <si>
    <t>未完成</t>
  </si>
  <si>
    <t>电汇</t>
  </si>
  <si>
    <t>无</t>
  </si>
  <si>
    <t>待最终验收和付款。</t>
  </si>
  <si>
    <t>C2313</t>
  </si>
  <si>
    <t>华东院三亚崖州8X1200吨矿料仓项目</t>
  </si>
  <si>
    <t>李永祥</t>
  </si>
  <si>
    <t>工业</t>
  </si>
  <si>
    <t>已完工待验收</t>
  </si>
  <si>
    <t>30%预付款保函  10%履约保函</t>
  </si>
  <si>
    <t>C2307A</t>
  </si>
  <si>
    <t>拉法基豪瑞孟加拉驳船装载输送系统项目</t>
  </si>
  <si>
    <t>-</t>
  </si>
  <si>
    <t>已完工拒签验</t>
  </si>
  <si>
    <t>*</t>
  </si>
  <si>
    <t>部分完成</t>
  </si>
  <si>
    <t>整体已完成；业主拒签验；回款97%。</t>
  </si>
  <si>
    <t>C2309</t>
  </si>
  <si>
    <t>即将执行完毕</t>
  </si>
  <si>
    <t>蒙古2x7000t水泥仓系统项目</t>
  </si>
  <si>
    <t>陈子凡</t>
  </si>
  <si>
    <t>已验收</t>
  </si>
  <si>
    <t>催收质保金</t>
  </si>
  <si>
    <t>C2410</t>
  </si>
  <si>
    <t>特殊项目</t>
  </si>
  <si>
    <t>达涅利集团乌拉尔炼钢厂真空脱气装置项目</t>
  </si>
  <si>
    <t>2024年</t>
  </si>
  <si>
    <t>崔阳</t>
  </si>
  <si>
    <t>EP</t>
  </si>
  <si>
    <t>待提货</t>
  </si>
  <si>
    <t>不涉及</t>
  </si>
  <si>
    <t>催提货；催收质保金，业主已验货电控物资。</t>
  </si>
  <si>
    <t>C2402</t>
  </si>
  <si>
    <t>乌兹别克碳酸钙筒仓项目</t>
  </si>
  <si>
    <t>10%预付款保函</t>
  </si>
  <si>
    <t>备品备件、增补雨棚（漏水问题）已发货0821</t>
  </si>
  <si>
    <t>5%质保扣款风险</t>
  </si>
  <si>
    <t>C2503</t>
  </si>
  <si>
    <t>执行完毕</t>
  </si>
  <si>
    <t>匈牙利500m³塑料颗粒仓项目</t>
  </si>
  <si>
    <t>2025年</t>
  </si>
  <si>
    <t>项目执行已完成</t>
  </si>
  <si>
    <t>C2407</t>
  </si>
  <si>
    <t>青山（印尼）2X2300生石灰仓项目</t>
  </si>
  <si>
    <t>EP+指导安装</t>
  </si>
  <si>
    <t>基本验收</t>
  </si>
  <si>
    <t>待正式验收文件和质保金</t>
  </si>
  <si>
    <t>C2405</t>
  </si>
  <si>
    <t>蒙古2X700吨+3X110吨水泥石灰仓项目</t>
  </si>
  <si>
    <r>
      <rPr>
        <sz val="11"/>
        <rFont val="微软雅黑"/>
        <charset val="134"/>
      </rPr>
      <t>EP</t>
    </r>
    <r>
      <rPr>
        <sz val="11"/>
        <color rgb="FFFF0000"/>
        <rFont val="微软雅黑"/>
        <charset val="134"/>
      </rPr>
      <t>+C</t>
    </r>
  </si>
  <si>
    <t>C2502</t>
  </si>
  <si>
    <t>冈比亚2x19000吨水泥仓项目</t>
  </si>
  <si>
    <t>陈辉</t>
  </si>
  <si>
    <t>——</t>
  </si>
  <si>
    <t>已到货，催安装后质保金（安装待定，时间长）</t>
  </si>
  <si>
    <t>土建缓慢，支付款风险</t>
  </si>
  <si>
    <t>C2504</t>
  </si>
  <si>
    <t>毛里塔尼亚1X700t水泥仓项目</t>
  </si>
  <si>
    <t>王伟乐</t>
  </si>
  <si>
    <t>10%质保保函</t>
  </si>
  <si>
    <t>待质保期</t>
  </si>
  <si>
    <t>C2401</t>
  </si>
  <si>
    <t>蒙古16.7万吨熟料料场系统项目</t>
  </si>
  <si>
    <t>供货</t>
  </si>
  <si>
    <t>80%（20%进度款+60%提货款）</t>
  </si>
  <si>
    <t>已验收（2个细节问题后续处理）</t>
  </si>
  <si>
    <t>安装</t>
  </si>
  <si>
    <t>20%进度款</t>
  </si>
  <si>
    <t>40%验收款</t>
  </si>
  <si>
    <t>C2412</t>
  </si>
  <si>
    <t>蒙古MAK3x700吨水泥仓系统项目</t>
  </si>
  <si>
    <r>
      <rPr>
        <sz val="11"/>
        <rFont val="微软雅黑"/>
        <charset val="134"/>
      </rPr>
      <t>0302供货完成，跟踪安装进度和</t>
    </r>
    <r>
      <rPr>
        <sz val="11"/>
        <color rgb="FFFF0000"/>
        <rFont val="微软雅黑"/>
        <charset val="134"/>
      </rPr>
      <t>质保到期</t>
    </r>
    <r>
      <rPr>
        <sz val="11"/>
        <rFont val="微软雅黑"/>
        <charset val="134"/>
      </rPr>
      <t>……</t>
    </r>
  </si>
  <si>
    <t>C2413</t>
  </si>
  <si>
    <t>菲律宾KMI镍矿烘干项目</t>
  </si>
  <si>
    <t>基本完成</t>
  </si>
  <si>
    <t>指导安装</t>
  </si>
  <si>
    <t>除电控和特殊水泥骨料外，发货完成；后续需指导安装，安排链排炉砌筑工2名。</t>
  </si>
  <si>
    <t>何时开始施工？</t>
  </si>
  <si>
    <t>C2507</t>
  </si>
  <si>
    <t>印度AMRIT水泥厂1000吨装配仓扩建项目</t>
  </si>
  <si>
    <t>苗恒</t>
  </si>
  <si>
    <t>5%质保保函</t>
  </si>
  <si>
    <t>跟踪安装情况，后续可能指导，费用另算（王海坤）</t>
  </si>
  <si>
    <t>C2508</t>
  </si>
  <si>
    <t>利比里亚石膏生产线项目</t>
  </si>
  <si>
    <r>
      <rPr>
        <sz val="11"/>
        <rFont val="微软雅黑"/>
        <charset val="134"/>
      </rPr>
      <t>验货已完成，</t>
    </r>
    <r>
      <rPr>
        <sz val="11"/>
        <color rgb="FFFF0000"/>
        <rFont val="微软雅黑"/>
        <charset val="134"/>
      </rPr>
      <t>催发货款和提货0905</t>
    </r>
  </si>
  <si>
    <t>提货款风险</t>
  </si>
  <si>
    <t>C2501</t>
  </si>
  <si>
    <t>俄罗斯POWERZ散装机项目（前4套）</t>
  </si>
  <si>
    <r>
      <rPr>
        <sz val="11"/>
        <rFont val="微软雅黑"/>
        <charset val="134"/>
      </rPr>
      <t>先4后5款项全部收到/</t>
    </r>
    <r>
      <rPr>
        <sz val="11"/>
        <color rgb="FFFF0000"/>
        <rFont val="微软雅黑"/>
        <charset val="134"/>
      </rPr>
      <t>跟踪后续安装/执行基本完成</t>
    </r>
  </si>
  <si>
    <t>蒙古MAK称重改造</t>
  </si>
  <si>
    <t>EP+C</t>
  </si>
  <si>
    <t>问题待处理</t>
  </si>
  <si>
    <t>称重模块问题待处理……</t>
  </si>
  <si>
    <t>C2403</t>
  </si>
  <si>
    <t>正常执行项目</t>
  </si>
  <si>
    <t>埃及2X1万吨水泥仓及输送项目</t>
  </si>
  <si>
    <t>中度逾期</t>
  </si>
  <si>
    <r>
      <rPr>
        <sz val="11"/>
        <rFont val="微软雅黑"/>
        <charset val="134"/>
      </rPr>
      <t xml:space="preserve">筒仓施工已交接/完成；设备指导安装进行中……
</t>
    </r>
    <r>
      <rPr>
        <sz val="11"/>
        <color rgb="FFFF0000"/>
        <rFont val="微软雅黑"/>
        <charset val="134"/>
      </rPr>
      <t>指导施工费用另算</t>
    </r>
  </si>
  <si>
    <t>指导施工时间过长</t>
  </si>
  <si>
    <t>C2409</t>
  </si>
  <si>
    <t>埃及8X9000吨水泥卷边仓项目</t>
  </si>
  <si>
    <t>正常推进</t>
  </si>
  <si>
    <r>
      <rPr>
        <sz val="11"/>
        <rFont val="微软雅黑"/>
        <charset val="134"/>
      </rPr>
      <t>筒仓施工指导安装完成，</t>
    </r>
    <r>
      <rPr>
        <sz val="11"/>
        <color rgb="FFFF0000"/>
        <rFont val="微软雅黑"/>
        <charset val="134"/>
      </rPr>
      <t>费用另算</t>
    </r>
    <r>
      <rPr>
        <sz val="11"/>
        <rFont val="微软雅黑"/>
        <charset val="134"/>
      </rPr>
      <t xml:space="preserve">
设备指导安装待再次进场，费用另算……</t>
    </r>
  </si>
  <si>
    <t>C2506</t>
  </si>
  <si>
    <t>蒙古新2X7000T水泥仓系统项目</t>
  </si>
  <si>
    <t>逐步推进</t>
  </si>
  <si>
    <r>
      <rPr>
        <sz val="11"/>
        <rFont val="微软雅黑"/>
        <charset val="134"/>
      </rPr>
      <t>土建9月初计划完工，钢构/设备施工50%</t>
    </r>
    <r>
      <rPr>
        <sz val="11"/>
        <color rgb="FFFF0000"/>
        <rFont val="微软雅黑"/>
        <charset val="134"/>
      </rPr>
      <t>发货95%
业务需催促要进度款</t>
    </r>
  </si>
  <si>
    <t>进度款（供货和施工）支付风险</t>
  </si>
  <si>
    <t>G2503</t>
  </si>
  <si>
    <t>阿联酋32个开心果和杏仁筒仓项目</t>
  </si>
  <si>
    <t>王伟超</t>
  </si>
  <si>
    <t>推进中</t>
  </si>
  <si>
    <t>暂不涉及</t>
  </si>
  <si>
    <t>沟通催收中</t>
  </si>
  <si>
    <t>战争影响；催付客户支付货款和发货日期（发函）</t>
  </si>
  <si>
    <t>中东战争影响，客户接收货风险</t>
  </si>
  <si>
    <t>C2414</t>
  </si>
  <si>
    <t>巴基斯坦SECMC铁路装车站系统</t>
  </si>
  <si>
    <t>设计</t>
  </si>
  <si>
    <t>设计50%催收中</t>
  </si>
  <si>
    <t>信用证</t>
  </si>
  <si>
    <t>40%设计部分保函</t>
  </si>
  <si>
    <t>260201计期土建85%逾期75天
钢构机电准具备施工，计划9月初开工
采购供货85%逾期70天；1批次0624/2批次0717/3批次0818/4批次0825已发，剩余2批次</t>
  </si>
  <si>
    <t>工期耽误的风险
施工过程业主管理风险</t>
  </si>
  <si>
    <t>供货
含安装</t>
  </si>
  <si>
    <t>20%-25%</t>
  </si>
  <si>
    <t>催收中</t>
  </si>
  <si>
    <t>供货15%预付款保函 19.8%履约保函 6.6%质保保函</t>
  </si>
  <si>
    <t>土建施工</t>
  </si>
  <si>
    <t>C2510</t>
  </si>
  <si>
    <t>斯里兰卡4x2000吨水泥仓项目</t>
  </si>
  <si>
    <t>信用证
待延期</t>
  </si>
  <si>
    <t>30%预付款保函</t>
  </si>
  <si>
    <t>信用证已改期/跟客户沟通发货中FOB</t>
  </si>
  <si>
    <t>发货款风险</t>
  </si>
  <si>
    <t>C2511</t>
  </si>
  <si>
    <t>埃及2×500t水泥仓项目</t>
  </si>
  <si>
    <t>推进中
0831验货</t>
  </si>
  <si>
    <t>安排中</t>
  </si>
  <si>
    <t>备货完成，验货0831进行中，货款/发货时间待定</t>
  </si>
  <si>
    <t>中东战争影响，业主接收货有风险</t>
  </si>
  <si>
    <t>G2505</t>
  </si>
  <si>
    <t>韩国豆皮仓采购项目</t>
  </si>
  <si>
    <t>P</t>
  </si>
  <si>
    <t>C2601</t>
  </si>
  <si>
    <t>26年新执行项目</t>
  </si>
  <si>
    <t>越南QNC4×6000T水泥螺旋卷边仓项目</t>
  </si>
  <si>
    <t>2026年</t>
  </si>
  <si>
    <t>韩鸿彪</t>
  </si>
  <si>
    <r>
      <rPr>
        <sz val="11"/>
        <color theme="1"/>
        <rFont val="微软雅黑"/>
        <charset val="134"/>
      </rPr>
      <t>EP+</t>
    </r>
    <r>
      <rPr>
        <sz val="11"/>
        <color rgb="FFFF0000"/>
        <rFont val="微软雅黑"/>
        <charset val="134"/>
      </rPr>
      <t>C</t>
    </r>
  </si>
  <si>
    <t>等客户通知</t>
  </si>
  <si>
    <t>已发货，施工待业主确认时间
施工和指导安装另外收费</t>
  </si>
  <si>
    <t>C2602</t>
  </si>
  <si>
    <t>蒙古MAK热风管改造项目</t>
  </si>
  <si>
    <r>
      <rPr>
        <sz val="11"/>
        <rFont val="微软雅黑"/>
        <charset val="134"/>
      </rPr>
      <t>已验收，问题已经整改，</t>
    </r>
    <r>
      <rPr>
        <sz val="11"/>
        <color rgb="FFFF0000"/>
        <rFont val="微软雅黑"/>
        <charset val="134"/>
      </rPr>
      <t>催收安装款</t>
    </r>
  </si>
  <si>
    <t>C2603</t>
  </si>
  <si>
    <t>淮北临涣焦化新建除尘灰回配项目</t>
  </si>
  <si>
    <t>根据每月完成产值进行支付，已收到60%款？</t>
  </si>
  <si>
    <t>调试验收中</t>
  </si>
  <si>
    <t>C2604</t>
  </si>
  <si>
    <t>阿尔及利亚颗粒仓和储罐项目</t>
  </si>
  <si>
    <t>电汇+信用证</t>
  </si>
  <si>
    <t>15%预付款保函</t>
  </si>
  <si>
    <t>供货船期暂定0925</t>
  </si>
  <si>
    <t>C2605</t>
  </si>
  <si>
    <t>北方稀土（包头）料仓和输送系统项目</t>
  </si>
  <si>
    <t>施工中，计划9月初施工完成</t>
  </si>
  <si>
    <t>C2606</t>
  </si>
  <si>
    <t>26年新执行项目
即将执行完毕</t>
  </si>
  <si>
    <t>拉法基豪瑞孟加拉国采购项目</t>
  </si>
  <si>
    <t>马鹏飞</t>
  </si>
  <si>
    <t>交单支付</t>
  </si>
  <si>
    <t>0715完成交货，基本执行完毕</t>
  </si>
  <si>
    <t>G2504</t>
  </si>
  <si>
    <t>菲律宾Davao及Cebu淀粉仓项目</t>
  </si>
  <si>
    <t>陈子凡
张硕</t>
  </si>
  <si>
    <t>待签署
施工合同</t>
  </si>
  <si>
    <t>20%+10%</t>
  </si>
  <si>
    <t>10%（调试）</t>
  </si>
  <si>
    <t>20%履约保函+10%质保保函</t>
  </si>
  <si>
    <t>正式启动0401；达沃分项目预付20%；0720踏勘后又有变更；待签署施工合同和变更确认</t>
  </si>
  <si>
    <t>业主反复事务多，执行困难，风险大</t>
  </si>
  <si>
    <t>G2402</t>
  </si>
  <si>
    <t>菲律宾3X5000t稻谷仓项目</t>
  </si>
  <si>
    <t>暂停
取消中</t>
  </si>
  <si>
    <t>取消</t>
  </si>
  <si>
    <t>50%-50%</t>
  </si>
  <si>
    <t>暂停中</t>
  </si>
  <si>
    <t>合同已签订，首笔预付款已收到；仓体及配套钢构已订购制造完成；工艺设备已订购，基本完成；基本本项目取消，货物后期待处理。</t>
  </si>
  <si>
    <t>C2607</t>
  </si>
  <si>
    <t>越南4X6000T卷边仓配套提升机项目</t>
  </si>
  <si>
    <t>不涉及
指导安装</t>
  </si>
  <si>
    <t>不涉及
调试</t>
  </si>
  <si>
    <t>备货完成待付款发货</t>
  </si>
  <si>
    <t>C2608</t>
  </si>
  <si>
    <t>蒙古MAK WEST火车接收坑改造项目</t>
  </si>
  <si>
    <t>0%
不含安装</t>
  </si>
  <si>
    <t>0817已启动执行中</t>
  </si>
  <si>
    <t>C2609</t>
  </si>
  <si>
    <t>蒙古MAK 2X150T水泥筒仓项目</t>
  </si>
  <si>
    <t>备货完成
待付款发货</t>
  </si>
  <si>
    <t>C2610</t>
  </si>
  <si>
    <t>青海能发（集团）铁路装车站系统项目</t>
  </si>
  <si>
    <t>郭朝伟</t>
  </si>
  <si>
    <t>设计、采购进行中
工程准备进行中</t>
  </si>
  <si>
    <t>0727已经启动，预付款已收，付款比例待确定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</si>
</sst>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0"/>
      <name val="Arial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18" fillId="12" borderId="11" applyNumberFormat="0" applyAlignment="0" applyProtection="0">
      <alignment vertical="center"/>
    </xf>
    <xf numFmtId="0" fontId="19" fillId="13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9" fontId="3" fillId="5" borderId="1" xfId="3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176" fontId="3" fillId="0" borderId="1" xfId="3" applyNumberFormat="1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9" fontId="3" fillId="4" borderId="1" xfId="3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9" fontId="3" fillId="0" borderId="7" xfId="0" applyNumberFormat="1" applyFont="1" applyFill="1" applyBorder="1" applyAlignment="1">
      <alignment horizontal="center" vertical="center" wrapText="1"/>
    </xf>
    <xf numFmtId="9" fontId="3" fillId="0" borderId="3" xfId="0" applyNumberFormat="1" applyFont="1" applyFill="1" applyBorder="1" applyAlignment="1">
      <alignment horizontal="center" vertical="center"/>
    </xf>
    <xf numFmtId="9" fontId="3" fillId="0" borderId="4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9" fontId="3" fillId="7" borderId="1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9" fontId="3" fillId="0" borderId="1" xfId="3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ll\AppData\Local\Microsoft\Windows\Temporary%20Internet%20Files\OLK3AA0\&#38144;&#21806;&#37096;&#25253;&#20215;&#27169;&#26495;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GSI - Warrant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6"/>
  <sheetViews>
    <sheetView tabSelected="1" zoomScale="70" zoomScaleNormal="70" workbookViewId="0">
      <pane xSplit="4" ySplit="3" topLeftCell="E36" activePane="bottomRight" state="frozen"/>
      <selection/>
      <selection pane="topRight"/>
      <selection pane="bottomLeft"/>
      <selection pane="bottomRight" activeCell="N11" sqref="N11"/>
    </sheetView>
  </sheetViews>
  <sheetFormatPr defaultColWidth="10.2909090909091" defaultRowHeight="16.5"/>
  <cols>
    <col min="1" max="1" width="6.02727272727273" style="1" customWidth="1"/>
    <col min="2" max="2" width="9.19090909090909" style="1" customWidth="1"/>
    <col min="3" max="3" width="17.7818181818182" style="1" customWidth="1"/>
    <col min="4" max="4" width="40.4181818181818" style="4" customWidth="1"/>
    <col min="5" max="5" width="11.1090909090909" style="1" customWidth="1"/>
    <col min="6" max="6" width="8.41818181818182" style="1" customWidth="1"/>
    <col min="7" max="7" width="9.67272727272727" style="1" customWidth="1"/>
    <col min="8" max="8" width="9.03636363636364" style="1" customWidth="1"/>
    <col min="9" max="9" width="10" style="1" customWidth="1"/>
    <col min="10" max="10" width="11.2727272727273" style="1" customWidth="1"/>
    <col min="11" max="12" width="10.3090909090909" style="1" customWidth="1"/>
    <col min="13" max="13" width="10.7909090909091" style="1" customWidth="1"/>
    <col min="14" max="14" width="12.3727272727273" style="1" customWidth="1"/>
    <col min="15" max="15" width="11.1" style="1" customWidth="1"/>
    <col min="16" max="16" width="16.2272727272727" style="1" customWidth="1"/>
    <col min="17" max="17" width="11.5818181818182" style="1" customWidth="1"/>
    <col min="18" max="18" width="11.1" style="1" customWidth="1"/>
    <col min="19" max="20" width="10.7909090909091" style="1" customWidth="1"/>
    <col min="21" max="21" width="10.8" style="1" customWidth="1"/>
    <col min="22" max="22" width="10.3181818181818" style="1" customWidth="1"/>
    <col min="23" max="23" width="11.2727272727273" style="1" customWidth="1"/>
    <col min="24" max="24" width="19.6727272727273" style="1" customWidth="1"/>
    <col min="25" max="25" width="49.0454545454545" style="1" customWidth="1"/>
    <col min="26" max="26" width="22.2181818181818" style="1" customWidth="1"/>
    <col min="27" max="16384" width="10.2909090909091" style="1"/>
  </cols>
  <sheetData>
    <row r="1" s="1" customFormat="1" ht="42" customHeight="1" spans="1:26">
      <c r="A1" s="5" t="s">
        <v>0</v>
      </c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2" customFormat="1" ht="52" customHeight="1" spans="1:26">
      <c r="A2" s="7" t="s">
        <v>1</v>
      </c>
      <c r="B2" s="7" t="s">
        <v>2</v>
      </c>
      <c r="C2" s="8" t="s">
        <v>3</v>
      </c>
      <c r="D2" s="9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0" t="s">
        <v>9</v>
      </c>
      <c r="J2" s="10"/>
      <c r="K2" s="10"/>
      <c r="L2" s="10"/>
      <c r="M2" s="11"/>
      <c r="N2" s="7" t="s">
        <v>10</v>
      </c>
      <c r="O2" s="7"/>
      <c r="P2" s="7"/>
      <c r="Q2" s="7"/>
      <c r="R2" s="7"/>
      <c r="S2" s="7"/>
      <c r="T2" s="7"/>
      <c r="U2" s="7"/>
      <c r="V2" s="7"/>
      <c r="W2" s="7"/>
      <c r="X2" s="7"/>
      <c r="Y2" s="12" t="s">
        <v>11</v>
      </c>
      <c r="Z2" s="8" t="s">
        <v>12</v>
      </c>
    </row>
    <row r="3" s="3" customFormat="1" ht="33" customHeight="1" spans="1:26">
      <c r="A3" s="7"/>
      <c r="B3" s="7"/>
      <c r="C3" s="13"/>
      <c r="D3" s="9"/>
      <c r="E3" s="9"/>
      <c r="F3" s="9"/>
      <c r="G3" s="7"/>
      <c r="H3" s="7"/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14"/>
      <c r="Z3" s="13"/>
    </row>
    <row r="4" s="1" customFormat="1" ht="31" customHeight="1" spans="1:26">
      <c r="A4" s="15">
        <v>1</v>
      </c>
      <c r="B4" s="16" t="s">
        <v>29</v>
      </c>
      <c r="C4" s="16" t="s">
        <v>30</v>
      </c>
      <c r="D4" s="17" t="s">
        <v>31</v>
      </c>
      <c r="E4" s="17" t="s">
        <v>32</v>
      </c>
      <c r="F4" s="17" t="s">
        <v>33</v>
      </c>
      <c r="G4" s="18" t="s">
        <v>34</v>
      </c>
      <c r="H4" s="18" t="s">
        <v>35</v>
      </c>
      <c r="I4" s="19" t="s">
        <v>36</v>
      </c>
      <c r="J4" s="19" t="s">
        <v>36</v>
      </c>
      <c r="K4" s="19" t="s">
        <v>36</v>
      </c>
      <c r="L4" s="19" t="s">
        <v>36</v>
      </c>
      <c r="M4" s="20" t="s">
        <v>37</v>
      </c>
      <c r="N4" s="18">
        <v>1121.32</v>
      </c>
      <c r="O4" s="21">
        <v>0.3</v>
      </c>
      <c r="P4" s="21">
        <v>0.7</v>
      </c>
      <c r="Q4" s="21" t="s">
        <v>38</v>
      </c>
      <c r="R4" s="22">
        <f>5%+6%</f>
        <v>0.11</v>
      </c>
      <c r="S4" s="19" t="s">
        <v>36</v>
      </c>
      <c r="T4" s="19" t="s">
        <v>36</v>
      </c>
      <c r="U4" s="20" t="s">
        <v>39</v>
      </c>
      <c r="V4" s="23" t="s">
        <v>39</v>
      </c>
      <c r="W4" s="23" t="s">
        <v>40</v>
      </c>
      <c r="X4" s="24" t="s">
        <v>41</v>
      </c>
      <c r="Y4" s="24" t="s">
        <v>42</v>
      </c>
      <c r="Z4" s="24"/>
    </row>
    <row r="5" s="1" customFormat="1" ht="31" customHeight="1" spans="1:26">
      <c r="A5" s="15">
        <v>2</v>
      </c>
      <c r="B5" s="16" t="s">
        <v>43</v>
      </c>
      <c r="C5" s="16" t="s">
        <v>30</v>
      </c>
      <c r="D5" s="25" t="s">
        <v>44</v>
      </c>
      <c r="E5" s="17" t="s">
        <v>32</v>
      </c>
      <c r="F5" s="25" t="s">
        <v>45</v>
      </c>
      <c r="G5" s="18" t="s">
        <v>34</v>
      </c>
      <c r="H5" s="18" t="s">
        <v>46</v>
      </c>
      <c r="I5" s="19" t="s">
        <v>36</v>
      </c>
      <c r="J5" s="19" t="s">
        <v>36</v>
      </c>
      <c r="K5" s="19" t="s">
        <v>36</v>
      </c>
      <c r="L5" s="19" t="s">
        <v>36</v>
      </c>
      <c r="M5" s="20" t="s">
        <v>47</v>
      </c>
      <c r="N5" s="18">
        <v>1067.35</v>
      </c>
      <c r="O5" s="21">
        <v>0.3</v>
      </c>
      <c r="P5" s="21">
        <v>0.3</v>
      </c>
      <c r="Q5" s="22">
        <v>0.3</v>
      </c>
      <c r="R5" s="22">
        <v>0.1</v>
      </c>
      <c r="S5" s="19" t="s">
        <v>36</v>
      </c>
      <c r="T5" s="19" t="s">
        <v>36</v>
      </c>
      <c r="U5" s="20" t="s">
        <v>39</v>
      </c>
      <c r="V5" s="23" t="s">
        <v>39</v>
      </c>
      <c r="W5" s="23" t="s">
        <v>40</v>
      </c>
      <c r="X5" s="24" t="s">
        <v>48</v>
      </c>
      <c r="Y5" s="24" t="s">
        <v>42</v>
      </c>
      <c r="Z5" s="24"/>
    </row>
    <row r="6" s="1" customFormat="1" ht="31" customHeight="1" spans="1:26">
      <c r="A6" s="15">
        <v>3</v>
      </c>
      <c r="B6" s="16" t="s">
        <v>49</v>
      </c>
      <c r="C6" s="16" t="s">
        <v>30</v>
      </c>
      <c r="D6" s="17" t="s">
        <v>50</v>
      </c>
      <c r="E6" s="17" t="s">
        <v>32</v>
      </c>
      <c r="F6" s="17" t="s">
        <v>51</v>
      </c>
      <c r="G6" s="18" t="s">
        <v>34</v>
      </c>
      <c r="H6" s="18" t="s">
        <v>46</v>
      </c>
      <c r="I6" s="19" t="s">
        <v>36</v>
      </c>
      <c r="J6" s="19" t="s">
        <v>36</v>
      </c>
      <c r="K6" s="19" t="s">
        <v>36</v>
      </c>
      <c r="L6" s="19" t="s">
        <v>36</v>
      </c>
      <c r="M6" s="19" t="s">
        <v>52</v>
      </c>
      <c r="N6" s="18" t="s">
        <v>53</v>
      </c>
      <c r="O6" s="21">
        <v>0.15</v>
      </c>
      <c r="P6" s="21">
        <v>0.7</v>
      </c>
      <c r="Q6" s="21">
        <v>0.1</v>
      </c>
      <c r="R6" s="22">
        <v>0.05</v>
      </c>
      <c r="S6" s="19" t="s">
        <v>36</v>
      </c>
      <c r="T6" s="19" t="s">
        <v>36</v>
      </c>
      <c r="U6" s="19" t="s">
        <v>36</v>
      </c>
      <c r="V6" s="23" t="s">
        <v>54</v>
      </c>
      <c r="W6" s="23" t="s">
        <v>40</v>
      </c>
      <c r="X6" s="24" t="s">
        <v>41</v>
      </c>
      <c r="Y6" s="24" t="s">
        <v>55</v>
      </c>
      <c r="Z6" s="24"/>
    </row>
    <row r="7" s="1" customFormat="1" ht="31" customHeight="1" spans="1:26">
      <c r="A7" s="15">
        <v>4</v>
      </c>
      <c r="B7" s="26" t="s">
        <v>56</v>
      </c>
      <c r="C7" s="16" t="s">
        <v>57</v>
      </c>
      <c r="D7" s="17" t="s">
        <v>58</v>
      </c>
      <c r="E7" s="17" t="s">
        <v>32</v>
      </c>
      <c r="F7" s="17" t="s">
        <v>59</v>
      </c>
      <c r="G7" s="18" t="s">
        <v>34</v>
      </c>
      <c r="H7" s="18" t="s">
        <v>46</v>
      </c>
      <c r="I7" s="19" t="s">
        <v>36</v>
      </c>
      <c r="J7" s="19" t="s">
        <v>36</v>
      </c>
      <c r="K7" s="19" t="s">
        <v>36</v>
      </c>
      <c r="L7" s="19" t="s">
        <v>36</v>
      </c>
      <c r="M7" s="19" t="s">
        <v>60</v>
      </c>
      <c r="N7" s="18">
        <v>1809.06</v>
      </c>
      <c r="O7" s="21">
        <v>0.1</v>
      </c>
      <c r="P7" s="21">
        <v>0.2</v>
      </c>
      <c r="Q7" s="21">
        <v>0.6</v>
      </c>
      <c r="R7" s="22">
        <v>0.1</v>
      </c>
      <c r="S7" s="19" t="s">
        <v>36</v>
      </c>
      <c r="T7" s="19" t="s">
        <v>36</v>
      </c>
      <c r="U7" s="19" t="s">
        <v>36</v>
      </c>
      <c r="V7" s="23" t="s">
        <v>39</v>
      </c>
      <c r="W7" s="23" t="s">
        <v>40</v>
      </c>
      <c r="X7" s="24" t="s">
        <v>41</v>
      </c>
      <c r="Y7" s="24" t="s">
        <v>61</v>
      </c>
      <c r="Z7" s="24"/>
    </row>
    <row r="8" s="1" customFormat="1" ht="31" customHeight="1" spans="1:26">
      <c r="A8" s="15">
        <v>5</v>
      </c>
      <c r="B8" s="18" t="s">
        <v>62</v>
      </c>
      <c r="C8" s="18" t="s">
        <v>63</v>
      </c>
      <c r="D8" s="17" t="s">
        <v>64</v>
      </c>
      <c r="E8" s="17" t="s">
        <v>65</v>
      </c>
      <c r="F8" s="17" t="s">
        <v>66</v>
      </c>
      <c r="G8" s="16" t="s">
        <v>67</v>
      </c>
      <c r="H8" s="18" t="s">
        <v>46</v>
      </c>
      <c r="I8" s="19" t="s">
        <v>36</v>
      </c>
      <c r="J8" s="19" t="s">
        <v>36</v>
      </c>
      <c r="K8" s="19" t="s">
        <v>36</v>
      </c>
      <c r="L8" s="20" t="s">
        <v>68</v>
      </c>
      <c r="M8" s="27" t="s">
        <v>69</v>
      </c>
      <c r="N8" s="28">
        <v>563.36</v>
      </c>
      <c r="O8" s="21">
        <v>0.2</v>
      </c>
      <c r="P8" s="21">
        <v>0.7</v>
      </c>
      <c r="Q8" s="27" t="s">
        <v>69</v>
      </c>
      <c r="R8" s="22">
        <v>0.1</v>
      </c>
      <c r="S8" s="19" t="s">
        <v>36</v>
      </c>
      <c r="T8" s="19" t="s">
        <v>36</v>
      </c>
      <c r="U8" s="27" t="s">
        <v>69</v>
      </c>
      <c r="V8" s="23" t="s">
        <v>39</v>
      </c>
      <c r="W8" s="23" t="s">
        <v>40</v>
      </c>
      <c r="X8" s="24" t="s">
        <v>41</v>
      </c>
      <c r="Y8" s="24" t="s">
        <v>70</v>
      </c>
      <c r="Z8" s="24"/>
    </row>
    <row r="9" s="1" customFormat="1" ht="31" customHeight="1" spans="1:26">
      <c r="A9" s="15">
        <v>6</v>
      </c>
      <c r="B9" s="16" t="s">
        <v>71</v>
      </c>
      <c r="C9" s="16" t="s">
        <v>57</v>
      </c>
      <c r="D9" s="17" t="s">
        <v>72</v>
      </c>
      <c r="E9" s="17" t="s">
        <v>65</v>
      </c>
      <c r="F9" s="17" t="s">
        <v>66</v>
      </c>
      <c r="G9" s="18" t="s">
        <v>34</v>
      </c>
      <c r="H9" s="18" t="s">
        <v>46</v>
      </c>
      <c r="I9" s="19" t="s">
        <v>36</v>
      </c>
      <c r="J9" s="19" t="s">
        <v>36</v>
      </c>
      <c r="K9" s="19" t="s">
        <v>36</v>
      </c>
      <c r="L9" s="19" t="s">
        <v>36</v>
      </c>
      <c r="M9" s="29" t="s">
        <v>60</v>
      </c>
      <c r="N9" s="18">
        <v>4640</v>
      </c>
      <c r="O9" s="21">
        <v>0.3</v>
      </c>
      <c r="P9" s="21">
        <v>0.6</v>
      </c>
      <c r="Q9" s="27" t="s">
        <v>69</v>
      </c>
      <c r="R9" s="22">
        <v>0.05</v>
      </c>
      <c r="S9" s="19" t="s">
        <v>36</v>
      </c>
      <c r="T9" s="19" t="s">
        <v>36</v>
      </c>
      <c r="U9" s="19" t="s">
        <v>36</v>
      </c>
      <c r="V9" s="23" t="s">
        <v>39</v>
      </c>
      <c r="W9" s="23" t="s">
        <v>40</v>
      </c>
      <c r="X9" s="24" t="s">
        <v>73</v>
      </c>
      <c r="Y9" s="30" t="s">
        <v>74</v>
      </c>
      <c r="Z9" s="30" t="s">
        <v>75</v>
      </c>
    </row>
    <row r="10" s="1" customFormat="1" ht="31" customHeight="1" spans="1:26">
      <c r="A10" s="15">
        <v>7</v>
      </c>
      <c r="B10" s="16" t="s">
        <v>76</v>
      </c>
      <c r="C10" s="16" t="s">
        <v>77</v>
      </c>
      <c r="D10" s="31" t="s">
        <v>78</v>
      </c>
      <c r="E10" s="25" t="s">
        <v>79</v>
      </c>
      <c r="F10" s="25" t="s">
        <v>33</v>
      </c>
      <c r="G10" s="16" t="s">
        <v>34</v>
      </c>
      <c r="H10" s="16" t="s">
        <v>46</v>
      </c>
      <c r="I10" s="19" t="s">
        <v>36</v>
      </c>
      <c r="J10" s="19" t="s">
        <v>36</v>
      </c>
      <c r="K10" s="19" t="s">
        <v>36</v>
      </c>
      <c r="L10" s="19" t="s">
        <v>36</v>
      </c>
      <c r="M10" s="19" t="s">
        <v>60</v>
      </c>
      <c r="N10" s="18">
        <v>53.37</v>
      </c>
      <c r="O10" s="21">
        <v>0.3</v>
      </c>
      <c r="P10" s="21">
        <v>0.7</v>
      </c>
      <c r="Q10" s="27" t="s">
        <v>69</v>
      </c>
      <c r="R10" s="27" t="s">
        <v>69</v>
      </c>
      <c r="S10" s="19" t="s">
        <v>36</v>
      </c>
      <c r="T10" s="19" t="s">
        <v>36</v>
      </c>
      <c r="U10" s="19" t="s">
        <v>36</v>
      </c>
      <c r="V10" s="27" t="s">
        <v>69</v>
      </c>
      <c r="W10" s="23" t="s">
        <v>40</v>
      </c>
      <c r="X10" s="24" t="s">
        <v>41</v>
      </c>
      <c r="Y10" s="24" t="s">
        <v>80</v>
      </c>
      <c r="Z10" s="24"/>
    </row>
    <row r="11" s="1" customFormat="1" ht="31" customHeight="1" spans="1:26">
      <c r="A11" s="15">
        <v>8</v>
      </c>
      <c r="B11" s="16" t="s">
        <v>81</v>
      </c>
      <c r="C11" s="16" t="s">
        <v>30</v>
      </c>
      <c r="D11" s="25" t="s">
        <v>82</v>
      </c>
      <c r="E11" s="17" t="s">
        <v>65</v>
      </c>
      <c r="F11" s="25" t="s">
        <v>45</v>
      </c>
      <c r="G11" s="32" t="s">
        <v>83</v>
      </c>
      <c r="H11" s="18" t="s">
        <v>46</v>
      </c>
      <c r="I11" s="19" t="s">
        <v>36</v>
      </c>
      <c r="J11" s="19" t="s">
        <v>36</v>
      </c>
      <c r="K11" s="19" t="s">
        <v>36</v>
      </c>
      <c r="L11" s="19" t="s">
        <v>36</v>
      </c>
      <c r="M11" s="29" t="s">
        <v>84</v>
      </c>
      <c r="N11" s="18">
        <v>695</v>
      </c>
      <c r="O11" s="21">
        <v>0.3</v>
      </c>
      <c r="P11" s="21">
        <v>0.3</v>
      </c>
      <c r="Q11" s="21">
        <v>0.3</v>
      </c>
      <c r="R11" s="22">
        <v>0.1</v>
      </c>
      <c r="S11" s="19" t="s">
        <v>36</v>
      </c>
      <c r="T11" s="19" t="s">
        <v>36</v>
      </c>
      <c r="U11" s="19" t="s">
        <v>36</v>
      </c>
      <c r="V11" s="23" t="s">
        <v>39</v>
      </c>
      <c r="W11" s="23" t="s">
        <v>40</v>
      </c>
      <c r="X11" s="24" t="s">
        <v>41</v>
      </c>
      <c r="Y11" s="24" t="s">
        <v>85</v>
      </c>
      <c r="Z11" s="24"/>
    </row>
    <row r="12" s="1" customFormat="1" ht="31" customHeight="1" spans="1:26">
      <c r="A12" s="15">
        <v>9</v>
      </c>
      <c r="B12" s="16" t="s">
        <v>86</v>
      </c>
      <c r="C12" s="16" t="s">
        <v>57</v>
      </c>
      <c r="D12" s="25" t="s">
        <v>87</v>
      </c>
      <c r="E12" s="17" t="s">
        <v>65</v>
      </c>
      <c r="F12" s="25" t="s">
        <v>59</v>
      </c>
      <c r="G12" s="18" t="s">
        <v>88</v>
      </c>
      <c r="H12" s="18" t="s">
        <v>46</v>
      </c>
      <c r="I12" s="19" t="s">
        <v>36</v>
      </c>
      <c r="J12" s="19" t="s">
        <v>36</v>
      </c>
      <c r="K12" s="19" t="s">
        <v>36</v>
      </c>
      <c r="L12" s="19" t="s">
        <v>36</v>
      </c>
      <c r="M12" s="19" t="s">
        <v>60</v>
      </c>
      <c r="N12" s="18">
        <v>842.03</v>
      </c>
      <c r="O12" s="21">
        <v>0.1</v>
      </c>
      <c r="P12" s="21">
        <v>0.2</v>
      </c>
      <c r="Q12" s="21">
        <v>0.6</v>
      </c>
      <c r="R12" s="22">
        <v>0.1</v>
      </c>
      <c r="S12" s="19" t="s">
        <v>36</v>
      </c>
      <c r="T12" s="19" t="s">
        <v>36</v>
      </c>
      <c r="U12" s="19" t="s">
        <v>36</v>
      </c>
      <c r="V12" s="23" t="s">
        <v>39</v>
      </c>
      <c r="W12" s="23" t="s">
        <v>40</v>
      </c>
      <c r="X12" s="24" t="s">
        <v>41</v>
      </c>
      <c r="Y12" s="24" t="s">
        <v>61</v>
      </c>
      <c r="Z12" s="24"/>
    </row>
    <row r="13" s="1" customFormat="1" ht="31" customHeight="1" spans="1:26">
      <c r="A13" s="15">
        <v>10</v>
      </c>
      <c r="B13" s="16" t="s">
        <v>89</v>
      </c>
      <c r="C13" s="16" t="s">
        <v>30</v>
      </c>
      <c r="D13" s="25" t="s">
        <v>90</v>
      </c>
      <c r="E13" s="25" t="s">
        <v>79</v>
      </c>
      <c r="F13" s="25" t="s">
        <v>91</v>
      </c>
      <c r="G13" s="16" t="s">
        <v>67</v>
      </c>
      <c r="H13" s="16" t="s">
        <v>46</v>
      </c>
      <c r="I13" s="19" t="s">
        <v>36</v>
      </c>
      <c r="J13" s="19" t="s">
        <v>36</v>
      </c>
      <c r="K13" s="19" t="s">
        <v>36</v>
      </c>
      <c r="L13" s="19" t="s">
        <v>36</v>
      </c>
      <c r="M13" s="27" t="s">
        <v>69</v>
      </c>
      <c r="N13" s="18">
        <v>1238.24</v>
      </c>
      <c r="O13" s="21">
        <v>0.1</v>
      </c>
      <c r="P13" s="21">
        <v>0.2</v>
      </c>
      <c r="Q13" s="21">
        <v>0.65</v>
      </c>
      <c r="R13" s="22">
        <v>0.05</v>
      </c>
      <c r="S13" s="19" t="s">
        <v>36</v>
      </c>
      <c r="T13" s="19" t="s">
        <v>36</v>
      </c>
      <c r="U13" s="18" t="s">
        <v>92</v>
      </c>
      <c r="V13" s="23" t="s">
        <v>39</v>
      </c>
      <c r="W13" s="23" t="s">
        <v>40</v>
      </c>
      <c r="X13" s="24" t="s">
        <v>41</v>
      </c>
      <c r="Y13" s="24" t="s">
        <v>93</v>
      </c>
      <c r="Z13" s="30" t="s">
        <v>94</v>
      </c>
    </row>
    <row r="14" s="1" customFormat="1" ht="31" customHeight="1" spans="1:26">
      <c r="A14" s="15">
        <v>11</v>
      </c>
      <c r="B14" s="16" t="s">
        <v>95</v>
      </c>
      <c r="C14" s="16" t="s">
        <v>77</v>
      </c>
      <c r="D14" s="31" t="s">
        <v>96</v>
      </c>
      <c r="E14" s="25" t="s">
        <v>79</v>
      </c>
      <c r="F14" s="25" t="s">
        <v>97</v>
      </c>
      <c r="G14" s="32" t="s">
        <v>83</v>
      </c>
      <c r="H14" s="16" t="s">
        <v>46</v>
      </c>
      <c r="I14" s="19" t="s">
        <v>36</v>
      </c>
      <c r="J14" s="19" t="s">
        <v>36</v>
      </c>
      <c r="K14" s="19" t="s">
        <v>36</v>
      </c>
      <c r="L14" s="19" t="s">
        <v>36</v>
      </c>
      <c r="M14" s="19" t="s">
        <v>60</v>
      </c>
      <c r="N14" s="18">
        <v>241.53</v>
      </c>
      <c r="O14" s="21">
        <v>0.3</v>
      </c>
      <c r="P14" s="21">
        <v>0.7</v>
      </c>
      <c r="Q14" s="27" t="s">
        <v>69</v>
      </c>
      <c r="R14" s="27" t="s">
        <v>69</v>
      </c>
      <c r="S14" s="19" t="s">
        <v>36</v>
      </c>
      <c r="T14" s="19" t="s">
        <v>36</v>
      </c>
      <c r="U14" s="27" t="s">
        <v>69</v>
      </c>
      <c r="V14" s="27" t="s">
        <v>69</v>
      </c>
      <c r="W14" s="23" t="s">
        <v>40</v>
      </c>
      <c r="X14" s="24" t="s">
        <v>98</v>
      </c>
      <c r="Y14" s="24" t="s">
        <v>99</v>
      </c>
      <c r="Z14" s="24"/>
    </row>
    <row r="15" s="1" customFormat="1" ht="39" customHeight="1" spans="1:26">
      <c r="A15" s="33">
        <v>12</v>
      </c>
      <c r="B15" s="34" t="s">
        <v>100</v>
      </c>
      <c r="C15" s="34" t="s">
        <v>57</v>
      </c>
      <c r="D15" s="35" t="s">
        <v>101</v>
      </c>
      <c r="E15" s="17" t="s">
        <v>65</v>
      </c>
      <c r="F15" s="25" t="s">
        <v>59</v>
      </c>
      <c r="G15" s="18" t="s">
        <v>102</v>
      </c>
      <c r="H15" s="18" t="s">
        <v>46</v>
      </c>
      <c r="I15" s="19" t="s">
        <v>36</v>
      </c>
      <c r="J15" s="19" t="s">
        <v>36</v>
      </c>
      <c r="K15" s="19" t="s">
        <v>36</v>
      </c>
      <c r="L15" s="19" t="s">
        <v>36</v>
      </c>
      <c r="M15" s="19" t="s">
        <v>60</v>
      </c>
      <c r="N15" s="36">
        <v>3971.65</v>
      </c>
      <c r="O15" s="37">
        <v>0.1</v>
      </c>
      <c r="P15" s="37" t="s">
        <v>103</v>
      </c>
      <c r="Q15" s="27" t="s">
        <v>69</v>
      </c>
      <c r="R15" s="38">
        <v>0.1</v>
      </c>
      <c r="S15" s="19" t="s">
        <v>36</v>
      </c>
      <c r="T15" s="19" t="s">
        <v>36</v>
      </c>
      <c r="U15" s="27" t="s">
        <v>69</v>
      </c>
      <c r="V15" s="23" t="s">
        <v>39</v>
      </c>
      <c r="W15" s="23" t="s">
        <v>40</v>
      </c>
      <c r="X15" s="24" t="s">
        <v>41</v>
      </c>
      <c r="Y15" s="39" t="s">
        <v>104</v>
      </c>
      <c r="Z15" s="40"/>
    </row>
    <row r="16" s="1" customFormat="1" ht="31" customHeight="1" spans="1:26">
      <c r="A16" s="41"/>
      <c r="B16" s="42"/>
      <c r="C16" s="42"/>
      <c r="D16" s="43"/>
      <c r="E16" s="17" t="s">
        <v>65</v>
      </c>
      <c r="F16" s="25" t="s">
        <v>59</v>
      </c>
      <c r="G16" s="18" t="s">
        <v>105</v>
      </c>
      <c r="H16" s="18" t="s">
        <v>46</v>
      </c>
      <c r="I16" s="19" t="s">
        <v>36</v>
      </c>
      <c r="J16" s="19" t="s">
        <v>36</v>
      </c>
      <c r="K16" s="19" t="s">
        <v>36</v>
      </c>
      <c r="L16" s="19" t="s">
        <v>36</v>
      </c>
      <c r="M16" s="19" t="s">
        <v>60</v>
      </c>
      <c r="N16" s="36">
        <v>2128.39</v>
      </c>
      <c r="O16" s="37">
        <v>0.3</v>
      </c>
      <c r="P16" s="37" t="s">
        <v>106</v>
      </c>
      <c r="Q16" s="37" t="s">
        <v>107</v>
      </c>
      <c r="R16" s="38">
        <v>0.1</v>
      </c>
      <c r="S16" s="19" t="s">
        <v>36</v>
      </c>
      <c r="T16" s="19" t="s">
        <v>36</v>
      </c>
      <c r="U16" s="19" t="s">
        <v>36</v>
      </c>
      <c r="V16" s="23" t="s">
        <v>39</v>
      </c>
      <c r="W16" s="23" t="s">
        <v>40</v>
      </c>
      <c r="X16" s="24" t="s">
        <v>41</v>
      </c>
      <c r="Y16" s="44"/>
      <c r="Z16" s="45"/>
    </row>
    <row r="17" s="1" customFormat="1" ht="31" customHeight="1" spans="1:26">
      <c r="A17" s="15">
        <v>13</v>
      </c>
      <c r="B17" s="16" t="s">
        <v>108</v>
      </c>
      <c r="C17" s="16" t="s">
        <v>30</v>
      </c>
      <c r="D17" s="25" t="s">
        <v>109</v>
      </c>
      <c r="E17" s="17" t="s">
        <v>65</v>
      </c>
      <c r="F17" s="25" t="s">
        <v>59</v>
      </c>
      <c r="G17" s="16" t="s">
        <v>67</v>
      </c>
      <c r="H17" s="18" t="s">
        <v>46</v>
      </c>
      <c r="I17" s="19" t="s">
        <v>36</v>
      </c>
      <c r="J17" s="19" t="s">
        <v>36</v>
      </c>
      <c r="K17" s="19" t="s">
        <v>36</v>
      </c>
      <c r="L17" s="19" t="s">
        <v>36</v>
      </c>
      <c r="M17" s="27" t="s">
        <v>69</v>
      </c>
      <c r="N17" s="18">
        <v>826.14</v>
      </c>
      <c r="O17" s="21">
        <v>0.3</v>
      </c>
      <c r="P17" s="21">
        <v>0.6</v>
      </c>
      <c r="Q17" s="21">
        <v>0</v>
      </c>
      <c r="R17" s="22">
        <v>0.1</v>
      </c>
      <c r="S17" s="19" t="s">
        <v>36</v>
      </c>
      <c r="T17" s="19" t="s">
        <v>36</v>
      </c>
      <c r="U17" s="27" t="s">
        <v>69</v>
      </c>
      <c r="V17" s="23" t="s">
        <v>39</v>
      </c>
      <c r="W17" s="23" t="s">
        <v>40</v>
      </c>
      <c r="X17" s="24" t="s">
        <v>41</v>
      </c>
      <c r="Y17" s="24" t="s">
        <v>110</v>
      </c>
      <c r="Z17" s="24"/>
    </row>
    <row r="18" s="1" customFormat="1" ht="31" customHeight="1" spans="1:26">
      <c r="A18" s="15">
        <v>14</v>
      </c>
      <c r="B18" s="16" t="s">
        <v>111</v>
      </c>
      <c r="C18" s="16" t="s">
        <v>30</v>
      </c>
      <c r="D18" s="25" t="s">
        <v>112</v>
      </c>
      <c r="E18" s="17" t="s">
        <v>65</v>
      </c>
      <c r="F18" s="25" t="s">
        <v>97</v>
      </c>
      <c r="G18" s="16" t="s">
        <v>67</v>
      </c>
      <c r="H18" s="18" t="s">
        <v>46</v>
      </c>
      <c r="I18" s="19" t="s">
        <v>36</v>
      </c>
      <c r="J18" s="19" t="s">
        <v>36</v>
      </c>
      <c r="K18" s="19" t="s">
        <v>36</v>
      </c>
      <c r="L18" s="46" t="s">
        <v>113</v>
      </c>
      <c r="M18" s="47" t="s">
        <v>114</v>
      </c>
      <c r="N18" s="18">
        <v>4586.79</v>
      </c>
      <c r="O18" s="21">
        <v>0.3</v>
      </c>
      <c r="P18" s="21">
        <v>0.5</v>
      </c>
      <c r="Q18" s="22">
        <v>0.1</v>
      </c>
      <c r="R18" s="22">
        <v>0.1</v>
      </c>
      <c r="S18" s="19" t="s">
        <v>36</v>
      </c>
      <c r="T18" s="19" t="s">
        <v>36</v>
      </c>
      <c r="U18" s="48" t="s">
        <v>114</v>
      </c>
      <c r="V18" s="23" t="s">
        <v>39</v>
      </c>
      <c r="W18" s="23" t="s">
        <v>40</v>
      </c>
      <c r="X18" s="24" t="s">
        <v>41</v>
      </c>
      <c r="Y18" s="24" t="s">
        <v>115</v>
      </c>
      <c r="Z18" s="30" t="s">
        <v>116</v>
      </c>
    </row>
    <row r="19" s="1" customFormat="1" ht="31" customHeight="1" spans="1:26">
      <c r="A19" s="15">
        <v>15</v>
      </c>
      <c r="B19" s="16" t="s">
        <v>117</v>
      </c>
      <c r="C19" s="16" t="s">
        <v>77</v>
      </c>
      <c r="D19" s="31" t="s">
        <v>118</v>
      </c>
      <c r="E19" s="25" t="s">
        <v>79</v>
      </c>
      <c r="F19" s="25" t="s">
        <v>119</v>
      </c>
      <c r="G19" s="16" t="s">
        <v>83</v>
      </c>
      <c r="H19" s="16" t="s">
        <v>46</v>
      </c>
      <c r="I19" s="19" t="s">
        <v>36</v>
      </c>
      <c r="J19" s="19" t="s">
        <v>36</v>
      </c>
      <c r="K19" s="19" t="s">
        <v>36</v>
      </c>
      <c r="L19" s="19" t="s">
        <v>36</v>
      </c>
      <c r="M19" s="27" t="s">
        <v>69</v>
      </c>
      <c r="N19" s="18">
        <v>284.67</v>
      </c>
      <c r="O19" s="21">
        <v>0.3</v>
      </c>
      <c r="P19" s="21">
        <v>0.7</v>
      </c>
      <c r="Q19" s="27" t="s">
        <v>69</v>
      </c>
      <c r="R19" s="21">
        <v>0</v>
      </c>
      <c r="S19" s="19" t="s">
        <v>36</v>
      </c>
      <c r="T19" s="19" t="s">
        <v>36</v>
      </c>
      <c r="U19" s="27" t="s">
        <v>69</v>
      </c>
      <c r="V19" s="27" t="s">
        <v>69</v>
      </c>
      <c r="W19" s="23" t="s">
        <v>40</v>
      </c>
      <c r="X19" s="24" t="s">
        <v>120</v>
      </c>
      <c r="Y19" s="24" t="s">
        <v>121</v>
      </c>
      <c r="Z19" s="24"/>
    </row>
    <row r="20" s="1" customFormat="1" ht="31" customHeight="1" spans="1:26">
      <c r="A20" s="15">
        <v>16</v>
      </c>
      <c r="B20" s="16" t="s">
        <v>122</v>
      </c>
      <c r="C20" s="16" t="s">
        <v>30</v>
      </c>
      <c r="D20" s="25" t="s">
        <v>123</v>
      </c>
      <c r="E20" s="25" t="s">
        <v>79</v>
      </c>
      <c r="F20" s="25" t="s">
        <v>45</v>
      </c>
      <c r="G20" s="16" t="s">
        <v>67</v>
      </c>
      <c r="H20" s="18" t="s">
        <v>46</v>
      </c>
      <c r="I20" s="19" t="s">
        <v>36</v>
      </c>
      <c r="J20" s="19" t="s">
        <v>36</v>
      </c>
      <c r="K20" s="19" t="s">
        <v>36</v>
      </c>
      <c r="L20" s="49" t="s">
        <v>68</v>
      </c>
      <c r="M20" s="27" t="s">
        <v>69</v>
      </c>
      <c r="N20" s="18">
        <v>119.36</v>
      </c>
      <c r="O20" s="21">
        <v>0.2</v>
      </c>
      <c r="P20" s="22">
        <v>0.6</v>
      </c>
      <c r="Q20" s="22">
        <v>0.1</v>
      </c>
      <c r="R20" s="22">
        <v>0.1</v>
      </c>
      <c r="S20" s="19" t="s">
        <v>36</v>
      </c>
      <c r="T20" s="50" t="s">
        <v>68</v>
      </c>
      <c r="U20" s="18" t="s">
        <v>92</v>
      </c>
      <c r="V20" s="23" t="s">
        <v>39</v>
      </c>
      <c r="W20" s="23" t="s">
        <v>40</v>
      </c>
      <c r="X20" s="24" t="s">
        <v>41</v>
      </c>
      <c r="Y20" s="24" t="s">
        <v>124</v>
      </c>
      <c r="Z20" s="30" t="s">
        <v>125</v>
      </c>
    </row>
    <row r="21" s="1" customFormat="1" ht="31" customHeight="1" spans="1:26">
      <c r="A21" s="15">
        <v>17</v>
      </c>
      <c r="B21" s="16" t="s">
        <v>126</v>
      </c>
      <c r="C21" s="16" t="s">
        <v>77</v>
      </c>
      <c r="D21" s="31" t="s">
        <v>127</v>
      </c>
      <c r="E21" s="25" t="s">
        <v>65</v>
      </c>
      <c r="F21" s="25" t="s">
        <v>66</v>
      </c>
      <c r="G21" s="16" t="s">
        <v>67</v>
      </c>
      <c r="H21" s="18" t="s">
        <v>46</v>
      </c>
      <c r="I21" s="19" t="s">
        <v>36</v>
      </c>
      <c r="J21" s="19" t="s">
        <v>36</v>
      </c>
      <c r="K21" s="19" t="s">
        <v>36</v>
      </c>
      <c r="L21" s="19" t="s">
        <v>36</v>
      </c>
      <c r="M21" s="27" t="s">
        <v>69</v>
      </c>
      <c r="N21" s="18">
        <v>24.62</v>
      </c>
      <c r="O21" s="21">
        <v>0.68</v>
      </c>
      <c r="P21" s="21">
        <v>0.32</v>
      </c>
      <c r="Q21" s="27" t="s">
        <v>69</v>
      </c>
      <c r="R21" s="21">
        <v>0</v>
      </c>
      <c r="S21" s="19" t="s">
        <v>36</v>
      </c>
      <c r="T21" s="19" t="s">
        <v>36</v>
      </c>
      <c r="U21" s="27" t="s">
        <v>69</v>
      </c>
      <c r="V21" s="27" t="s">
        <v>69</v>
      </c>
      <c r="W21" s="23" t="s">
        <v>40</v>
      </c>
      <c r="X21" s="24" t="s">
        <v>41</v>
      </c>
      <c r="Y21" s="24" t="s">
        <v>128</v>
      </c>
      <c r="Z21" s="24"/>
    </row>
    <row r="22" s="1" customFormat="1" ht="31" customHeight="1" spans="1:26">
      <c r="A22" s="15">
        <v>18</v>
      </c>
      <c r="B22" s="16" t="s">
        <v>92</v>
      </c>
      <c r="C22" s="16" t="s">
        <v>30</v>
      </c>
      <c r="D22" s="17" t="s">
        <v>129</v>
      </c>
      <c r="E22" s="17" t="s">
        <v>65</v>
      </c>
      <c r="F22" s="17" t="s">
        <v>59</v>
      </c>
      <c r="G22" s="18" t="s">
        <v>130</v>
      </c>
      <c r="H22" s="18" t="s">
        <v>46</v>
      </c>
      <c r="I22" s="19" t="s">
        <v>36</v>
      </c>
      <c r="J22" s="19" t="s">
        <v>36</v>
      </c>
      <c r="K22" s="19" t="s">
        <v>36</v>
      </c>
      <c r="L22" s="19" t="s">
        <v>36</v>
      </c>
      <c r="M22" s="51" t="s">
        <v>131</v>
      </c>
      <c r="N22" s="18">
        <v>44.96</v>
      </c>
      <c r="O22" s="21">
        <v>0.3</v>
      </c>
      <c r="P22" s="21">
        <v>0.6</v>
      </c>
      <c r="Q22" s="21">
        <v>0</v>
      </c>
      <c r="R22" s="22">
        <v>0.1</v>
      </c>
      <c r="S22" s="19" t="s">
        <v>36</v>
      </c>
      <c r="T22" s="19" t="s">
        <v>36</v>
      </c>
      <c r="U22" s="27" t="s">
        <v>69</v>
      </c>
      <c r="V22" s="23" t="s">
        <v>39</v>
      </c>
      <c r="W22" s="23" t="s">
        <v>40</v>
      </c>
      <c r="X22" s="24" t="s">
        <v>41</v>
      </c>
      <c r="Y22" s="24" t="s">
        <v>132</v>
      </c>
      <c r="Z22" s="30"/>
    </row>
    <row r="23" s="1" customFormat="1" ht="31" customHeight="1" spans="1:26">
      <c r="A23" s="33">
        <v>19</v>
      </c>
      <c r="B23" s="34" t="s">
        <v>133</v>
      </c>
      <c r="C23" s="34" t="s">
        <v>134</v>
      </c>
      <c r="D23" s="52" t="s">
        <v>135</v>
      </c>
      <c r="E23" s="17" t="s">
        <v>65</v>
      </c>
      <c r="F23" s="17" t="s">
        <v>91</v>
      </c>
      <c r="G23" s="18" t="s">
        <v>67</v>
      </c>
      <c r="H23" s="18" t="s">
        <v>46</v>
      </c>
      <c r="I23" s="19" t="s">
        <v>36</v>
      </c>
      <c r="J23" s="19" t="s">
        <v>36</v>
      </c>
      <c r="K23" s="19" t="s">
        <v>36</v>
      </c>
      <c r="L23" s="19" t="s">
        <v>36</v>
      </c>
      <c r="M23" s="50" t="s">
        <v>136</v>
      </c>
      <c r="N23" s="36">
        <v>2396.46</v>
      </c>
      <c r="O23" s="37">
        <v>0.2</v>
      </c>
      <c r="P23" s="37">
        <v>0.75</v>
      </c>
      <c r="Q23" s="27" t="s">
        <v>69</v>
      </c>
      <c r="R23" s="38">
        <v>0.05</v>
      </c>
      <c r="S23" s="19" t="s">
        <v>36</v>
      </c>
      <c r="T23" s="19" t="s">
        <v>36</v>
      </c>
      <c r="U23" s="27" t="s">
        <v>69</v>
      </c>
      <c r="V23" s="23" t="s">
        <v>39</v>
      </c>
      <c r="W23" s="23" t="s">
        <v>40</v>
      </c>
      <c r="X23" s="24" t="s">
        <v>41</v>
      </c>
      <c r="Y23" s="39" t="s">
        <v>137</v>
      </c>
      <c r="Z23" s="40" t="s">
        <v>138</v>
      </c>
    </row>
    <row r="24" s="1" customFormat="1" ht="31" customHeight="1" spans="1:26">
      <c r="A24" s="41"/>
      <c r="B24" s="42"/>
      <c r="C24" s="42"/>
      <c r="D24" s="53"/>
      <c r="E24" s="17" t="s">
        <v>65</v>
      </c>
      <c r="F24" s="17" t="s">
        <v>91</v>
      </c>
      <c r="G24" s="18" t="s">
        <v>105</v>
      </c>
      <c r="H24" s="18" t="s">
        <v>46</v>
      </c>
      <c r="I24" s="19" t="s">
        <v>36</v>
      </c>
      <c r="J24" s="19" t="s">
        <v>36</v>
      </c>
      <c r="K24" s="19" t="s">
        <v>36</v>
      </c>
      <c r="L24" s="19" t="s">
        <v>36</v>
      </c>
      <c r="M24" s="46" t="s">
        <v>113</v>
      </c>
      <c r="N24" s="36">
        <v>197.48</v>
      </c>
      <c r="O24" s="37">
        <v>0.3</v>
      </c>
      <c r="P24" s="37">
        <v>0.25</v>
      </c>
      <c r="Q24" s="37">
        <v>0.3</v>
      </c>
      <c r="R24" s="38">
        <v>0.15</v>
      </c>
      <c r="S24" s="19" t="s">
        <v>36</v>
      </c>
      <c r="T24" s="19" t="s">
        <v>36</v>
      </c>
      <c r="U24" s="46" t="s">
        <v>113</v>
      </c>
      <c r="V24" s="23" t="s">
        <v>39</v>
      </c>
      <c r="W24" s="23" t="s">
        <v>40</v>
      </c>
      <c r="X24" s="24" t="s">
        <v>41</v>
      </c>
      <c r="Y24" s="54"/>
      <c r="Z24" s="45"/>
    </row>
    <row r="25" s="1" customFormat="1" ht="31" customHeight="1" spans="1:26">
      <c r="A25" s="15">
        <v>20</v>
      </c>
      <c r="B25" s="16" t="s">
        <v>139</v>
      </c>
      <c r="C25" s="16" t="s">
        <v>134</v>
      </c>
      <c r="D25" s="25" t="s">
        <v>140</v>
      </c>
      <c r="E25" s="17" t="s">
        <v>65</v>
      </c>
      <c r="F25" s="25" t="s">
        <v>97</v>
      </c>
      <c r="G25" s="16" t="s">
        <v>83</v>
      </c>
      <c r="H25" s="18" t="s">
        <v>46</v>
      </c>
      <c r="I25" s="19" t="s">
        <v>36</v>
      </c>
      <c r="J25" s="19" t="s">
        <v>36</v>
      </c>
      <c r="K25" s="19" t="s">
        <v>36</v>
      </c>
      <c r="L25" s="19" t="s">
        <v>36</v>
      </c>
      <c r="M25" s="55" t="s">
        <v>36</v>
      </c>
      <c r="N25" s="18">
        <v>1939.3</v>
      </c>
      <c r="O25" s="21">
        <v>0.3</v>
      </c>
      <c r="P25" s="21">
        <v>0.4</v>
      </c>
      <c r="Q25" s="22">
        <v>0.25</v>
      </c>
      <c r="R25" s="22">
        <v>0.05</v>
      </c>
      <c r="S25" s="19" t="s">
        <v>36</v>
      </c>
      <c r="T25" s="19" t="s">
        <v>36</v>
      </c>
      <c r="U25" s="46" t="s">
        <v>141</v>
      </c>
      <c r="V25" s="23" t="s">
        <v>39</v>
      </c>
      <c r="W25" s="23" t="s">
        <v>40</v>
      </c>
      <c r="X25" s="24" t="s">
        <v>41</v>
      </c>
      <c r="Y25" s="24" t="s">
        <v>142</v>
      </c>
      <c r="Z25" s="24"/>
    </row>
    <row r="26" s="1" customFormat="1" ht="31" customHeight="1" spans="1:26">
      <c r="A26" s="33">
        <v>21</v>
      </c>
      <c r="B26" s="34" t="s">
        <v>143</v>
      </c>
      <c r="C26" s="34" t="s">
        <v>134</v>
      </c>
      <c r="D26" s="35" t="s">
        <v>144</v>
      </c>
      <c r="E26" s="25" t="s">
        <v>79</v>
      </c>
      <c r="F26" s="25" t="s">
        <v>59</v>
      </c>
      <c r="G26" s="18" t="s">
        <v>102</v>
      </c>
      <c r="H26" s="16" t="s">
        <v>46</v>
      </c>
      <c r="I26" s="19" t="s">
        <v>36</v>
      </c>
      <c r="J26" s="19" t="s">
        <v>36</v>
      </c>
      <c r="K26" s="19" t="s">
        <v>36</v>
      </c>
      <c r="L26" s="46" t="s">
        <v>113</v>
      </c>
      <c r="M26" s="27" t="s">
        <v>69</v>
      </c>
      <c r="N26" s="36">
        <v>1357.82</v>
      </c>
      <c r="O26" s="37">
        <v>0.1</v>
      </c>
      <c r="P26" s="37">
        <v>0.2</v>
      </c>
      <c r="Q26" s="38">
        <v>0.6</v>
      </c>
      <c r="R26" s="38">
        <v>0.1</v>
      </c>
      <c r="S26" s="19" t="s">
        <v>36</v>
      </c>
      <c r="T26" s="50" t="s">
        <v>145</v>
      </c>
      <c r="U26" s="27" t="s">
        <v>69</v>
      </c>
      <c r="V26" s="23" t="s">
        <v>39</v>
      </c>
      <c r="W26" s="23" t="s">
        <v>40</v>
      </c>
      <c r="X26" s="24" t="s">
        <v>41</v>
      </c>
      <c r="Y26" s="39" t="s">
        <v>146</v>
      </c>
      <c r="Z26" s="40" t="s">
        <v>147</v>
      </c>
    </row>
    <row r="27" s="1" customFormat="1" ht="31" customHeight="1" spans="1:26">
      <c r="A27" s="41"/>
      <c r="B27" s="42"/>
      <c r="C27" s="42"/>
      <c r="D27" s="43"/>
      <c r="E27" s="25" t="s">
        <v>79</v>
      </c>
      <c r="F27" s="25" t="s">
        <v>59</v>
      </c>
      <c r="G27" s="18" t="s">
        <v>105</v>
      </c>
      <c r="H27" s="16" t="s">
        <v>46</v>
      </c>
      <c r="I27" s="19" t="s">
        <v>36</v>
      </c>
      <c r="J27" s="19" t="s">
        <v>36</v>
      </c>
      <c r="K27" s="19" t="s">
        <v>36</v>
      </c>
      <c r="L27" s="46" t="s">
        <v>113</v>
      </c>
      <c r="M27" s="50" t="s">
        <v>141</v>
      </c>
      <c r="N27" s="36">
        <v>1070.61</v>
      </c>
      <c r="O27" s="37">
        <v>0.3</v>
      </c>
      <c r="P27" s="37">
        <v>0.2</v>
      </c>
      <c r="Q27" s="38">
        <v>0.4</v>
      </c>
      <c r="R27" s="38">
        <v>0.1</v>
      </c>
      <c r="S27" s="19" t="s">
        <v>36</v>
      </c>
      <c r="T27" s="27" t="s">
        <v>69</v>
      </c>
      <c r="U27" s="50" t="s">
        <v>145</v>
      </c>
      <c r="V27" s="23" t="s">
        <v>39</v>
      </c>
      <c r="W27" s="23" t="s">
        <v>40</v>
      </c>
      <c r="X27" s="24" t="s">
        <v>41</v>
      </c>
      <c r="Y27" s="54"/>
      <c r="Z27" s="45"/>
    </row>
    <row r="28" s="1" customFormat="1" ht="31" customHeight="1" spans="1:26">
      <c r="A28" s="15">
        <v>22</v>
      </c>
      <c r="B28" s="18" t="s">
        <v>148</v>
      </c>
      <c r="C28" s="16" t="s">
        <v>134</v>
      </c>
      <c r="D28" s="17" t="s">
        <v>149</v>
      </c>
      <c r="E28" s="25" t="s">
        <v>79</v>
      </c>
      <c r="F28" s="17" t="s">
        <v>150</v>
      </c>
      <c r="G28" s="16" t="s">
        <v>83</v>
      </c>
      <c r="H28" s="18" t="s">
        <v>35</v>
      </c>
      <c r="I28" s="19" t="s">
        <v>36</v>
      </c>
      <c r="J28" s="19" t="s">
        <v>36</v>
      </c>
      <c r="K28" s="46" t="s">
        <v>113</v>
      </c>
      <c r="L28" s="55" t="s">
        <v>151</v>
      </c>
      <c r="M28" s="27" t="s">
        <v>152</v>
      </c>
      <c r="N28" s="18">
        <v>1961.77</v>
      </c>
      <c r="O28" s="21">
        <v>0.3</v>
      </c>
      <c r="P28" s="22">
        <v>0.6</v>
      </c>
      <c r="Q28" s="22">
        <v>0</v>
      </c>
      <c r="R28" s="22">
        <v>0.1</v>
      </c>
      <c r="S28" s="19" t="s">
        <v>36</v>
      </c>
      <c r="T28" s="50" t="s">
        <v>153</v>
      </c>
      <c r="U28" s="27" t="s">
        <v>152</v>
      </c>
      <c r="V28" s="24" t="s">
        <v>51</v>
      </c>
      <c r="W28" s="23" t="s">
        <v>40</v>
      </c>
      <c r="X28" s="24" t="s">
        <v>41</v>
      </c>
      <c r="Y28" s="30" t="s">
        <v>154</v>
      </c>
      <c r="Z28" s="30" t="s">
        <v>155</v>
      </c>
    </row>
    <row r="29" s="1" customFormat="1" ht="37" customHeight="1" spans="1:26">
      <c r="A29" s="33">
        <v>23</v>
      </c>
      <c r="B29" s="34" t="s">
        <v>156</v>
      </c>
      <c r="C29" s="34" t="s">
        <v>134</v>
      </c>
      <c r="D29" s="35" t="s">
        <v>157</v>
      </c>
      <c r="E29" s="17" t="s">
        <v>65</v>
      </c>
      <c r="F29" s="25" t="s">
        <v>59</v>
      </c>
      <c r="G29" s="16" t="s">
        <v>158</v>
      </c>
      <c r="H29" s="18" t="s">
        <v>46</v>
      </c>
      <c r="I29" s="46" t="s">
        <v>113</v>
      </c>
      <c r="J29" s="27" t="s">
        <v>69</v>
      </c>
      <c r="K29" s="27" t="s">
        <v>69</v>
      </c>
      <c r="L29" s="27" t="s">
        <v>69</v>
      </c>
      <c r="M29" s="27" t="s">
        <v>69</v>
      </c>
      <c r="N29" s="36">
        <v>295.67</v>
      </c>
      <c r="O29" s="37">
        <v>0.5</v>
      </c>
      <c r="P29" s="38">
        <v>0.5</v>
      </c>
      <c r="Q29" s="27" t="s">
        <v>69</v>
      </c>
      <c r="R29" s="27" t="s">
        <v>69</v>
      </c>
      <c r="S29" s="19" t="s">
        <v>36</v>
      </c>
      <c r="T29" s="56" t="s">
        <v>159</v>
      </c>
      <c r="U29" s="27" t="s">
        <v>69</v>
      </c>
      <c r="V29" s="27" t="s">
        <v>69</v>
      </c>
      <c r="W29" s="23" t="s">
        <v>160</v>
      </c>
      <c r="X29" s="24" t="s">
        <v>161</v>
      </c>
      <c r="Y29" s="39" t="s">
        <v>162</v>
      </c>
      <c r="Z29" s="57" t="s">
        <v>163</v>
      </c>
    </row>
    <row r="30" s="1" customFormat="1" ht="37" customHeight="1" spans="1:26">
      <c r="A30" s="58"/>
      <c r="B30" s="59"/>
      <c r="C30" s="59"/>
      <c r="D30" s="60"/>
      <c r="E30" s="17" t="s">
        <v>65</v>
      </c>
      <c r="F30" s="25" t="s">
        <v>59</v>
      </c>
      <c r="G30" s="32" t="s">
        <v>164</v>
      </c>
      <c r="H30" s="18" t="s">
        <v>46</v>
      </c>
      <c r="I30" s="27" t="s">
        <v>69</v>
      </c>
      <c r="J30" s="50" t="s">
        <v>136</v>
      </c>
      <c r="K30" s="50" t="s">
        <v>151</v>
      </c>
      <c r="L30" s="50" t="s">
        <v>151</v>
      </c>
      <c r="M30" s="50" t="s">
        <v>151</v>
      </c>
      <c r="N30" s="36">
        <v>4298.06</v>
      </c>
      <c r="O30" s="37">
        <v>0.15</v>
      </c>
      <c r="P30" s="38">
        <v>0.55</v>
      </c>
      <c r="Q30" s="38" t="s">
        <v>165</v>
      </c>
      <c r="R30" s="38">
        <v>0.05</v>
      </c>
      <c r="S30" s="19" t="s">
        <v>36</v>
      </c>
      <c r="T30" s="50" t="s">
        <v>166</v>
      </c>
      <c r="U30" s="18" t="s">
        <v>51</v>
      </c>
      <c r="V30" s="23" t="s">
        <v>51</v>
      </c>
      <c r="W30" s="23" t="s">
        <v>160</v>
      </c>
      <c r="X30" s="24" t="s">
        <v>167</v>
      </c>
      <c r="Y30" s="61"/>
      <c r="Z30" s="62"/>
    </row>
    <row r="31" s="1" customFormat="1" ht="37" customHeight="1" spans="1:26">
      <c r="A31" s="41"/>
      <c r="B31" s="42"/>
      <c r="C31" s="42"/>
      <c r="D31" s="43"/>
      <c r="E31" s="17" t="s">
        <v>65</v>
      </c>
      <c r="F31" s="25" t="s">
        <v>59</v>
      </c>
      <c r="G31" s="16" t="s">
        <v>168</v>
      </c>
      <c r="H31" s="18" t="s">
        <v>46</v>
      </c>
      <c r="I31" s="27" t="s">
        <v>69</v>
      </c>
      <c r="J31" s="27" t="s">
        <v>69</v>
      </c>
      <c r="K31" s="27" t="s">
        <v>69</v>
      </c>
      <c r="L31" s="27" t="s">
        <v>69</v>
      </c>
      <c r="M31" s="50" t="s">
        <v>136</v>
      </c>
      <c r="N31" s="36">
        <v>1377.18</v>
      </c>
      <c r="O31" s="37">
        <v>0.15</v>
      </c>
      <c r="P31" s="37">
        <v>0.55</v>
      </c>
      <c r="Q31" s="38" t="s">
        <v>165</v>
      </c>
      <c r="R31" s="38">
        <v>0.05</v>
      </c>
      <c r="S31" s="19" t="s">
        <v>36</v>
      </c>
      <c r="T31" s="27" t="s">
        <v>69</v>
      </c>
      <c r="U31" s="50" t="s">
        <v>166</v>
      </c>
      <c r="V31" s="23" t="s">
        <v>51</v>
      </c>
      <c r="W31" s="23" t="s">
        <v>160</v>
      </c>
      <c r="X31" s="24" t="s">
        <v>41</v>
      </c>
      <c r="Y31" s="54"/>
      <c r="Z31" s="44"/>
    </row>
    <row r="32" s="1" customFormat="1" ht="39" customHeight="1" spans="1:26">
      <c r="A32" s="15">
        <v>24</v>
      </c>
      <c r="B32" s="16" t="s">
        <v>169</v>
      </c>
      <c r="C32" s="16" t="s">
        <v>134</v>
      </c>
      <c r="D32" s="25" t="s">
        <v>170</v>
      </c>
      <c r="E32" s="25" t="s">
        <v>79</v>
      </c>
      <c r="F32" s="25" t="s">
        <v>91</v>
      </c>
      <c r="G32" s="16" t="s">
        <v>83</v>
      </c>
      <c r="H32" s="18" t="s">
        <v>46</v>
      </c>
      <c r="I32" s="19" t="s">
        <v>36</v>
      </c>
      <c r="J32" s="19" t="s">
        <v>36</v>
      </c>
      <c r="K32" s="19" t="s">
        <v>36</v>
      </c>
      <c r="L32" s="50" t="s">
        <v>151</v>
      </c>
      <c r="M32" s="18" t="s">
        <v>51</v>
      </c>
      <c r="N32" s="18">
        <v>1220.33</v>
      </c>
      <c r="O32" s="21">
        <v>0.3</v>
      </c>
      <c r="P32" s="22">
        <v>0.6</v>
      </c>
      <c r="Q32" s="27" t="s">
        <v>69</v>
      </c>
      <c r="R32" s="22">
        <v>0.1</v>
      </c>
      <c r="S32" s="19" t="s">
        <v>36</v>
      </c>
      <c r="T32" s="50" t="s">
        <v>166</v>
      </c>
      <c r="U32" s="27" t="s">
        <v>69</v>
      </c>
      <c r="V32" s="23" t="s">
        <v>51</v>
      </c>
      <c r="W32" s="23" t="s">
        <v>171</v>
      </c>
      <c r="X32" s="24" t="s">
        <v>172</v>
      </c>
      <c r="Y32" s="24" t="s">
        <v>173</v>
      </c>
      <c r="Z32" s="30" t="s">
        <v>174</v>
      </c>
    </row>
    <row r="33" s="1" customFormat="1" ht="39" customHeight="1" spans="1:26">
      <c r="A33" s="15">
        <v>25</v>
      </c>
      <c r="B33" s="16" t="s">
        <v>175</v>
      </c>
      <c r="C33" s="16" t="s">
        <v>134</v>
      </c>
      <c r="D33" s="25" t="s">
        <v>176</v>
      </c>
      <c r="E33" s="25" t="s">
        <v>79</v>
      </c>
      <c r="F33" s="25" t="s">
        <v>97</v>
      </c>
      <c r="G33" s="16" t="s">
        <v>83</v>
      </c>
      <c r="H33" s="18" t="s">
        <v>46</v>
      </c>
      <c r="I33" s="19" t="s">
        <v>36</v>
      </c>
      <c r="J33" s="19" t="s">
        <v>36</v>
      </c>
      <c r="K33" s="56" t="s">
        <v>177</v>
      </c>
      <c r="L33" s="18" t="s">
        <v>51</v>
      </c>
      <c r="M33" s="27" t="s">
        <v>69</v>
      </c>
      <c r="N33" s="18">
        <v>360.31</v>
      </c>
      <c r="O33" s="21">
        <v>0.3</v>
      </c>
      <c r="P33" s="22">
        <v>0.7</v>
      </c>
      <c r="Q33" s="27" t="s">
        <v>69</v>
      </c>
      <c r="R33" s="27" t="s">
        <v>69</v>
      </c>
      <c r="S33" s="19" t="s">
        <v>36</v>
      </c>
      <c r="T33" s="46" t="s">
        <v>178</v>
      </c>
      <c r="U33" s="27" t="s">
        <v>69</v>
      </c>
      <c r="V33" s="27" t="s">
        <v>69</v>
      </c>
      <c r="W33" s="23" t="s">
        <v>40</v>
      </c>
      <c r="X33" s="24" t="s">
        <v>41</v>
      </c>
      <c r="Y33" s="24" t="s">
        <v>179</v>
      </c>
      <c r="Z33" s="30" t="s">
        <v>180</v>
      </c>
    </row>
    <row r="34" s="1" customFormat="1" ht="39" customHeight="1" spans="1:26">
      <c r="A34" s="15">
        <v>26</v>
      </c>
      <c r="B34" s="16" t="s">
        <v>181</v>
      </c>
      <c r="C34" s="16" t="s">
        <v>77</v>
      </c>
      <c r="D34" s="31" t="s">
        <v>182</v>
      </c>
      <c r="E34" s="25" t="s">
        <v>79</v>
      </c>
      <c r="F34" s="25" t="s">
        <v>91</v>
      </c>
      <c r="G34" s="32" t="s">
        <v>183</v>
      </c>
      <c r="H34" s="18" t="s">
        <v>46</v>
      </c>
      <c r="I34" s="19" t="s">
        <v>36</v>
      </c>
      <c r="J34" s="19" t="s">
        <v>36</v>
      </c>
      <c r="K34" s="19" t="s">
        <v>36</v>
      </c>
      <c r="L34" s="19" t="s">
        <v>36</v>
      </c>
      <c r="M34" s="27" t="s">
        <v>69</v>
      </c>
      <c r="N34" s="18">
        <v>145.97</v>
      </c>
      <c r="O34" s="21">
        <v>0.3</v>
      </c>
      <c r="P34" s="21">
        <v>0.7</v>
      </c>
      <c r="Q34" s="27" t="s">
        <v>69</v>
      </c>
      <c r="R34" s="27" t="s">
        <v>69</v>
      </c>
      <c r="S34" s="19" t="s">
        <v>36</v>
      </c>
      <c r="T34" s="19" t="s">
        <v>36</v>
      </c>
      <c r="U34" s="27" t="s">
        <v>69</v>
      </c>
      <c r="V34" s="27" t="s">
        <v>69</v>
      </c>
      <c r="W34" s="23" t="s">
        <v>40</v>
      </c>
      <c r="X34" s="24" t="s">
        <v>41</v>
      </c>
      <c r="Y34" s="24" t="s">
        <v>80</v>
      </c>
      <c r="Z34" s="30" t="s">
        <v>51</v>
      </c>
    </row>
    <row r="35" s="1" customFormat="1" ht="39" customHeight="1" spans="1:26">
      <c r="A35" s="15">
        <v>27</v>
      </c>
      <c r="B35" s="16" t="s">
        <v>184</v>
      </c>
      <c r="C35" s="16" t="s">
        <v>185</v>
      </c>
      <c r="D35" s="25" t="s">
        <v>186</v>
      </c>
      <c r="E35" s="25" t="s">
        <v>187</v>
      </c>
      <c r="F35" s="25" t="s">
        <v>188</v>
      </c>
      <c r="G35" s="32" t="s">
        <v>189</v>
      </c>
      <c r="H35" s="18" t="s">
        <v>46</v>
      </c>
      <c r="I35" s="19" t="s">
        <v>36</v>
      </c>
      <c r="J35" s="19" t="s">
        <v>36</v>
      </c>
      <c r="K35" s="19" t="s">
        <v>36</v>
      </c>
      <c r="L35" s="19" t="s">
        <v>36</v>
      </c>
      <c r="M35" s="18" t="s">
        <v>190</v>
      </c>
      <c r="N35" s="18">
        <v>994.18</v>
      </c>
      <c r="O35" s="21">
        <v>0.3</v>
      </c>
      <c r="P35" s="21">
        <v>0.7</v>
      </c>
      <c r="Q35" s="27" t="s">
        <v>69</v>
      </c>
      <c r="R35" s="27" t="s">
        <v>69</v>
      </c>
      <c r="S35" s="19" t="s">
        <v>36</v>
      </c>
      <c r="T35" s="19" t="s">
        <v>36</v>
      </c>
      <c r="U35" s="18" t="s">
        <v>51</v>
      </c>
      <c r="V35" s="23" t="s">
        <v>51</v>
      </c>
      <c r="W35" s="23" t="s">
        <v>40</v>
      </c>
      <c r="X35" s="24" t="s">
        <v>120</v>
      </c>
      <c r="Y35" s="24" t="s">
        <v>191</v>
      </c>
      <c r="Z35" s="24"/>
    </row>
    <row r="36" s="1" customFormat="1" ht="39" customHeight="1" spans="1:26">
      <c r="A36" s="15">
        <v>28</v>
      </c>
      <c r="B36" s="16" t="s">
        <v>192</v>
      </c>
      <c r="C36" s="16" t="s">
        <v>57</v>
      </c>
      <c r="D36" s="25" t="s">
        <v>193</v>
      </c>
      <c r="E36" s="25" t="s">
        <v>187</v>
      </c>
      <c r="F36" s="25" t="s">
        <v>59</v>
      </c>
      <c r="G36" s="32" t="s">
        <v>34</v>
      </c>
      <c r="H36" s="18" t="s">
        <v>46</v>
      </c>
      <c r="I36" s="19" t="s">
        <v>36</v>
      </c>
      <c r="J36" s="19" t="s">
        <v>36</v>
      </c>
      <c r="K36" s="19" t="s">
        <v>36</v>
      </c>
      <c r="L36" s="19" t="s">
        <v>36</v>
      </c>
      <c r="M36" s="19" t="s">
        <v>60</v>
      </c>
      <c r="N36" s="18">
        <v>117.37</v>
      </c>
      <c r="O36" s="21">
        <v>0.3</v>
      </c>
      <c r="P36" s="21">
        <v>0.45</v>
      </c>
      <c r="Q36" s="21">
        <v>0.2</v>
      </c>
      <c r="R36" s="22">
        <v>0.05</v>
      </c>
      <c r="S36" s="19" t="s">
        <v>36</v>
      </c>
      <c r="T36" s="19" t="s">
        <v>36</v>
      </c>
      <c r="U36" s="19" t="s">
        <v>36</v>
      </c>
      <c r="V36" s="23" t="s">
        <v>51</v>
      </c>
      <c r="W36" s="23" t="s">
        <v>40</v>
      </c>
      <c r="X36" s="24" t="s">
        <v>41</v>
      </c>
      <c r="Y36" s="24" t="s">
        <v>194</v>
      </c>
      <c r="Z36" s="24"/>
    </row>
    <row r="37" s="1" customFormat="1" ht="39" customHeight="1" spans="1:26">
      <c r="A37" s="15">
        <v>29</v>
      </c>
      <c r="B37" s="16" t="s">
        <v>195</v>
      </c>
      <c r="C37" s="16" t="s">
        <v>185</v>
      </c>
      <c r="D37" s="25" t="s">
        <v>196</v>
      </c>
      <c r="E37" s="25" t="s">
        <v>187</v>
      </c>
      <c r="F37" s="25" t="s">
        <v>45</v>
      </c>
      <c r="G37" s="32" t="s">
        <v>34</v>
      </c>
      <c r="H37" s="18" t="s">
        <v>46</v>
      </c>
      <c r="I37" s="19" t="s">
        <v>36</v>
      </c>
      <c r="J37" s="19" t="s">
        <v>36</v>
      </c>
      <c r="K37" s="19" t="s">
        <v>36</v>
      </c>
      <c r="L37" s="19" t="s">
        <v>36</v>
      </c>
      <c r="M37" s="46" t="s">
        <v>141</v>
      </c>
      <c r="N37" s="18">
        <v>414.85</v>
      </c>
      <c r="O37" s="63" t="s">
        <v>197</v>
      </c>
      <c r="P37" s="64"/>
      <c r="Q37" s="64"/>
      <c r="R37" s="64"/>
      <c r="S37" s="64"/>
      <c r="T37" s="64"/>
      <c r="U37" s="64"/>
      <c r="V37" s="64"/>
      <c r="W37" s="64"/>
      <c r="X37" s="65"/>
      <c r="Y37" s="30" t="s">
        <v>198</v>
      </c>
      <c r="Z37" s="24"/>
    </row>
    <row r="38" s="1" customFormat="1" ht="39" customHeight="1" spans="1:26">
      <c r="A38" s="15">
        <v>30</v>
      </c>
      <c r="B38" s="16" t="s">
        <v>199</v>
      </c>
      <c r="C38" s="16" t="s">
        <v>185</v>
      </c>
      <c r="D38" s="25" t="s">
        <v>200</v>
      </c>
      <c r="E38" s="25" t="s">
        <v>187</v>
      </c>
      <c r="F38" s="25" t="s">
        <v>45</v>
      </c>
      <c r="G38" s="32" t="s">
        <v>34</v>
      </c>
      <c r="H38" s="18" t="s">
        <v>46</v>
      </c>
      <c r="I38" s="19" t="s">
        <v>36</v>
      </c>
      <c r="J38" s="46" t="s">
        <v>113</v>
      </c>
      <c r="K38" s="56" t="s">
        <v>177</v>
      </c>
      <c r="L38" s="18" t="s">
        <v>51</v>
      </c>
      <c r="M38" s="18" t="s">
        <v>51</v>
      </c>
      <c r="N38" s="18">
        <v>1207.94</v>
      </c>
      <c r="O38" s="21">
        <v>0.15</v>
      </c>
      <c r="P38" s="22">
        <v>0.85</v>
      </c>
      <c r="Q38" s="27" t="s">
        <v>69</v>
      </c>
      <c r="R38" s="27" t="s">
        <v>69</v>
      </c>
      <c r="S38" s="19" t="s">
        <v>36</v>
      </c>
      <c r="T38" s="46" t="s">
        <v>141</v>
      </c>
      <c r="U38" s="27" t="s">
        <v>69</v>
      </c>
      <c r="V38" s="27" t="s">
        <v>69</v>
      </c>
      <c r="W38" s="23" t="s">
        <v>201</v>
      </c>
      <c r="X38" s="24" t="s">
        <v>202</v>
      </c>
      <c r="Y38" s="24" t="s">
        <v>203</v>
      </c>
      <c r="Z38" s="24"/>
    </row>
    <row r="39" s="1" customFormat="1" ht="39" customHeight="1" spans="1:26">
      <c r="A39" s="15">
        <v>31</v>
      </c>
      <c r="B39" s="16" t="s">
        <v>204</v>
      </c>
      <c r="C39" s="16" t="s">
        <v>185</v>
      </c>
      <c r="D39" s="25" t="s">
        <v>205</v>
      </c>
      <c r="E39" s="25" t="s">
        <v>187</v>
      </c>
      <c r="F39" s="25" t="s">
        <v>45</v>
      </c>
      <c r="G39" s="32" t="s">
        <v>34</v>
      </c>
      <c r="H39" s="18" t="s">
        <v>46</v>
      </c>
      <c r="I39" s="19" t="s">
        <v>36</v>
      </c>
      <c r="J39" s="19" t="s">
        <v>36</v>
      </c>
      <c r="K39" s="19" t="s">
        <v>36</v>
      </c>
      <c r="L39" s="46" t="s">
        <v>113</v>
      </c>
      <c r="M39" s="46" t="s">
        <v>141</v>
      </c>
      <c r="N39" s="18">
        <v>181</v>
      </c>
      <c r="O39" s="21">
        <v>0.3</v>
      </c>
      <c r="P39" s="22">
        <v>0.3</v>
      </c>
      <c r="Q39" s="22">
        <v>0.3</v>
      </c>
      <c r="R39" s="22">
        <v>0.1</v>
      </c>
      <c r="S39" s="19" t="s">
        <v>36</v>
      </c>
      <c r="T39" s="46" t="s">
        <v>141</v>
      </c>
      <c r="U39" s="46" t="s">
        <v>141</v>
      </c>
      <c r="V39" s="23" t="s">
        <v>51</v>
      </c>
      <c r="W39" s="23" t="s">
        <v>40</v>
      </c>
      <c r="X39" s="24" t="s">
        <v>172</v>
      </c>
      <c r="Y39" s="24" t="s">
        <v>206</v>
      </c>
      <c r="Z39" s="24"/>
    </row>
    <row r="40" s="1" customFormat="1" ht="39" customHeight="1" spans="1:26">
      <c r="A40" s="15">
        <v>32</v>
      </c>
      <c r="B40" s="16" t="s">
        <v>207</v>
      </c>
      <c r="C40" s="32" t="s">
        <v>208</v>
      </c>
      <c r="D40" s="31" t="s">
        <v>209</v>
      </c>
      <c r="E40" s="25" t="s">
        <v>187</v>
      </c>
      <c r="F40" s="25" t="s">
        <v>210</v>
      </c>
      <c r="G40" s="32" t="s">
        <v>183</v>
      </c>
      <c r="H40" s="18" t="s">
        <v>46</v>
      </c>
      <c r="I40" s="19" t="s">
        <v>36</v>
      </c>
      <c r="J40" s="19" t="s">
        <v>36</v>
      </c>
      <c r="K40" s="19" t="s">
        <v>36</v>
      </c>
      <c r="L40" s="19" t="s">
        <v>36</v>
      </c>
      <c r="M40" s="27" t="s">
        <v>69</v>
      </c>
      <c r="N40" s="18">
        <v>20.42</v>
      </c>
      <c r="O40" s="27" t="s">
        <v>69</v>
      </c>
      <c r="P40" s="21">
        <v>1</v>
      </c>
      <c r="Q40" s="27" t="s">
        <v>69</v>
      </c>
      <c r="R40" s="27" t="s">
        <v>69</v>
      </c>
      <c r="S40" s="19" t="s">
        <v>36</v>
      </c>
      <c r="T40" s="19" t="s">
        <v>36</v>
      </c>
      <c r="U40" s="27" t="s">
        <v>69</v>
      </c>
      <c r="V40" s="27" t="s">
        <v>69</v>
      </c>
      <c r="W40" s="23" t="s">
        <v>211</v>
      </c>
      <c r="X40" s="24" t="s">
        <v>41</v>
      </c>
      <c r="Y40" s="24" t="s">
        <v>212</v>
      </c>
      <c r="Z40" s="24"/>
    </row>
    <row r="41" s="1" customFormat="1" ht="39" customHeight="1" spans="1:26">
      <c r="A41" s="15">
        <v>33</v>
      </c>
      <c r="B41" s="16" t="s">
        <v>213</v>
      </c>
      <c r="C41" s="32" t="s">
        <v>134</v>
      </c>
      <c r="D41" s="25" t="s">
        <v>214</v>
      </c>
      <c r="E41" s="25" t="s">
        <v>79</v>
      </c>
      <c r="F41" s="32" t="s">
        <v>215</v>
      </c>
      <c r="G41" s="16" t="s">
        <v>34</v>
      </c>
      <c r="H41" s="18" t="s">
        <v>35</v>
      </c>
      <c r="I41" s="50" t="s">
        <v>136</v>
      </c>
      <c r="J41" s="46" t="s">
        <v>141</v>
      </c>
      <c r="K41" s="46" t="s">
        <v>141</v>
      </c>
      <c r="L41" s="46" t="s">
        <v>141</v>
      </c>
      <c r="M41" s="56" t="s">
        <v>216</v>
      </c>
      <c r="N41" s="18">
        <v>1292</v>
      </c>
      <c r="O41" s="22" t="s">
        <v>217</v>
      </c>
      <c r="P41" s="22">
        <v>0.6</v>
      </c>
      <c r="Q41" s="22">
        <v>0.1</v>
      </c>
      <c r="R41" s="22" t="s">
        <v>218</v>
      </c>
      <c r="S41" s="46" t="s">
        <v>141</v>
      </c>
      <c r="T41" s="46" t="s">
        <v>141</v>
      </c>
      <c r="U41" s="46" t="s">
        <v>141</v>
      </c>
      <c r="V41" s="24"/>
      <c r="W41" s="23" t="s">
        <v>40</v>
      </c>
      <c r="X41" s="24" t="s">
        <v>219</v>
      </c>
      <c r="Y41" s="24" t="s">
        <v>220</v>
      </c>
      <c r="Z41" s="30" t="s">
        <v>221</v>
      </c>
    </row>
    <row r="42" s="1" customFormat="1" ht="50" customHeight="1" spans="1:26">
      <c r="A42" s="15">
        <v>34</v>
      </c>
      <c r="B42" s="18" t="s">
        <v>222</v>
      </c>
      <c r="C42" s="18" t="s">
        <v>63</v>
      </c>
      <c r="D42" s="25" t="s">
        <v>223</v>
      </c>
      <c r="E42" s="17" t="s">
        <v>65</v>
      </c>
      <c r="F42" s="16" t="s">
        <v>59</v>
      </c>
      <c r="G42" s="18" t="s">
        <v>88</v>
      </c>
      <c r="H42" s="18" t="s">
        <v>35</v>
      </c>
      <c r="I42" s="19" t="s">
        <v>36</v>
      </c>
      <c r="J42" s="66" t="s">
        <v>224</v>
      </c>
      <c r="K42" s="18" t="s">
        <v>225</v>
      </c>
      <c r="L42" s="18" t="s">
        <v>225</v>
      </c>
      <c r="M42" s="18" t="s">
        <v>225</v>
      </c>
      <c r="N42" s="18">
        <v>900.11</v>
      </c>
      <c r="O42" s="22">
        <v>0.2</v>
      </c>
      <c r="P42" s="22">
        <v>0.7</v>
      </c>
      <c r="Q42" s="22" t="s">
        <v>226</v>
      </c>
      <c r="R42" s="22">
        <v>0.1</v>
      </c>
      <c r="S42" s="19" t="s">
        <v>36</v>
      </c>
      <c r="T42" s="67" t="s">
        <v>227</v>
      </c>
      <c r="U42" s="18" t="s">
        <v>225</v>
      </c>
      <c r="V42" s="18" t="s">
        <v>225</v>
      </c>
      <c r="W42" s="23"/>
      <c r="X42" s="24"/>
      <c r="Y42" s="24" t="s">
        <v>228</v>
      </c>
      <c r="Z42" s="24"/>
    </row>
    <row r="43" s="1" customFormat="1" ht="39" customHeight="1" spans="1:26">
      <c r="A43" s="15">
        <v>35</v>
      </c>
      <c r="B43" s="16" t="s">
        <v>229</v>
      </c>
      <c r="C43" s="16" t="s">
        <v>185</v>
      </c>
      <c r="D43" s="25" t="s">
        <v>230</v>
      </c>
      <c r="E43" s="25" t="s">
        <v>187</v>
      </c>
      <c r="F43" s="32" t="s">
        <v>188</v>
      </c>
      <c r="G43" s="16" t="s">
        <v>67</v>
      </c>
      <c r="H43" s="18" t="s">
        <v>46</v>
      </c>
      <c r="I43" s="19" t="s">
        <v>36</v>
      </c>
      <c r="J43" s="19" t="s">
        <v>36</v>
      </c>
      <c r="K43" s="19" t="s">
        <v>36</v>
      </c>
      <c r="L43" s="27" t="s">
        <v>68</v>
      </c>
      <c r="M43" s="18" t="s">
        <v>114</v>
      </c>
      <c r="N43" s="18">
        <v>1292</v>
      </c>
      <c r="O43" s="21">
        <v>0.3</v>
      </c>
      <c r="P43" s="22">
        <v>0.7</v>
      </c>
      <c r="Q43" s="68" t="s">
        <v>231</v>
      </c>
      <c r="R43" s="69" t="s">
        <v>232</v>
      </c>
      <c r="S43" s="19" t="s">
        <v>36</v>
      </c>
      <c r="T43" s="46" t="s">
        <v>141</v>
      </c>
      <c r="U43" s="27" t="s">
        <v>69</v>
      </c>
      <c r="V43" s="27" t="s">
        <v>69</v>
      </c>
      <c r="W43" s="23" t="s">
        <v>40</v>
      </c>
      <c r="X43" s="24" t="s">
        <v>233</v>
      </c>
      <c r="Y43" s="30"/>
      <c r="Z43" s="24"/>
    </row>
    <row r="44" s="1" customFormat="1" ht="39" customHeight="1" spans="1:26">
      <c r="A44" s="15">
        <v>36</v>
      </c>
      <c r="B44" s="16" t="s">
        <v>234</v>
      </c>
      <c r="C44" s="16" t="s">
        <v>185</v>
      </c>
      <c r="D44" s="25" t="s">
        <v>235</v>
      </c>
      <c r="E44" s="25" t="s">
        <v>187</v>
      </c>
      <c r="F44" s="16" t="s">
        <v>59</v>
      </c>
      <c r="G44" s="18" t="s">
        <v>67</v>
      </c>
      <c r="H44" s="18" t="s">
        <v>46</v>
      </c>
      <c r="I44" s="46" t="s">
        <v>141</v>
      </c>
      <c r="J44" s="46" t="s">
        <v>141</v>
      </c>
      <c r="K44" s="18" t="s">
        <v>51</v>
      </c>
      <c r="L44" s="27" t="s">
        <v>69</v>
      </c>
      <c r="M44" s="18" t="s">
        <v>51</v>
      </c>
      <c r="N44" s="18">
        <v>385.76</v>
      </c>
      <c r="O44" s="21">
        <v>0.3</v>
      </c>
      <c r="P44" s="22">
        <v>0.6</v>
      </c>
      <c r="Q44" s="70" t="s">
        <v>236</v>
      </c>
      <c r="R44" s="22">
        <v>0.1</v>
      </c>
      <c r="S44" s="19" t="s">
        <v>36</v>
      </c>
      <c r="T44" s="18" t="s">
        <v>51</v>
      </c>
      <c r="U44" s="18" t="s">
        <v>51</v>
      </c>
      <c r="V44" s="24" t="s">
        <v>51</v>
      </c>
      <c r="W44" s="23"/>
      <c r="X44" s="24" t="s">
        <v>237</v>
      </c>
      <c r="Y44" s="24"/>
      <c r="Z44" s="24"/>
    </row>
    <row r="45" s="1" customFormat="1" ht="39" customHeight="1" spans="1:26">
      <c r="A45" s="15">
        <v>37</v>
      </c>
      <c r="B45" s="16" t="s">
        <v>238</v>
      </c>
      <c r="C45" s="16" t="s">
        <v>185</v>
      </c>
      <c r="D45" s="25" t="s">
        <v>239</v>
      </c>
      <c r="E45" s="25" t="s">
        <v>187</v>
      </c>
      <c r="F45" s="16" t="s">
        <v>59</v>
      </c>
      <c r="G45" s="18" t="s">
        <v>67</v>
      </c>
      <c r="H45" s="18" t="s">
        <v>46</v>
      </c>
      <c r="I45" s="19" t="s">
        <v>36</v>
      </c>
      <c r="J45" s="19" t="s">
        <v>36</v>
      </c>
      <c r="K45" s="19" t="s">
        <v>36</v>
      </c>
      <c r="L45" s="46" t="s">
        <v>141</v>
      </c>
      <c r="M45" s="18" t="s">
        <v>51</v>
      </c>
      <c r="N45" s="18">
        <v>345.4</v>
      </c>
      <c r="O45" s="21">
        <v>0.3</v>
      </c>
      <c r="P45" s="22">
        <v>0.6</v>
      </c>
      <c r="Q45" s="70" t="s">
        <v>236</v>
      </c>
      <c r="R45" s="22">
        <v>0.1</v>
      </c>
      <c r="S45" s="19" t="s">
        <v>36</v>
      </c>
      <c r="T45" s="46" t="s">
        <v>141</v>
      </c>
      <c r="U45" s="18" t="s">
        <v>51</v>
      </c>
      <c r="V45" s="24" t="s">
        <v>51</v>
      </c>
      <c r="W45" s="23"/>
      <c r="X45" s="24" t="s">
        <v>240</v>
      </c>
      <c r="Y45" s="24"/>
      <c r="Z45" s="24"/>
    </row>
    <row r="46" s="1" customFormat="1" ht="39" customHeight="1" spans="1:26">
      <c r="A46" s="15">
        <v>38</v>
      </c>
      <c r="B46" s="16" t="s">
        <v>241</v>
      </c>
      <c r="C46" s="16" t="s">
        <v>185</v>
      </c>
      <c r="D46" s="25" t="s">
        <v>242</v>
      </c>
      <c r="E46" s="25" t="s">
        <v>187</v>
      </c>
      <c r="F46" s="32" t="s">
        <v>243</v>
      </c>
      <c r="G46" s="18" t="s">
        <v>34</v>
      </c>
      <c r="H46" s="18" t="s">
        <v>46</v>
      </c>
      <c r="I46" s="46" t="s">
        <v>141</v>
      </c>
      <c r="J46" s="46" t="s">
        <v>141</v>
      </c>
      <c r="K46" s="18" t="s">
        <v>51</v>
      </c>
      <c r="L46" s="71" t="s">
        <v>51</v>
      </c>
      <c r="M46" s="18" t="s">
        <v>51</v>
      </c>
      <c r="N46" s="18">
        <v>900.11</v>
      </c>
      <c r="O46" s="21">
        <v>0.2</v>
      </c>
      <c r="P46" s="22">
        <v>0.4</v>
      </c>
      <c r="Q46" s="22">
        <v>0.3</v>
      </c>
      <c r="R46" s="22">
        <v>0.1</v>
      </c>
      <c r="S46" s="19" t="s">
        <v>36</v>
      </c>
      <c r="T46" s="18" t="s">
        <v>51</v>
      </c>
      <c r="U46" s="18" t="s">
        <v>51</v>
      </c>
      <c r="V46" s="24" t="s">
        <v>51</v>
      </c>
      <c r="W46" s="23"/>
      <c r="X46" s="24" t="s">
        <v>244</v>
      </c>
      <c r="Y46" s="24" t="s">
        <v>245</v>
      </c>
      <c r="Z46" s="24"/>
    </row>
  </sheetData>
  <autoFilter xmlns:etc="http://www.wps.cn/officeDocument/2017/etCustomData" ref="A3:Z46" etc:filterBottomFollowUsedRange="0">
    <extLst/>
  </autoFilter>
  <mergeCells count="38">
    <mergeCell ref="A1:Z1"/>
    <mergeCell ref="I2:M2"/>
    <mergeCell ref="N2:X2"/>
    <mergeCell ref="O37:X37"/>
    <mergeCell ref="A2:A3"/>
    <mergeCell ref="A15:A16"/>
    <mergeCell ref="A23:A24"/>
    <mergeCell ref="A26:A27"/>
    <mergeCell ref="A29:A31"/>
    <mergeCell ref="B2:B3"/>
    <mergeCell ref="B15:B16"/>
    <mergeCell ref="B23:B24"/>
    <mergeCell ref="B26:B27"/>
    <mergeCell ref="B29:B31"/>
    <mergeCell ref="C2:C3"/>
    <mergeCell ref="C15:C16"/>
    <mergeCell ref="C23:C24"/>
    <mergeCell ref="C26:C27"/>
    <mergeCell ref="C29:C31"/>
    <mergeCell ref="D2:D3"/>
    <mergeCell ref="D15:D16"/>
    <mergeCell ref="D23:D24"/>
    <mergeCell ref="D26:D27"/>
    <mergeCell ref="D29:D31"/>
    <mergeCell ref="E2:E3"/>
    <mergeCell ref="F2:F3"/>
    <mergeCell ref="G2:G3"/>
    <mergeCell ref="H2:H3"/>
    <mergeCell ref="Y2:Y3"/>
    <mergeCell ref="Y15:Y16"/>
    <mergeCell ref="Y23:Y24"/>
    <mergeCell ref="Y26:Y27"/>
    <mergeCell ref="Y29:Y31"/>
    <mergeCell ref="Z2:Z3"/>
    <mergeCell ref="Z15:Z16"/>
    <mergeCell ref="Z23:Z24"/>
    <mergeCell ref="Z26:Z27"/>
    <mergeCell ref="Z29:Z31"/>
  </mergeCells>
  <pageMargins left="0.75" right="0.75" top="1" bottom="1" header="0.5" footer="0.5"/>
  <pageSetup paperSize="9" scale="33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执行项目清单0902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2026-03-10T02:55:00Z</dcterms:created>
  <dcterms:modified xsi:type="dcterms:W3CDTF">2026-09-12T06:47:00Z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D984FDEBD02E4A869C35FE6F0D26BACC_13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