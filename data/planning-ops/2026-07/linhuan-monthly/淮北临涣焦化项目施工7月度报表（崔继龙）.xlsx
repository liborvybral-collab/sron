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项目施工月度报表" sheetId="1" r:id="rId1"/>
    <sheet name="施工进度计划与实际进度对比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<sst xmlns="http://schemas.openxmlformats.org/spreadsheetml/2006/main" count="149" uniqueCount="108">
  <si>
    <t>项目业财融合施工2026年（7）月度报表</t>
  </si>
  <si>
    <t>项目名称：淮北临涣焦化除尘灰回配工程项目</t>
  </si>
  <si>
    <t>项目地址：安徽省淮北市濉溪县临涣镇</t>
  </si>
  <si>
    <t>项目经理：崔继龙</t>
  </si>
  <si>
    <t>计划开工时间：2026年4月1日</t>
  </si>
  <si>
    <t>计划完工时间：2026年7月3日</t>
  </si>
  <si>
    <t>报表截止时间: 2026年7月31日</t>
  </si>
  <si>
    <t>一、项目施工目标</t>
  </si>
  <si>
    <t>目标分项名称</t>
  </si>
  <si>
    <t>目标值</t>
  </si>
  <si>
    <t>备注</t>
  </si>
  <si>
    <t>施工总成本目标（万元）</t>
  </si>
  <si>
    <t>47.2万元（安装29.9万元+管理费17.3万元）</t>
  </si>
  <si>
    <t>分项成本目标见附表1安装施工成本预算</t>
  </si>
  <si>
    <t>施工总进度目标</t>
  </si>
  <si>
    <t>总工期92天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</si>
  <si>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</si>
  <si>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</si>
  <si>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</si>
  <si>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</si>
  <si>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</si>
  <si>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</si>
  <si>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</si>
  <si>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</si>
  <si>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</si>
  <si>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</si>
  <si>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</si>
  <si>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</si>
  <si>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</si>
  <si>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</si>
  <si>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</si>
  <si>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</si>
  <si>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</si>
  <si>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</si>
  <si>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土建施工部分</t>
  </si>
  <si>
    <t>钢结构机电设备安装</t>
  </si>
  <si>
    <t>施工管理费用</t>
  </si>
  <si>
    <t>合计</t>
  </si>
  <si>
    <t>三、施工成本</t>
  </si>
  <si>
    <t>预算分项成本
（万元）</t>
  </si>
  <si>
    <t>当月实际支出金额
（万元）</t>
  </si>
  <si>
    <t>当月实际支出/当月完成产值(%)</t>
  </si>
  <si>
    <t>累计实际支出金额
（万元）</t>
  </si>
  <si>
    <t>累计实际支出/累计实际完成产值
（%）</t>
  </si>
  <si>
    <t>累计实际支出/预算分项成本
（%）</t>
  </si>
  <si>
    <t>1、非标材料（7月2日）、电控材料（桥架6月23日）发货滞后15天。
2、为保持施工连续，安装进度放缓，管理费投入正常；
3、导致管理费用支出比例大于施工支出比例；
4、设备电控、供水管、非标件整体于7月24日完成，现已进入调试阶段，计划8月6日验收；
5、楼梯踏步板更换、供水管安装都属合同新增，劳务费用存在增补。</t>
  </si>
  <si>
    <t>总施工成本（合计）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</si>
  <si>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</si>
  <si>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</si>
  <si>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</si>
  <si>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</si>
  <si>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</si>
  <si>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</si>
  <si>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现场材料由供应商提供</t>
  </si>
  <si>
    <t>与施工同步</t>
  </si>
  <si>
    <t>施工质量问题已按要求整改</t>
  </si>
  <si>
    <t>指导安装部分</t>
  </si>
  <si>
    <t>钢构材料由供应商提供</t>
  </si>
  <si>
    <t>设备调试及验收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</si>
  <si>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</si>
  <si>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</si>
  <si>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</si>
  <si>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</si>
  <si>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</si>
  <si>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</si>
  <si>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</si>
  <si>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</si>
  <si>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</si>
  <si>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</si>
  <si>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t>设备安装部分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</si>
  <si>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项目经理：崔继龙                                                                                                                                                                                                                                                                         
                                                                                                                                                                                                                                                                                                                                2026/7/31</t>
  </si>
  <si>
    <t>淮北临涣焦化新建除尘灰回配项目施工进度计划与实际进度对比表</t>
  </si>
  <si>
    <t>Phase
工程阶段</t>
  </si>
  <si>
    <t xml:space="preserve">                   时间     Time
name名称</t>
  </si>
  <si>
    <t>Start time
开始时间</t>
  </si>
  <si>
    <t>Finished time
完成时间</t>
  </si>
  <si>
    <t>计划总工期92天</t>
  </si>
  <si>
    <t>4月份</t>
  </si>
  <si>
    <t>5月份</t>
  </si>
  <si>
    <t>6月份</t>
  </si>
  <si>
    <t>7月份</t>
  </si>
  <si>
    <t>8月份</t>
  </si>
  <si>
    <t>土建部分</t>
  </si>
  <si>
    <t>进场安全培训施工准备</t>
  </si>
  <si>
    <t>计划</t>
  </si>
  <si>
    <t>实际</t>
  </si>
  <si>
    <t>土方开挖</t>
  </si>
  <si>
    <t>检测承载力设计出图</t>
  </si>
  <si>
    <t>混凝土基础</t>
  </si>
  <si>
    <t>备注：因现场采购钢筋和混凝土基础完工延误2天。</t>
  </si>
  <si>
    <t>混凝土柱、梁</t>
  </si>
  <si>
    <t>备注：混凝土柱、梁浇筑按时完成。</t>
  </si>
  <si>
    <t>土方回填场地平整</t>
  </si>
  <si>
    <t>备注：混凝土凝7天，
待二次进场进行回填工作。</t>
  </si>
  <si>
    <t>待料时间</t>
  </si>
  <si>
    <t>待料时间（等待构件进场）</t>
  </si>
  <si>
    <t>备注：钢构17日到货。</t>
  </si>
  <si>
    <t>实际待料时间</t>
  </si>
  <si>
    <t>钢结构设备安装调试</t>
  </si>
  <si>
    <t>钢结构筒仓安装</t>
  </si>
  <si>
    <t>备注：筒仓受进场倒运报备和运输问题，
滞后发货6天（6月3日到货），6月10日完成</t>
  </si>
  <si>
    <t>设备安装</t>
  </si>
  <si>
    <t>主要设备6月21日到货，非标件7月2日到货；供水管7月15日材料齐全，增加人手23日新增部分完成。</t>
  </si>
  <si>
    <t>电控系统安装及调试</t>
  </si>
  <si>
    <t>电控材料7月3日到场，劳务队7月12日才具备安装条件。电控设备7月24日安装完成。调试预计8月3日完成。</t>
  </si>
  <si>
    <t>竣工移交</t>
  </si>
  <si>
    <t>待料运行竣工验收移交</t>
  </si>
  <si>
    <t>河南实荣筒仓工程有限公司工程部：崔继龙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</si>
</sst>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color theme="1"/>
      <name val="宋体"/>
      <charset val="134"/>
      <scheme val="minor"/>
    </font>
    <font>
      <sz val="10"/>
      <color theme="1"/>
      <name val="等线"/>
      <charset val="134"/>
    </font>
    <font>
      <sz val="12"/>
      <color theme="1"/>
      <name val="等线"/>
      <charset val="134"/>
    </font>
    <font>
      <sz val="9"/>
      <name val="等线"/>
      <charset val="134"/>
    </font>
    <font>
      <sz val="9"/>
      <color theme="1"/>
      <name val="等线"/>
      <charset val="134"/>
    </font>
    <font>
      <sz val="12"/>
      <name val="等线"/>
      <charset val="134"/>
    </font>
    <font>
      <sz val="10"/>
      <name val="等线"/>
      <charset val="134"/>
    </font>
    <font>
      <sz val="9"/>
      <color rgb="FFFF0000"/>
      <name val="等线"/>
      <charset val="134"/>
    </font>
    <font>
      <sz val="10"/>
      <color rgb="FFFF0000"/>
      <name val="等线"/>
      <charset val="134"/>
    </font>
    <font>
      <sz val="10"/>
      <color theme="0"/>
      <name val="等线"/>
      <charset val="134"/>
    </font>
    <font>
      <sz val="10"/>
      <color rgb="FFFFFF00"/>
      <name val="等线"/>
      <charset val="134"/>
    </font>
    <font>
      <sz val="10"/>
      <color rgb="FF00B0F0"/>
      <name val="等线"/>
      <charset val="134"/>
    </font>
    <font>
      <b/>
      <sz val="20"/>
      <name val="宋体"/>
      <charset val="134"/>
    </font>
    <font>
      <sz val="11"/>
      <name val="宋体"/>
      <charset val="134"/>
    </font>
    <font>
      <sz val="14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3" borderId="2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32" applyNumberFormat="0" applyAlignment="0" applyProtection="0">
      <alignment vertical="center"/>
    </xf>
    <xf numFmtId="0" fontId="31" fillId="15" borderId="33" applyNumberFormat="0" applyAlignment="0" applyProtection="0">
      <alignment vertical="center"/>
    </xf>
    <xf numFmtId="0" fontId="32" fillId="15" borderId="32" applyNumberFormat="0" applyAlignment="0" applyProtection="0">
      <alignment vertical="center"/>
    </xf>
    <xf numFmtId="0" fontId="33" fillId="16" borderId="34" applyNumberFormat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179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57" fontId="3" fillId="2" borderId="5" xfId="0" applyNumberFormat="1" applyFont="1" applyFill="1" applyBorder="1" applyAlignment="1">
      <alignment horizontal="center" vertical="center"/>
    </xf>
    <xf numFmtId="57" fontId="3" fillId="2" borderId="6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14" fontId="8" fillId="0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0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0" fontId="10" fillId="6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vertical="top" wrapText="1"/>
    </xf>
    <xf numFmtId="0" fontId="10" fillId="5" borderId="5" xfId="0" applyFont="1" applyFill="1" applyBorder="1" applyAlignment="1">
      <alignment horizontal="center" vertical="top" wrapText="1"/>
    </xf>
    <xf numFmtId="0" fontId="10" fillId="4" borderId="5" xfId="0" applyFont="1" applyFill="1" applyBorder="1" applyAlignment="1">
      <alignment horizontal="left" vertical="top" wrapText="1"/>
    </xf>
    <xf numFmtId="0" fontId="9" fillId="0" borderId="5" xfId="0" applyFont="1" applyFill="1" applyBorder="1" applyAlignment="1">
      <alignment horizontal="left" vertical="top" wrapText="1"/>
    </xf>
    <xf numFmtId="0" fontId="9" fillId="0" borderId="5" xfId="0" applyFont="1" applyFill="1" applyBorder="1" applyAlignment="1">
      <alignment vertical="top" wrapText="1"/>
    </xf>
    <xf numFmtId="0" fontId="9" fillId="0" borderId="5" xfId="0" applyFont="1" applyFill="1" applyBorder="1" applyAlignment="1">
      <alignment vertical="top" wrapText="1"/>
    </xf>
    <xf numFmtId="0" fontId="9" fillId="5" borderId="5" xfId="0" applyFont="1" applyFill="1" applyBorder="1" applyAlignment="1">
      <alignment horizontal="left" vertical="top" wrapText="1"/>
    </xf>
    <xf numFmtId="0" fontId="9" fillId="5" borderId="6" xfId="0" applyFont="1" applyFill="1" applyBorder="1" applyAlignment="1">
      <alignment horizontal="left" vertical="top" wrapText="1"/>
    </xf>
    <xf numFmtId="0" fontId="9" fillId="4" borderId="5" xfId="0" applyFont="1" applyFill="1" applyBorder="1" applyAlignment="1">
      <alignment vertical="top" wrapText="1"/>
    </xf>
    <xf numFmtId="0" fontId="8" fillId="3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14" fontId="1" fillId="0" borderId="17" xfId="0" applyNumberFormat="1" applyFont="1" applyFill="1" applyBorder="1" applyAlignment="1">
      <alignment horizontal="center" vertical="center"/>
    </xf>
    <xf numFmtId="14" fontId="1" fillId="0" borderId="18" xfId="0" applyNumberFormat="1" applyFont="1" applyFill="1" applyBorder="1" applyAlignment="1">
      <alignment horizontal="center" vertical="center"/>
    </xf>
    <xf numFmtId="14" fontId="1" fillId="0" borderId="19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/>
    </xf>
    <xf numFmtId="0" fontId="18" fillId="8" borderId="10" xfId="0" applyFont="1" applyFill="1" applyBorder="1" applyAlignment="1">
      <alignment horizontal="center"/>
    </xf>
    <xf numFmtId="0" fontId="18" fillId="8" borderId="6" xfId="0" applyFont="1" applyFill="1" applyBorder="1" applyAlignment="1">
      <alignment horizontal="center"/>
    </xf>
    <xf numFmtId="0" fontId="19" fillId="8" borderId="4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176" fontId="19" fillId="7" borderId="5" xfId="0" applyNumberFormat="1" applyFont="1" applyFill="1" applyBorder="1" applyAlignment="1">
      <alignment horizontal="center" vertical="center" wrapText="1"/>
    </xf>
    <xf numFmtId="10" fontId="20" fillId="7" borderId="5" xfId="0" applyNumberFormat="1" applyFont="1" applyFill="1" applyBorder="1" applyAlignment="1">
      <alignment horizontal="center" vertical="center"/>
    </xf>
    <xf numFmtId="4" fontId="19" fillId="7" borderId="5" xfId="0" applyNumberFormat="1" applyFont="1" applyFill="1" applyBorder="1" applyAlignment="1">
      <alignment horizontal="center" vertical="center"/>
    </xf>
    <xf numFmtId="4" fontId="20" fillId="7" borderId="5" xfId="0" applyNumberFormat="1" applyFont="1" applyFill="1" applyBorder="1" applyAlignment="1">
      <alignment horizontal="center" vertical="center"/>
    </xf>
    <xf numFmtId="10" fontId="19" fillId="4" borderId="5" xfId="0" applyNumberFormat="1" applyFont="1" applyFill="1" applyBorder="1" applyAlignment="1">
      <alignment horizontal="center" vertical="center"/>
    </xf>
    <xf numFmtId="176" fontId="20" fillId="7" borderId="10" xfId="0" applyNumberFormat="1" applyFont="1" applyFill="1" applyBorder="1" applyAlignment="1">
      <alignment horizontal="center"/>
    </xf>
    <xf numFmtId="9" fontId="19" fillId="4" borderId="10" xfId="3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 vertical="center"/>
    </xf>
    <xf numFmtId="9" fontId="20" fillId="7" borderId="5" xfId="3" applyNumberFormat="1" applyFont="1" applyFill="1" applyBorder="1" applyAlignment="1" applyProtection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176" fontId="17" fillId="7" borderId="5" xfId="0" applyNumberFormat="1" applyFont="1" applyFill="1" applyBorder="1" applyAlignment="1">
      <alignment horizontal="center" vertical="center"/>
    </xf>
    <xf numFmtId="10" fontId="17" fillId="7" borderId="5" xfId="3" applyNumberFormat="1" applyFont="1" applyFill="1" applyBorder="1" applyAlignment="1">
      <alignment horizontal="center" vertical="center"/>
    </xf>
    <xf numFmtId="10" fontId="19" fillId="7" borderId="5" xfId="0" applyNumberFormat="1" applyFont="1" applyFill="1" applyBorder="1" applyAlignment="1" applyProtection="1">
      <alignment horizontal="center" vertical="center"/>
    </xf>
    <xf numFmtId="176" fontId="18" fillId="7" borderId="10" xfId="0" applyNumberFormat="1" applyFont="1" applyFill="1" applyBorder="1" applyAlignment="1">
      <alignment horizontal="center"/>
    </xf>
    <xf numFmtId="0" fontId="16" fillId="9" borderId="4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176" fontId="19" fillId="9" borderId="5" xfId="0" applyNumberFormat="1" applyFont="1" applyFill="1" applyBorder="1" applyAlignment="1">
      <alignment horizontal="center" vertical="center" wrapText="1"/>
    </xf>
    <xf numFmtId="4" fontId="20" fillId="9" borderId="5" xfId="0" applyNumberFormat="1" applyFont="1" applyFill="1" applyBorder="1" applyAlignment="1">
      <alignment horizontal="center" vertical="center"/>
    </xf>
    <xf numFmtId="10" fontId="19" fillId="10" borderId="5" xfId="0" applyNumberFormat="1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left" vertical="center" wrapText="1"/>
    </xf>
    <xf numFmtId="0" fontId="19" fillId="9" borderId="8" xfId="0" applyFont="1" applyFill="1" applyBorder="1" applyAlignment="1">
      <alignment horizontal="left" vertical="center"/>
    </xf>
    <xf numFmtId="0" fontId="19" fillId="9" borderId="21" xfId="0" applyFont="1" applyFill="1" applyBorder="1" applyAlignment="1">
      <alignment horizontal="left" vertical="center"/>
    </xf>
    <xf numFmtId="0" fontId="19" fillId="9" borderId="22" xfId="0" applyFont="1" applyFill="1" applyBorder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9" fillId="9" borderId="23" xfId="0" applyFont="1" applyFill="1" applyBorder="1" applyAlignment="1">
      <alignment horizontal="left" vertical="center"/>
    </xf>
    <xf numFmtId="0" fontId="19" fillId="9" borderId="4" xfId="0" applyFont="1" applyFill="1" applyBorder="1" applyAlignment="1">
      <alignment horizontal="center" vertical="center" wrapText="1"/>
    </xf>
    <xf numFmtId="4" fontId="19" fillId="9" borderId="5" xfId="0" applyNumberFormat="1" applyFont="1" applyFill="1" applyBorder="1" applyAlignment="1">
      <alignment horizontal="center" vertical="center"/>
    </xf>
    <xf numFmtId="0" fontId="19" fillId="9" borderId="5" xfId="0" applyNumberFormat="1" applyFont="1" applyFill="1" applyBorder="1" applyAlignment="1">
      <alignment horizontal="center" vertical="center"/>
    </xf>
    <xf numFmtId="0" fontId="19" fillId="9" borderId="24" xfId="0" applyFont="1" applyFill="1" applyBorder="1" applyAlignment="1">
      <alignment horizontal="left" vertical="center"/>
    </xf>
    <xf numFmtId="0" fontId="19" fillId="9" borderId="25" xfId="0" applyFont="1" applyFill="1" applyBorder="1" applyAlignment="1">
      <alignment horizontal="left" vertical="center"/>
    </xf>
    <xf numFmtId="0" fontId="19" fillId="9" borderId="26" xfId="0" applyFont="1" applyFill="1" applyBorder="1" applyAlignment="1">
      <alignment horizontal="left" vertical="center"/>
    </xf>
    <xf numFmtId="0" fontId="16" fillId="11" borderId="4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0" fontId="17" fillId="11" borderId="27" xfId="0" applyFont="1" applyFill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/>
    </xf>
    <xf numFmtId="0" fontId="19" fillId="11" borderId="27" xfId="0" applyFont="1" applyFill="1" applyBorder="1" applyAlignment="1">
      <alignment horizontal="center" vertical="center"/>
    </xf>
    <xf numFmtId="0" fontId="19" fillId="11" borderId="11" xfId="0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 wrapText="1"/>
    </xf>
    <xf numFmtId="9" fontId="17" fillId="11" borderId="10" xfId="0" applyNumberFormat="1" applyFont="1" applyFill="1" applyBorder="1" applyAlignment="1">
      <alignment horizontal="center" vertical="center"/>
    </xf>
    <xf numFmtId="9" fontId="19" fillId="11" borderId="10" xfId="0" applyNumberFormat="1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/>
    </xf>
    <xf numFmtId="0" fontId="21" fillId="12" borderId="27" xfId="0" applyFont="1" applyFill="1" applyBorder="1" applyAlignment="1">
      <alignment horizontal="center"/>
    </xf>
    <xf numFmtId="0" fontId="21" fillId="12" borderId="11" xfId="0" applyFont="1" applyFill="1" applyBorder="1" applyAlignment="1">
      <alignment horizontal="center"/>
    </xf>
    <xf numFmtId="0" fontId="21" fillId="12" borderId="12" xfId="0" applyFont="1" applyFill="1" applyBorder="1" applyAlignment="1">
      <alignment horizontal="center"/>
    </xf>
    <xf numFmtId="0" fontId="19" fillId="12" borderId="4" xfId="0" applyFont="1" applyFill="1" applyBorder="1" applyAlignment="1">
      <alignment horizontal="center" vertical="center" wrapText="1"/>
    </xf>
    <xf numFmtId="9" fontId="21" fillId="12" borderId="10" xfId="0" applyNumberFormat="1" applyFont="1" applyFill="1" applyBorder="1" applyAlignment="1">
      <alignment horizontal="center"/>
    </xf>
    <xf numFmtId="31" fontId="21" fillId="0" borderId="28" xfId="0" applyNumberFormat="1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8890</xdr:colOff>
      <xdr:row>1</xdr:row>
      <xdr:rowOff>8255</xdr:rowOff>
    </xdr:from>
    <xdr:to>
      <xdr:col>1</xdr:col>
      <xdr:colOff>1727200</xdr:colOff>
      <xdr:row>3</xdr:row>
      <xdr:rowOff>312420</xdr:rowOff>
    </xdr:to>
    <xdr:cxnSp>
      <xdr:nvCxnSpPr>
        <xdr:cNvPr id="2" name="直接连接符 1"/>
        <xdr:cNvCxnSpPr/>
      </xdr:nvCxnSpPr>
      <xdr:spPr>
        <a:xfrm>
          <a:off x="781685" y="516255"/>
          <a:ext cx="1515110" cy="7537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zoomScale="80" zoomScaleNormal="80" workbookViewId="0">
      <selection activeCell="H26" sqref="H26:I26"/>
    </sheetView>
  </sheetViews>
  <sheetFormatPr defaultColWidth="9.12962962962963" defaultRowHeight="15" customHeight="1"/>
  <cols>
    <col min="1" max="1" width="19.4444444444444" customWidth="1"/>
    <col min="2" max="2" width="15" customWidth="1"/>
    <col min="3" max="3" width="15.6944444444444" customWidth="1"/>
    <col min="4" max="4" width="16.6666666666667" customWidth="1"/>
    <col min="5" max="5" width="21.9444444444444" customWidth="1"/>
    <col min="6" max="6" width="17.2222222222222" customWidth="1"/>
    <col min="7" max="7" width="29.0277777777778" customWidth="1"/>
    <col min="8" max="8" width="26.8055555555556" customWidth="1"/>
    <col min="9" max="10" width="15.7777777777778" customWidth="1"/>
    <col min="11" max="11" width="15.9722222222222" customWidth="1"/>
    <col min="12" max="12" width="17.7777777777778" customWidth="1"/>
    <col min="13" max="13" width="3.05555555555556" customWidth="1"/>
    <col min="14" max="14" width="22.5" customWidth="1"/>
  </cols>
  <sheetData>
    <row r="1" ht="30" customHeight="1" spans="1:12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3"/>
      <c r="L1" s="74"/>
    </row>
    <row r="2" ht="18" customHeight="1" spans="1:12">
      <c r="A2" s="75" t="s">
        <v>1</v>
      </c>
      <c r="B2" s="76"/>
      <c r="C2" s="76"/>
      <c r="D2" s="76"/>
      <c r="E2" s="76" t="s">
        <v>2</v>
      </c>
      <c r="F2" s="76"/>
      <c r="G2" s="76"/>
      <c r="H2" s="76" t="s">
        <v>3</v>
      </c>
      <c r="I2" s="76"/>
      <c r="J2" s="76"/>
      <c r="K2" s="77"/>
      <c r="L2" s="78"/>
    </row>
    <row r="3" ht="18" customHeight="1" spans="1:12">
      <c r="A3" s="79" t="s">
        <v>4</v>
      </c>
      <c r="B3" s="80"/>
      <c r="C3" s="80"/>
      <c r="D3" s="80"/>
      <c r="E3" s="81" t="s">
        <v>5</v>
      </c>
      <c r="F3" s="80"/>
      <c r="G3" s="80"/>
      <c r="H3" s="82" t="s">
        <v>6</v>
      </c>
      <c r="I3" s="83"/>
      <c r="J3" s="83"/>
      <c r="K3" s="83"/>
      <c r="L3" s="84"/>
    </row>
    <row r="4" ht="18" customHeight="1" spans="1:12">
      <c r="A4" s="85" t="s">
        <v>7</v>
      </c>
      <c r="B4" s="86"/>
      <c r="C4" s="86"/>
      <c r="D4" s="86"/>
      <c r="E4" s="86"/>
      <c r="F4" s="86"/>
      <c r="G4" s="86"/>
      <c r="H4" s="86"/>
      <c r="I4" s="86"/>
      <c r="J4" s="86"/>
      <c r="K4" s="87"/>
      <c r="L4" s="88"/>
    </row>
    <row r="5" ht="18" customHeight="1" spans="1:12">
      <c r="A5" s="89" t="s">
        <v>8</v>
      </c>
      <c r="B5" s="90"/>
      <c r="C5" s="90"/>
      <c r="D5" s="90"/>
      <c r="E5" s="91" t="s">
        <v>9</v>
      </c>
      <c r="F5" s="91"/>
      <c r="G5" s="91"/>
      <c r="H5" s="91" t="s">
        <v>10</v>
      </c>
      <c r="I5" s="91"/>
      <c r="J5" s="91"/>
      <c r="K5" s="92"/>
      <c r="L5" s="93"/>
    </row>
    <row r="6" ht="18" customHeight="1" spans="1:12">
      <c r="A6" s="94" t="s">
        <v>11</v>
      </c>
      <c r="B6" s="95"/>
      <c r="C6" s="95"/>
      <c r="D6" s="95"/>
      <c r="E6" s="96" t="s">
        <v>12</v>
      </c>
      <c r="F6" s="96"/>
      <c r="G6" s="96"/>
      <c r="H6" s="91" t="s">
        <v>13</v>
      </c>
      <c r="I6" s="91"/>
      <c r="J6" s="91"/>
      <c r="K6" s="92"/>
      <c r="L6" s="93"/>
    </row>
    <row r="7" ht="18" customHeight="1" spans="1:12">
      <c r="A7" s="94" t="s">
        <v>14</v>
      </c>
      <c r="B7" s="95"/>
      <c r="C7" s="95"/>
      <c r="D7" s="95"/>
      <c r="E7" s="96" t="s">
        <v>15</v>
      </c>
      <c r="F7" s="96"/>
      <c r="G7" s="96"/>
      <c r="H7" s="91" t="s">
        <v>16</v>
      </c>
      <c r="I7" s="91"/>
      <c r="J7" s="91"/>
      <c r="K7" s="92"/>
      <c r="L7" s="93"/>
    </row>
    <row r="8" ht="18" customHeight="1" spans="1:12">
      <c r="A8" s="94" t="s">
        <v>17</v>
      </c>
      <c r="B8" s="95"/>
      <c r="C8" s="95"/>
      <c r="D8" s="95"/>
      <c r="E8" s="96" t="s">
        <v>18</v>
      </c>
      <c r="F8" s="96"/>
      <c r="G8" s="96"/>
      <c r="H8" s="91"/>
      <c r="I8" s="91"/>
      <c r="J8" s="91"/>
      <c r="K8" s="92"/>
      <c r="L8" s="93"/>
    </row>
    <row r="9" ht="18" customHeight="1" spans="1:12">
      <c r="A9" s="94" t="s">
        <v>19</v>
      </c>
      <c r="B9" s="95"/>
      <c r="C9" s="95"/>
      <c r="D9" s="95"/>
      <c r="E9" s="96" t="s">
        <v>20</v>
      </c>
      <c r="F9" s="96"/>
      <c r="G9" s="96"/>
      <c r="H9" s="91"/>
      <c r="I9" s="91"/>
      <c r="J9" s="91"/>
      <c r="K9" s="92"/>
      <c r="L9" s="93"/>
    </row>
    <row r="10" ht="18" customHeight="1" spans="1:12">
      <c r="A10" s="97" t="s">
        <v>21</v>
      </c>
      <c r="B10" s="98"/>
      <c r="C10" s="98"/>
      <c r="D10" s="98"/>
      <c r="E10" s="98"/>
      <c r="F10" s="98"/>
      <c r="G10" s="98"/>
      <c r="H10" s="98"/>
      <c r="I10" s="98"/>
      <c r="J10" s="98"/>
      <c r="K10" s="99"/>
      <c r="L10" s="100"/>
    </row>
    <row r="11" ht="30" customHeight="1" spans="1:12">
      <c r="A11" s="101" t="s">
        <v>22</v>
      </c>
      <c r="B11" s="102" t="s">
        <v>23</v>
      </c>
      <c r="C11" s="102" t="s">
        <v>24</v>
      </c>
      <c r="D11" s="102" t="s">
        <v>25</v>
      </c>
      <c r="E11" s="102" t="s">
        <v>26</v>
      </c>
      <c r="F11" s="102" t="s">
        <v>27</v>
      </c>
      <c r="G11" s="102" t="s">
        <v>28</v>
      </c>
      <c r="H11" s="102" t="s">
        <v>29</v>
      </c>
      <c r="I11" s="103" t="s">
        <v>30</v>
      </c>
      <c r="J11" s="104" t="s">
        <v>31</v>
      </c>
      <c r="K11" s="105" t="s">
        <v>32</v>
      </c>
      <c r="L11" s="106" t="s">
        <v>33</v>
      </c>
    </row>
    <row r="12" ht="18" customHeight="1" spans="1:12">
      <c r="A12" s="107" t="s">
        <v>34</v>
      </c>
      <c r="B12" s="108">
        <v>20</v>
      </c>
      <c r="C12" s="109">
        <v>7</v>
      </c>
      <c r="D12" s="110">
        <v>1</v>
      </c>
      <c r="E12" s="111">
        <v>7</v>
      </c>
      <c r="F12" s="110">
        <v>1</v>
      </c>
      <c r="G12" s="111">
        <f>C12*F12</f>
        <v>7</v>
      </c>
      <c r="H12" s="112">
        <f>C12/B12*20</f>
        <v>7</v>
      </c>
      <c r="I12" s="113">
        <f>E12/H12</f>
        <v>1</v>
      </c>
      <c r="J12" s="114">
        <f>C12/B12*20</f>
        <v>7</v>
      </c>
      <c r="K12" s="115">
        <f>G12/J12</f>
        <v>1</v>
      </c>
      <c r="L12" s="116">
        <v>0</v>
      </c>
    </row>
    <row r="13" ht="18" customHeight="1" spans="1:12">
      <c r="A13" s="107" t="s">
        <v>35</v>
      </c>
      <c r="B13" s="108">
        <v>48</v>
      </c>
      <c r="C13" s="109">
        <v>22.9</v>
      </c>
      <c r="D13" s="117">
        <v>0.35</v>
      </c>
      <c r="E13" s="111">
        <f>C13*D13</f>
        <v>8.015</v>
      </c>
      <c r="F13" s="110">
        <v>0.95</v>
      </c>
      <c r="G13" s="111">
        <f>C13*F13</f>
        <v>21.755</v>
      </c>
      <c r="H13" s="112">
        <f>C13/B13*19.2</f>
        <v>9.16</v>
      </c>
      <c r="I13" s="113">
        <f>E13/H13</f>
        <v>0.875</v>
      </c>
      <c r="J13" s="114">
        <f>C13/B13*(18+30)</f>
        <v>22.9</v>
      </c>
      <c r="K13" s="115">
        <f>G13/J13</f>
        <v>0.95</v>
      </c>
      <c r="L13" s="116">
        <v>-13</v>
      </c>
    </row>
    <row r="14" ht="18" customHeight="1" spans="1:12">
      <c r="A14" s="107" t="s">
        <v>36</v>
      </c>
      <c r="B14" s="108">
        <v>92</v>
      </c>
      <c r="C14" s="109">
        <v>17.3</v>
      </c>
      <c r="D14" s="110">
        <f>13/92</f>
        <v>0.141304347826087</v>
      </c>
      <c r="E14" s="111">
        <f>C14*D14</f>
        <v>2.4445652173913</v>
      </c>
      <c r="F14" s="110">
        <f>(49+30+13)/92</f>
        <v>1</v>
      </c>
      <c r="G14" s="111">
        <f>C14*F14</f>
        <v>17.3</v>
      </c>
      <c r="H14" s="112">
        <f>C14/B14*13</f>
        <v>2.4445652173913</v>
      </c>
      <c r="I14" s="113">
        <f>E14/H14</f>
        <v>1</v>
      </c>
      <c r="J14" s="114">
        <f>C14/B14*92</f>
        <v>17.3</v>
      </c>
      <c r="K14" s="115">
        <f>G14/J14</f>
        <v>1</v>
      </c>
      <c r="L14" s="116">
        <v>-13</v>
      </c>
    </row>
    <row r="15" ht="18" customHeight="1" spans="1:12">
      <c r="A15" s="101" t="s">
        <v>37</v>
      </c>
      <c r="B15" s="118">
        <v>92</v>
      </c>
      <c r="C15" s="119">
        <f>SUM(C12:C14)</f>
        <v>47.2</v>
      </c>
      <c r="D15" s="120">
        <f>E15/C15</f>
        <v>0.369906042741341</v>
      </c>
      <c r="E15" s="111">
        <f>SUM(E12:E14)</f>
        <v>17.4595652173913</v>
      </c>
      <c r="F15" s="121">
        <f>G15/C15</f>
        <v>0.975741525423729</v>
      </c>
      <c r="G15" s="111">
        <f>SUM(G12:G14)</f>
        <v>46.055</v>
      </c>
      <c r="H15" s="111">
        <f>SUM(H12:H14)</f>
        <v>18.6045652173913</v>
      </c>
      <c r="I15" s="113">
        <f>E15/H15</f>
        <v>0.93845596569332</v>
      </c>
      <c r="J15" s="122">
        <f>SUM(J12:J14)</f>
        <v>47.2</v>
      </c>
      <c r="K15" s="115">
        <f>G15/J15</f>
        <v>0.975741525423729</v>
      </c>
      <c r="L15" s="116">
        <v>-13</v>
      </c>
    </row>
    <row r="16" ht="18" customHeight="1" spans="1:12">
      <c r="A16" s="123" t="s">
        <v>38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126"/>
    </row>
    <row r="17" ht="30" customHeight="1" spans="1:12">
      <c r="A17" s="127" t="s">
        <v>22</v>
      </c>
      <c r="B17" s="128" t="s">
        <v>39</v>
      </c>
      <c r="C17" s="129"/>
      <c r="D17" s="128" t="s">
        <v>40</v>
      </c>
      <c r="E17" s="103" t="s">
        <v>41</v>
      </c>
      <c r="F17" s="128" t="s">
        <v>42</v>
      </c>
      <c r="G17" s="103" t="s">
        <v>43</v>
      </c>
      <c r="H17" s="130" t="s">
        <v>44</v>
      </c>
      <c r="I17" s="131" t="s">
        <v>10</v>
      </c>
      <c r="J17" s="131"/>
      <c r="K17" s="132"/>
      <c r="L17" s="133"/>
    </row>
    <row r="18" ht="20" customHeight="1" spans="1:12">
      <c r="A18" s="134" t="s">
        <v>34</v>
      </c>
      <c r="B18" s="134">
        <v>7</v>
      </c>
      <c r="C18" s="134"/>
      <c r="D18" s="135">
        <v>7</v>
      </c>
      <c r="E18" s="113">
        <f>D18/E12</f>
        <v>1</v>
      </c>
      <c r="F18" s="135">
        <v>7</v>
      </c>
      <c r="G18" s="113">
        <f>F18/G12</f>
        <v>1</v>
      </c>
      <c r="H18" s="136">
        <f>F18/B18</f>
        <v>1</v>
      </c>
      <c r="I18" s="137" t="s">
        <v>45</v>
      </c>
      <c r="J18" s="138"/>
      <c r="K18" s="138"/>
      <c r="L18" s="139"/>
    </row>
    <row r="19" ht="20" customHeight="1" spans="1:12">
      <c r="A19" s="134" t="s">
        <v>35</v>
      </c>
      <c r="B19" s="134">
        <v>22.9</v>
      </c>
      <c r="C19" s="134"/>
      <c r="D19" s="135">
        <v>0.19</v>
      </c>
      <c r="E19" s="113">
        <f>D19/E13</f>
        <v>0.0237055520898316</v>
      </c>
      <c r="F19" s="135">
        <v>12.43</v>
      </c>
      <c r="G19" s="113">
        <f>F19/G13</f>
        <v>0.571362905079292</v>
      </c>
      <c r="H19" s="136">
        <f>F19/B19</f>
        <v>0.542794759825328</v>
      </c>
      <c r="I19" s="140"/>
      <c r="J19" s="141"/>
      <c r="K19" s="141"/>
      <c r="L19" s="142"/>
    </row>
    <row r="20" ht="20" customHeight="1" spans="1:12">
      <c r="A20" s="134" t="s">
        <v>36</v>
      </c>
      <c r="B20" s="134">
        <f>C14</f>
        <v>17.3</v>
      </c>
      <c r="C20" s="134"/>
      <c r="D20" s="135">
        <v>2.2</v>
      </c>
      <c r="E20" s="113">
        <f>D20/E14</f>
        <v>0.899955535793686</v>
      </c>
      <c r="F20" s="135">
        <f>8.8+4.6+2.2</f>
        <v>15.6</v>
      </c>
      <c r="G20" s="113">
        <f>F20/G14</f>
        <v>0.901734104046243</v>
      </c>
      <c r="H20" s="136">
        <f>F20/B20</f>
        <v>0.901734104046243</v>
      </c>
      <c r="I20" s="140"/>
      <c r="J20" s="141"/>
      <c r="K20" s="141"/>
      <c r="L20" s="142"/>
    </row>
    <row r="21" ht="20" customHeight="1" spans="1:12">
      <c r="A21" s="143" t="s">
        <v>46</v>
      </c>
      <c r="B21" s="134">
        <f>SUM(B18:B20)</f>
        <v>47.2</v>
      </c>
      <c r="C21" s="134"/>
      <c r="D21" s="144">
        <f>SUM(D18:D20)</f>
        <v>9.39</v>
      </c>
      <c r="E21" s="113">
        <f>D21/E15</f>
        <v>0.537814079737032</v>
      </c>
      <c r="F21" s="145">
        <f>SUM(F18:F20)</f>
        <v>35.03</v>
      </c>
      <c r="G21" s="113">
        <f>F21/G15</f>
        <v>0.760612311366844</v>
      </c>
      <c r="H21" s="136">
        <f>F21/B21</f>
        <v>0.742161016949152</v>
      </c>
      <c r="I21" s="146"/>
      <c r="J21" s="147"/>
      <c r="K21" s="147"/>
      <c r="L21" s="148"/>
    </row>
    <row r="22" ht="18" customHeight="1" spans="1:12">
      <c r="A22" s="149" t="s">
        <v>47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1"/>
      <c r="L22" s="152"/>
    </row>
    <row r="23" ht="18" customHeight="1" spans="1:12">
      <c r="A23" s="153" t="s">
        <v>22</v>
      </c>
      <c r="B23" s="154" t="s">
        <v>48</v>
      </c>
      <c r="C23" s="155"/>
      <c r="D23" s="154" t="s">
        <v>49</v>
      </c>
      <c r="E23" s="155"/>
      <c r="F23" s="156" t="s">
        <v>50</v>
      </c>
      <c r="G23" s="157"/>
      <c r="H23" s="156" t="s">
        <v>51</v>
      </c>
      <c r="I23" s="157"/>
      <c r="J23" s="156" t="s">
        <v>52</v>
      </c>
      <c r="K23" s="158"/>
      <c r="L23" s="159"/>
    </row>
    <row r="24" ht="18" customHeight="1" spans="1:12">
      <c r="A24" s="160" t="s">
        <v>34</v>
      </c>
      <c r="B24" s="161">
        <v>1</v>
      </c>
      <c r="C24" s="155"/>
      <c r="D24" s="154" t="s">
        <v>53</v>
      </c>
      <c r="E24" s="155"/>
      <c r="F24" s="162">
        <v>1</v>
      </c>
      <c r="G24" s="157"/>
      <c r="H24" s="156" t="s">
        <v>54</v>
      </c>
      <c r="I24" s="157"/>
      <c r="J24" s="156" t="s">
        <v>55</v>
      </c>
      <c r="K24" s="158"/>
      <c r="L24" s="159"/>
    </row>
    <row r="25" ht="18" customHeight="1" spans="1:12">
      <c r="A25" s="160" t="s">
        <v>56</v>
      </c>
      <c r="B25" s="161">
        <v>1</v>
      </c>
      <c r="C25" s="155"/>
      <c r="D25" s="154" t="s">
        <v>57</v>
      </c>
      <c r="E25" s="155"/>
      <c r="F25" s="162">
        <v>1</v>
      </c>
      <c r="G25" s="157"/>
      <c r="H25" s="156" t="s">
        <v>54</v>
      </c>
      <c r="I25" s="157"/>
      <c r="J25" s="156" t="s">
        <v>55</v>
      </c>
      <c r="K25" s="158"/>
      <c r="L25" s="159"/>
    </row>
    <row r="26" ht="18" customHeight="1" spans="1:12">
      <c r="A26" s="160" t="s">
        <v>58</v>
      </c>
      <c r="B26" s="154"/>
      <c r="C26" s="155"/>
      <c r="D26" s="154"/>
      <c r="E26" s="155"/>
      <c r="F26" s="156"/>
      <c r="G26" s="157"/>
      <c r="H26" s="156"/>
      <c r="I26" s="157"/>
      <c r="J26" s="156"/>
      <c r="K26" s="158"/>
      <c r="L26" s="159"/>
    </row>
    <row r="27" ht="18" customHeight="1" spans="1:12">
      <c r="A27" s="163"/>
      <c r="B27" s="154"/>
      <c r="C27" s="155"/>
      <c r="D27" s="154"/>
      <c r="E27" s="155"/>
      <c r="F27" s="156"/>
      <c r="G27" s="157"/>
      <c r="H27" s="156"/>
      <c r="I27" s="157"/>
      <c r="J27" s="156"/>
      <c r="K27" s="158"/>
      <c r="L27" s="159"/>
    </row>
    <row r="28" ht="18" customHeight="1" spans="1:12">
      <c r="A28" s="164" t="s">
        <v>59</v>
      </c>
      <c r="B28" s="165"/>
      <c r="C28" s="165"/>
      <c r="D28" s="165"/>
      <c r="E28" s="165"/>
      <c r="F28" s="165"/>
      <c r="G28" s="165"/>
      <c r="H28" s="165"/>
      <c r="I28" s="165"/>
      <c r="J28" s="165"/>
      <c r="K28" s="166"/>
      <c r="L28" s="167"/>
    </row>
    <row r="29" ht="18" customHeight="1" spans="1:12">
      <c r="A29" s="168" t="s">
        <v>22</v>
      </c>
      <c r="B29" s="169" t="s">
        <v>60</v>
      </c>
      <c r="C29" s="170"/>
      <c r="D29" s="169" t="s">
        <v>61</v>
      </c>
      <c r="E29" s="170"/>
      <c r="F29" s="169" t="s">
        <v>62</v>
      </c>
      <c r="G29" s="170"/>
      <c r="H29" s="169" t="s">
        <v>63</v>
      </c>
      <c r="I29" s="170"/>
      <c r="J29" s="169" t="s">
        <v>64</v>
      </c>
      <c r="K29" s="171"/>
      <c r="L29" s="172"/>
    </row>
    <row r="30" ht="18" customHeight="1" spans="1:12">
      <c r="A30" s="173" t="s">
        <v>34</v>
      </c>
      <c r="B30" s="169" t="s">
        <v>65</v>
      </c>
      <c r="C30" s="170"/>
      <c r="D30" s="169" t="s">
        <v>66</v>
      </c>
      <c r="E30" s="170"/>
      <c r="F30" s="169" t="s">
        <v>67</v>
      </c>
      <c r="G30" s="170"/>
      <c r="H30" s="174">
        <v>1</v>
      </c>
      <c r="I30" s="170"/>
      <c r="J30" s="169" t="s">
        <v>68</v>
      </c>
      <c r="K30" s="171"/>
      <c r="L30" s="172"/>
    </row>
    <row r="31" ht="18" customHeight="1" spans="1:12">
      <c r="A31" s="173" t="s">
        <v>69</v>
      </c>
      <c r="B31" s="169" t="s">
        <v>65</v>
      </c>
      <c r="C31" s="170"/>
      <c r="D31" s="169" t="s">
        <v>66</v>
      </c>
      <c r="E31" s="170"/>
      <c r="F31" s="169" t="s">
        <v>67</v>
      </c>
      <c r="G31" s="170"/>
      <c r="H31" s="174">
        <v>1</v>
      </c>
      <c r="I31" s="170"/>
      <c r="J31" s="169" t="s">
        <v>68</v>
      </c>
      <c r="K31" s="171"/>
      <c r="L31" s="172"/>
    </row>
    <row r="32" ht="18" customHeight="1" spans="1:12">
      <c r="A32" s="173" t="s">
        <v>58</v>
      </c>
      <c r="B32" s="169" t="s">
        <v>65</v>
      </c>
      <c r="C32" s="170"/>
      <c r="D32" s="169" t="s">
        <v>66</v>
      </c>
      <c r="E32" s="170"/>
      <c r="F32" s="169" t="s">
        <v>67</v>
      </c>
      <c r="G32" s="170"/>
      <c r="H32" s="174">
        <v>1</v>
      </c>
      <c r="I32" s="170"/>
      <c r="J32" s="169" t="s">
        <v>68</v>
      </c>
      <c r="K32" s="171"/>
      <c r="L32" s="172"/>
    </row>
    <row r="33" ht="45" customHeight="1" spans="1:12">
      <c r="A33" s="175" t="s">
        <v>70</v>
      </c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7"/>
    </row>
    <row r="34" customHeight="1" spans="1:12">
      <c r="A34" s="178"/>
      <c r="B34" s="178"/>
      <c r="C34" s="178"/>
    </row>
  </sheetData>
  <mergeCells count="81">
    <mergeCell ref="A1:L1"/>
    <mergeCell ref="A2:D2"/>
    <mergeCell ref="E2:G2"/>
    <mergeCell ref="H2:L2"/>
    <mergeCell ref="A3:D3"/>
    <mergeCell ref="E3:G3"/>
    <mergeCell ref="H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6:L16"/>
    <mergeCell ref="B17:C17"/>
    <mergeCell ref="I17:L17"/>
    <mergeCell ref="B18:C18"/>
    <mergeCell ref="B19:C19"/>
    <mergeCell ref="B20:C20"/>
    <mergeCell ref="B21:C21"/>
    <mergeCell ref="A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B27:C27"/>
    <mergeCell ref="D27:E27"/>
    <mergeCell ref="F27:G27"/>
    <mergeCell ref="H27:I27"/>
    <mergeCell ref="J27:L27"/>
    <mergeCell ref="A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B32:C32"/>
    <mergeCell ref="D32:E32"/>
    <mergeCell ref="F32:G32"/>
    <mergeCell ref="H32:I32"/>
    <mergeCell ref="J32:L32"/>
    <mergeCell ref="A33:L33"/>
    <mergeCell ref="A34:J34"/>
    <mergeCell ref="I18:L21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28"/>
  <sheetViews>
    <sheetView tabSelected="1" zoomScale="70" zoomScaleNormal="70" topLeftCell="B1" workbookViewId="0">
      <selection activeCell="AJ30" sqref="AJ30"/>
    </sheetView>
  </sheetViews>
  <sheetFormatPr defaultColWidth="9.77777777777778" defaultRowHeight="15.6"/>
  <cols>
    <col min="1" max="1" width="11.2685185185185" style="1" customWidth="1"/>
    <col min="2" max="2" width="22.2222222222222" style="1" customWidth="1"/>
    <col min="3" max="3" width="11.2592592592593" style="1" customWidth="1"/>
    <col min="4" max="4" width="10.2777777777778" style="1" customWidth="1"/>
    <col min="5" max="5" width="11.1018518518519" style="1" customWidth="1"/>
    <col min="6" max="108" width="3" style="1" customWidth="1"/>
    <col min="109" max="109" width="3" style="1"/>
    <col min="110" max="16384" width="9.77777777777778" style="1"/>
  </cols>
  <sheetData>
    <row r="1" ht="40" customHeight="1" spans="1:78">
      <c r="A1" s="2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4"/>
    </row>
    <row r="2" ht="20" customHeight="1" spans="1:78">
      <c r="A2" s="5" t="s">
        <v>72</v>
      </c>
      <c r="B2" s="6" t="s">
        <v>73</v>
      </c>
      <c r="C2" s="7" t="s">
        <v>10</v>
      </c>
      <c r="D2" s="8" t="s">
        <v>74</v>
      </c>
      <c r="E2" s="8" t="s">
        <v>75</v>
      </c>
      <c r="F2" s="9" t="s">
        <v>76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10"/>
    </row>
    <row r="3" ht="20" customHeight="1" spans="1:78">
      <c r="A3" s="11"/>
      <c r="B3" s="6"/>
      <c r="C3" s="7"/>
      <c r="D3" s="8"/>
      <c r="E3" s="8"/>
      <c r="F3" s="12" t="s">
        <v>77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78</v>
      </c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 t="s">
        <v>79</v>
      </c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 t="s">
        <v>80</v>
      </c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3" t="s">
        <v>81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4"/>
    </row>
    <row r="4" ht="20" customHeight="1" spans="1:78">
      <c r="A4" s="11"/>
      <c r="B4" s="6"/>
      <c r="C4" s="7"/>
      <c r="D4" s="8"/>
      <c r="E4" s="8"/>
      <c r="F4" s="15">
        <v>2</v>
      </c>
      <c r="G4" s="15">
        <v>4</v>
      </c>
      <c r="H4" s="15">
        <v>6</v>
      </c>
      <c r="I4" s="15">
        <v>8</v>
      </c>
      <c r="J4" s="15">
        <v>10</v>
      </c>
      <c r="K4" s="15">
        <v>12</v>
      </c>
      <c r="L4" s="15">
        <v>14</v>
      </c>
      <c r="M4" s="15">
        <v>16</v>
      </c>
      <c r="N4" s="15">
        <v>18</v>
      </c>
      <c r="O4" s="15">
        <v>20</v>
      </c>
      <c r="P4" s="15">
        <v>22</v>
      </c>
      <c r="Q4" s="15">
        <v>24</v>
      </c>
      <c r="R4" s="15">
        <v>26</v>
      </c>
      <c r="S4" s="15">
        <v>28</v>
      </c>
      <c r="T4" s="15">
        <v>30</v>
      </c>
      <c r="U4" s="15">
        <v>2</v>
      </c>
      <c r="V4" s="15">
        <v>4</v>
      </c>
      <c r="W4" s="15">
        <v>6</v>
      </c>
      <c r="X4" s="15">
        <v>8</v>
      </c>
      <c r="Y4" s="15">
        <v>10</v>
      </c>
      <c r="Z4" s="15">
        <v>12</v>
      </c>
      <c r="AA4" s="15">
        <v>14</v>
      </c>
      <c r="AB4" s="15">
        <v>16</v>
      </c>
      <c r="AC4" s="15">
        <v>18</v>
      </c>
      <c r="AD4" s="15">
        <v>20</v>
      </c>
      <c r="AE4" s="15">
        <v>22</v>
      </c>
      <c r="AF4" s="15">
        <v>24</v>
      </c>
      <c r="AG4" s="15">
        <v>26</v>
      </c>
      <c r="AH4" s="15">
        <v>28</v>
      </c>
      <c r="AI4" s="15">
        <v>31</v>
      </c>
      <c r="AJ4" s="16">
        <v>2</v>
      </c>
      <c r="AK4" s="16">
        <v>4</v>
      </c>
      <c r="AL4" s="16">
        <v>6</v>
      </c>
      <c r="AM4" s="16">
        <v>8</v>
      </c>
      <c r="AN4" s="16">
        <v>10</v>
      </c>
      <c r="AO4" s="16">
        <v>12</v>
      </c>
      <c r="AP4" s="16">
        <v>14</v>
      </c>
      <c r="AQ4" s="16">
        <v>16</v>
      </c>
      <c r="AR4" s="16">
        <v>18</v>
      </c>
      <c r="AS4" s="16">
        <v>20</v>
      </c>
      <c r="AT4" s="16">
        <v>22</v>
      </c>
      <c r="AU4" s="16">
        <v>24</v>
      </c>
      <c r="AV4" s="16">
        <v>26</v>
      </c>
      <c r="AW4" s="16">
        <v>28</v>
      </c>
      <c r="AX4" s="16">
        <v>30</v>
      </c>
      <c r="AY4" s="17">
        <v>2</v>
      </c>
      <c r="AZ4" s="17">
        <v>4</v>
      </c>
      <c r="BA4" s="17">
        <v>6</v>
      </c>
      <c r="BB4" s="17">
        <v>8</v>
      </c>
      <c r="BC4" s="17">
        <v>10</v>
      </c>
      <c r="BD4" s="17">
        <f t="shared" ref="BD4:BM4" si="0">BC4+2</f>
        <v>12</v>
      </c>
      <c r="BE4" s="17">
        <f t="shared" si="0"/>
        <v>14</v>
      </c>
      <c r="BF4" s="17">
        <f t="shared" si="0"/>
        <v>16</v>
      </c>
      <c r="BG4" s="17">
        <f t="shared" si="0"/>
        <v>18</v>
      </c>
      <c r="BH4" s="17">
        <f t="shared" si="0"/>
        <v>20</v>
      </c>
      <c r="BI4" s="17">
        <f t="shared" si="0"/>
        <v>22</v>
      </c>
      <c r="BJ4" s="17">
        <f t="shared" si="0"/>
        <v>24</v>
      </c>
      <c r="BK4" s="17">
        <f t="shared" si="0"/>
        <v>26</v>
      </c>
      <c r="BL4" s="17">
        <f t="shared" si="0"/>
        <v>28</v>
      </c>
      <c r="BM4" s="17">
        <f t="shared" si="0"/>
        <v>30</v>
      </c>
      <c r="BN4" s="17">
        <v>1</v>
      </c>
      <c r="BO4" s="17">
        <f>BN4+2</f>
        <v>3</v>
      </c>
      <c r="BP4" s="17">
        <f>BO4+2</f>
        <v>5</v>
      </c>
      <c r="BQ4" s="17">
        <f>BP4+2</f>
        <v>7</v>
      </c>
      <c r="BR4" s="17">
        <f>BQ4+2</f>
        <v>9</v>
      </c>
      <c r="BS4" s="17">
        <v>11</v>
      </c>
      <c r="BT4" s="18">
        <v>13</v>
      </c>
      <c r="BU4" s="18">
        <v>15</v>
      </c>
      <c r="BV4" s="18"/>
      <c r="BW4" s="18"/>
      <c r="BX4" s="18"/>
      <c r="BY4" s="18"/>
      <c r="BZ4" s="19"/>
    </row>
    <row r="5" ht="20" customHeight="1" spans="1:78">
      <c r="A5" s="20" t="s">
        <v>82</v>
      </c>
      <c r="B5" s="8" t="s">
        <v>83</v>
      </c>
      <c r="C5" s="21" t="s">
        <v>84</v>
      </c>
      <c r="D5" s="22">
        <v>46113</v>
      </c>
      <c r="E5" s="22">
        <v>46120</v>
      </c>
      <c r="F5" s="23"/>
      <c r="G5" s="23"/>
      <c r="H5" s="23"/>
      <c r="I5" s="23"/>
      <c r="J5" s="24"/>
      <c r="K5" s="24"/>
      <c r="L5" s="24"/>
      <c r="M5" s="24"/>
      <c r="N5" s="25"/>
      <c r="O5" s="2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6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8"/>
      <c r="BU5" s="18"/>
      <c r="BV5" s="18"/>
      <c r="BW5" s="18"/>
      <c r="BX5" s="18"/>
      <c r="BY5" s="18"/>
      <c r="BZ5" s="19"/>
    </row>
    <row r="6" ht="20" customHeight="1" spans="1:78">
      <c r="A6" s="20"/>
      <c r="B6" s="8"/>
      <c r="C6" s="21" t="s">
        <v>85</v>
      </c>
      <c r="D6" s="22">
        <v>46113</v>
      </c>
      <c r="E6" s="22">
        <v>46120</v>
      </c>
      <c r="F6" s="26"/>
      <c r="G6" s="26"/>
      <c r="H6" s="26"/>
      <c r="I6" s="26"/>
      <c r="J6" s="24"/>
      <c r="K6" s="24"/>
      <c r="L6" s="24"/>
      <c r="M6" s="24"/>
      <c r="N6" s="25"/>
      <c r="O6" s="2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6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8"/>
      <c r="BU6" s="18"/>
      <c r="BV6" s="18"/>
      <c r="BW6" s="18"/>
      <c r="BX6" s="18"/>
      <c r="BY6" s="18"/>
      <c r="BZ6" s="19"/>
    </row>
    <row r="7" ht="20" customHeight="1" spans="1:78">
      <c r="A7" s="20"/>
      <c r="B7" s="8" t="s">
        <v>86</v>
      </c>
      <c r="C7" s="21" t="s">
        <v>84</v>
      </c>
      <c r="D7" s="22">
        <v>46121</v>
      </c>
      <c r="E7" s="22">
        <v>46124</v>
      </c>
      <c r="F7" s="27"/>
      <c r="G7" s="27"/>
      <c r="H7" s="27"/>
      <c r="I7" s="27"/>
      <c r="J7" s="28"/>
      <c r="K7" s="28"/>
      <c r="L7" s="27"/>
      <c r="M7" s="27"/>
      <c r="N7" s="29"/>
      <c r="O7" s="29"/>
      <c r="P7" s="29"/>
      <c r="Q7" s="29"/>
      <c r="R7" s="27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0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18"/>
      <c r="BU7" s="18"/>
      <c r="BV7" s="18"/>
      <c r="BW7" s="18"/>
      <c r="BX7" s="18"/>
      <c r="BY7" s="18"/>
      <c r="BZ7" s="19"/>
    </row>
    <row r="8" ht="20" customHeight="1" spans="1:78">
      <c r="A8" s="20"/>
      <c r="B8" s="8"/>
      <c r="C8" s="21" t="s">
        <v>85</v>
      </c>
      <c r="D8" s="22">
        <v>46121</v>
      </c>
      <c r="E8" s="22">
        <v>46124</v>
      </c>
      <c r="F8" s="27"/>
      <c r="G8" s="24"/>
      <c r="H8" s="24"/>
      <c r="I8" s="24"/>
      <c r="J8" s="26"/>
      <c r="K8" s="26"/>
      <c r="L8" s="24"/>
      <c r="M8" s="24"/>
      <c r="N8" s="25"/>
      <c r="O8" s="25"/>
      <c r="P8" s="15"/>
      <c r="Q8" s="15"/>
      <c r="R8" s="15"/>
      <c r="S8" s="15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0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18"/>
      <c r="BU8" s="18"/>
      <c r="BV8" s="18"/>
      <c r="BW8" s="18"/>
      <c r="BX8" s="18"/>
      <c r="BY8" s="18"/>
      <c r="BZ8" s="19"/>
    </row>
    <row r="9" ht="20" customHeight="1" spans="1:78">
      <c r="A9" s="20"/>
      <c r="B9" s="8" t="s">
        <v>87</v>
      </c>
      <c r="C9" s="21" t="s">
        <v>84</v>
      </c>
      <c r="D9" s="22">
        <v>46125</v>
      </c>
      <c r="E9" s="22">
        <v>46126</v>
      </c>
      <c r="F9" s="27"/>
      <c r="G9" s="27"/>
      <c r="H9" s="27"/>
      <c r="I9" s="27"/>
      <c r="J9" s="27"/>
      <c r="K9" s="27"/>
      <c r="L9" s="28"/>
      <c r="M9" s="27"/>
      <c r="N9" s="27"/>
      <c r="O9" s="27"/>
      <c r="P9" s="27"/>
      <c r="Q9" s="27"/>
      <c r="R9" s="27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0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18"/>
      <c r="BU9" s="18"/>
      <c r="BV9" s="18"/>
      <c r="BW9" s="18"/>
      <c r="BX9" s="18"/>
      <c r="BY9" s="18"/>
      <c r="BZ9" s="19"/>
    </row>
    <row r="10" ht="20" customHeight="1" spans="1:78">
      <c r="A10" s="20"/>
      <c r="B10" s="8"/>
      <c r="C10" s="21" t="s">
        <v>85</v>
      </c>
      <c r="D10" s="22">
        <v>46125</v>
      </c>
      <c r="E10" s="22">
        <v>46126</v>
      </c>
      <c r="F10" s="27"/>
      <c r="G10" s="27"/>
      <c r="H10" s="24"/>
      <c r="I10" s="24"/>
      <c r="J10" s="24"/>
      <c r="K10" s="24"/>
      <c r="L10" s="26"/>
      <c r="M10" s="24"/>
      <c r="N10" s="24"/>
      <c r="O10" s="25"/>
      <c r="P10" s="25"/>
      <c r="Q10" s="15"/>
      <c r="R10" s="15"/>
      <c r="S10" s="15"/>
      <c r="T10" s="15"/>
      <c r="U10" s="24"/>
      <c r="V10" s="31"/>
      <c r="W10" s="31"/>
      <c r="X10" s="31"/>
      <c r="Y10" s="31"/>
      <c r="Z10" s="31"/>
      <c r="AA10" s="31"/>
      <c r="AB10" s="31"/>
      <c r="AC10" s="31"/>
      <c r="AD10" s="31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0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18"/>
      <c r="BU10" s="18"/>
      <c r="BV10" s="18"/>
      <c r="BW10" s="18"/>
      <c r="BX10" s="18"/>
      <c r="BY10" s="18"/>
      <c r="BZ10" s="19"/>
    </row>
    <row r="11" ht="20" customHeight="1" spans="1:78">
      <c r="A11" s="20"/>
      <c r="B11" s="8" t="s">
        <v>88</v>
      </c>
      <c r="C11" s="21" t="s">
        <v>84</v>
      </c>
      <c r="D11" s="22">
        <v>46127</v>
      </c>
      <c r="E11" s="22">
        <v>46130</v>
      </c>
      <c r="F11" s="30"/>
      <c r="G11" s="30"/>
      <c r="H11" s="30"/>
      <c r="I11" s="30"/>
      <c r="J11" s="30"/>
      <c r="K11" s="30"/>
      <c r="L11" s="30"/>
      <c r="M11" s="32"/>
      <c r="N11" s="32"/>
      <c r="O11" s="33"/>
      <c r="P11" s="30"/>
      <c r="Q11" s="30"/>
      <c r="R11" s="34" t="s">
        <v>89</v>
      </c>
      <c r="S11" s="34"/>
      <c r="T11" s="34"/>
      <c r="U11" s="34"/>
      <c r="V11" s="34"/>
      <c r="W11" s="34"/>
      <c r="X11" s="34"/>
      <c r="Y11" s="34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0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18"/>
      <c r="BU11" s="18"/>
      <c r="BV11" s="18"/>
      <c r="BW11" s="18"/>
      <c r="BX11" s="18"/>
      <c r="BY11" s="18"/>
      <c r="BZ11" s="19"/>
    </row>
    <row r="12" ht="20" customHeight="1" spans="1:78">
      <c r="A12" s="20"/>
      <c r="B12" s="8"/>
      <c r="C12" s="21" t="s">
        <v>85</v>
      </c>
      <c r="D12" s="22">
        <v>46127</v>
      </c>
      <c r="E12" s="22">
        <v>46130</v>
      </c>
      <c r="F12" s="30"/>
      <c r="G12" s="30"/>
      <c r="H12" s="30"/>
      <c r="I12" s="30"/>
      <c r="J12" s="24"/>
      <c r="K12" s="24"/>
      <c r="L12" s="24"/>
      <c r="M12" s="26"/>
      <c r="N12" s="26"/>
      <c r="O12" s="26"/>
      <c r="P12" s="24"/>
      <c r="Q12" s="25"/>
      <c r="R12" s="34"/>
      <c r="S12" s="34"/>
      <c r="T12" s="34"/>
      <c r="U12" s="34"/>
      <c r="V12" s="34"/>
      <c r="W12" s="34"/>
      <c r="X12" s="34"/>
      <c r="Y12" s="34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0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18"/>
      <c r="BU12" s="18"/>
      <c r="BV12" s="18"/>
      <c r="BW12" s="18"/>
      <c r="BX12" s="18"/>
      <c r="BY12" s="18"/>
      <c r="BZ12" s="19"/>
    </row>
    <row r="13" ht="20" customHeight="1" spans="1:78">
      <c r="A13" s="20"/>
      <c r="B13" s="8" t="s">
        <v>90</v>
      </c>
      <c r="C13" s="21" t="s">
        <v>84</v>
      </c>
      <c r="D13" s="22">
        <v>46131</v>
      </c>
      <c r="E13" s="22">
        <v>46136</v>
      </c>
      <c r="F13" s="30"/>
      <c r="G13" s="30"/>
      <c r="H13" s="30"/>
      <c r="I13" s="30"/>
      <c r="J13" s="30"/>
      <c r="K13" s="30"/>
      <c r="L13" s="30"/>
      <c r="M13" s="30"/>
      <c r="N13" s="30"/>
      <c r="O13" s="32"/>
      <c r="P13" s="32"/>
      <c r="Q13" s="32"/>
      <c r="R13" s="30"/>
      <c r="S13" s="30"/>
      <c r="T13" s="34" t="s">
        <v>91</v>
      </c>
      <c r="U13" s="36"/>
      <c r="V13" s="36"/>
      <c r="W13" s="36"/>
      <c r="X13" s="36"/>
      <c r="Y13" s="36"/>
      <c r="Z13" s="36"/>
      <c r="AA13" s="36"/>
      <c r="AB13" s="31"/>
      <c r="AC13" s="31"/>
      <c r="AD13" s="35"/>
      <c r="AE13" s="31"/>
      <c r="AF13" s="31"/>
      <c r="AG13" s="31"/>
      <c r="AH13" s="31"/>
      <c r="AI13" s="31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0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18"/>
      <c r="BU13" s="18"/>
      <c r="BV13" s="18"/>
      <c r="BW13" s="18"/>
      <c r="BX13" s="18"/>
      <c r="BY13" s="18"/>
      <c r="BZ13" s="19"/>
    </row>
    <row r="14" ht="20" customHeight="1" spans="1:78">
      <c r="A14" s="20"/>
      <c r="B14" s="8"/>
      <c r="C14" s="21" t="s">
        <v>85</v>
      </c>
      <c r="D14" s="22">
        <v>46131</v>
      </c>
      <c r="E14" s="22">
        <v>46136</v>
      </c>
      <c r="F14" s="30"/>
      <c r="G14" s="30"/>
      <c r="H14" s="30"/>
      <c r="I14" s="30"/>
      <c r="J14" s="30"/>
      <c r="K14" s="30"/>
      <c r="L14" s="24"/>
      <c r="M14" s="24"/>
      <c r="N14" s="24"/>
      <c r="O14" s="24"/>
      <c r="P14" s="26"/>
      <c r="Q14" s="26"/>
      <c r="R14" s="24"/>
      <c r="S14" s="25"/>
      <c r="T14" s="36"/>
      <c r="U14" s="36"/>
      <c r="V14" s="36"/>
      <c r="W14" s="36"/>
      <c r="X14" s="36"/>
      <c r="Y14" s="36"/>
      <c r="Z14" s="36"/>
      <c r="AA14" s="36"/>
      <c r="AB14" s="31"/>
      <c r="AC14" s="31"/>
      <c r="AD14" s="35"/>
      <c r="AE14" s="31"/>
      <c r="AF14" s="31"/>
      <c r="AG14" s="31"/>
      <c r="AH14" s="31"/>
      <c r="AI14" s="31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0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18"/>
      <c r="BU14" s="18"/>
      <c r="BV14" s="18"/>
      <c r="BW14" s="18"/>
      <c r="BX14" s="18"/>
      <c r="BY14" s="18"/>
      <c r="BZ14" s="19"/>
    </row>
    <row r="15" ht="20" customHeight="1" spans="1:78">
      <c r="A15" s="20"/>
      <c r="B15" s="8" t="s">
        <v>92</v>
      </c>
      <c r="C15" s="21" t="s">
        <v>84</v>
      </c>
      <c r="D15" s="22">
        <v>46137</v>
      </c>
      <c r="E15" s="22">
        <v>46140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2"/>
      <c r="S15" s="32"/>
      <c r="T15" s="30"/>
      <c r="U15" s="31"/>
      <c r="V15" s="31"/>
      <c r="W15" s="31"/>
      <c r="X15" s="31"/>
      <c r="Y15" s="31"/>
      <c r="Z15" s="31"/>
      <c r="AA15" s="31"/>
      <c r="AB15" s="31"/>
      <c r="AC15" s="37"/>
      <c r="AD15" s="38" t="s">
        <v>93</v>
      </c>
      <c r="AE15" s="39"/>
      <c r="AF15" s="39"/>
      <c r="AG15" s="39"/>
      <c r="AH15" s="39"/>
      <c r="AI15" s="39"/>
      <c r="AJ15" s="39"/>
      <c r="AK15" s="39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0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18"/>
      <c r="BU15" s="18"/>
      <c r="BV15" s="18"/>
      <c r="BW15" s="18"/>
      <c r="BX15" s="18"/>
      <c r="BY15" s="18"/>
      <c r="BZ15" s="19"/>
    </row>
    <row r="16" ht="20" customHeight="1" spans="1:78">
      <c r="A16" s="20"/>
      <c r="B16" s="8"/>
      <c r="C16" s="21" t="s">
        <v>85</v>
      </c>
      <c r="D16" s="22">
        <v>46153</v>
      </c>
      <c r="E16" s="22">
        <v>46157</v>
      </c>
      <c r="F16" s="30"/>
      <c r="G16" s="30"/>
      <c r="H16" s="30"/>
      <c r="I16" s="30"/>
      <c r="J16" s="30"/>
      <c r="K16" s="30"/>
      <c r="L16" s="30"/>
      <c r="M16" s="30"/>
      <c r="N16" s="30"/>
      <c r="O16" s="24"/>
      <c r="P16" s="24"/>
      <c r="Q16" s="24"/>
      <c r="R16" s="40"/>
      <c r="S16" s="40"/>
      <c r="T16" s="40"/>
      <c r="U16" s="31"/>
      <c r="V16" s="31"/>
      <c r="W16" s="31"/>
      <c r="X16" s="31"/>
      <c r="Y16" s="31"/>
      <c r="Z16" s="26"/>
      <c r="AA16" s="26"/>
      <c r="AB16" s="26"/>
      <c r="AC16" s="37"/>
      <c r="AD16" s="39"/>
      <c r="AE16" s="39"/>
      <c r="AF16" s="39"/>
      <c r="AG16" s="39"/>
      <c r="AH16" s="39"/>
      <c r="AI16" s="39"/>
      <c r="AJ16" s="39"/>
      <c r="AK16" s="39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0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18"/>
      <c r="BU16" s="18"/>
      <c r="BV16" s="18"/>
      <c r="BW16" s="18"/>
      <c r="BX16" s="18"/>
      <c r="BY16" s="18"/>
      <c r="BZ16" s="19"/>
    </row>
    <row r="17" ht="20" customHeight="1" spans="1:78">
      <c r="A17" s="20"/>
      <c r="B17" s="8" t="s">
        <v>94</v>
      </c>
      <c r="C17" s="21" t="s">
        <v>84</v>
      </c>
      <c r="D17" s="22">
        <v>46141</v>
      </c>
      <c r="E17" s="22">
        <v>46156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41" t="s">
        <v>95</v>
      </c>
      <c r="U17" s="41"/>
      <c r="V17" s="41"/>
      <c r="W17" s="41"/>
      <c r="X17" s="41"/>
      <c r="Y17" s="41"/>
      <c r="Z17" s="41"/>
      <c r="AA17" s="41"/>
      <c r="AB17" s="30"/>
      <c r="AC17" s="42"/>
      <c r="AD17" s="43" t="s">
        <v>96</v>
      </c>
      <c r="AE17" s="43"/>
      <c r="AF17" s="43"/>
      <c r="AG17" s="43"/>
      <c r="AH17" s="43"/>
      <c r="AI17" s="43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0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18"/>
      <c r="BU17" s="18"/>
      <c r="BV17" s="18"/>
      <c r="BW17" s="18"/>
      <c r="BX17" s="18"/>
      <c r="BY17" s="18"/>
      <c r="BZ17" s="19"/>
    </row>
    <row r="18" ht="20" customHeight="1" spans="1:78">
      <c r="A18" s="20"/>
      <c r="B18" s="8"/>
      <c r="C18" s="21" t="s">
        <v>85</v>
      </c>
      <c r="D18" s="22">
        <v>46138</v>
      </c>
      <c r="E18" s="22">
        <v>46158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26" t="s">
        <v>97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4"/>
      <c r="AD18" s="43"/>
      <c r="AE18" s="43"/>
      <c r="AF18" s="43"/>
      <c r="AG18" s="43"/>
      <c r="AH18" s="43"/>
      <c r="AI18" s="43"/>
      <c r="AJ18" s="29"/>
      <c r="AK18" s="29"/>
      <c r="AL18" s="29"/>
      <c r="AM18" s="27"/>
      <c r="AN18" s="27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18"/>
      <c r="BU18" s="18"/>
      <c r="BV18" s="18"/>
      <c r="BW18" s="18"/>
      <c r="BX18" s="18"/>
      <c r="BY18" s="18"/>
      <c r="BZ18" s="19"/>
    </row>
    <row r="19" ht="20" customHeight="1" spans="1:78">
      <c r="A19" s="44" t="s">
        <v>98</v>
      </c>
      <c r="B19" s="8" t="s">
        <v>99</v>
      </c>
      <c r="C19" s="21" t="s">
        <v>84</v>
      </c>
      <c r="D19" s="22">
        <v>46157</v>
      </c>
      <c r="E19" s="22">
        <v>46177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7"/>
      <c r="AM19" s="27"/>
      <c r="AN19" s="27"/>
      <c r="AO19" s="38" t="s">
        <v>100</v>
      </c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18"/>
      <c r="BU19" s="18"/>
      <c r="BV19" s="18"/>
      <c r="BW19" s="18"/>
      <c r="BX19" s="18"/>
      <c r="BY19" s="18"/>
      <c r="BZ19" s="19"/>
    </row>
    <row r="20" ht="20" customHeight="1" spans="1:78">
      <c r="A20" s="44"/>
      <c r="B20" s="8"/>
      <c r="C20" s="21" t="s">
        <v>85</v>
      </c>
      <c r="D20" s="22">
        <v>46159</v>
      </c>
      <c r="E20" s="22">
        <v>46183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24"/>
      <c r="AA20" s="24"/>
      <c r="AB20" s="24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30"/>
      <c r="BN20" s="30"/>
      <c r="BO20" s="30"/>
      <c r="BP20" s="30"/>
      <c r="BQ20" s="30"/>
      <c r="BR20" s="30"/>
      <c r="BS20" s="30"/>
      <c r="BT20" s="18"/>
      <c r="BU20" s="18"/>
      <c r="BV20" s="18"/>
      <c r="BW20" s="18"/>
      <c r="BX20" s="18"/>
      <c r="BY20" s="18"/>
      <c r="BZ20" s="19"/>
    </row>
    <row r="21" ht="20" customHeight="1" spans="1:78">
      <c r="A21" s="44"/>
      <c r="B21" s="8" t="s">
        <v>101</v>
      </c>
      <c r="C21" s="21" t="s">
        <v>84</v>
      </c>
      <c r="D21" s="22">
        <v>46178</v>
      </c>
      <c r="E21" s="22">
        <v>46193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2"/>
      <c r="AM21" s="32"/>
      <c r="AN21" s="28"/>
      <c r="AO21" s="28"/>
      <c r="AP21" s="28"/>
      <c r="AQ21" s="28"/>
      <c r="AR21" s="28"/>
      <c r="AS21" s="28"/>
      <c r="AT21" s="27"/>
      <c r="AU21" s="27"/>
      <c r="AV21" s="27"/>
      <c r="AW21" s="27"/>
      <c r="AX21" s="30"/>
      <c r="AY21" s="30"/>
      <c r="AZ21" s="30"/>
      <c r="BA21" s="30"/>
      <c r="BB21" s="30"/>
      <c r="BC21" s="45"/>
      <c r="BD21" s="45"/>
      <c r="BE21" s="45"/>
      <c r="BF21" s="45"/>
      <c r="BG21" s="45"/>
      <c r="BH21" s="45"/>
      <c r="BI21" s="45"/>
      <c r="BJ21" s="46" t="s">
        <v>102</v>
      </c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18"/>
      <c r="BZ21" s="19"/>
    </row>
    <row r="22" ht="20" customHeight="1" spans="1:78">
      <c r="A22" s="44"/>
      <c r="B22" s="8"/>
      <c r="C22" s="21" t="s">
        <v>85</v>
      </c>
      <c r="D22" s="22">
        <v>46193</v>
      </c>
      <c r="E22" s="22">
        <v>46227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24"/>
      <c r="AL22" s="24"/>
      <c r="AM22" s="24"/>
      <c r="AN22" s="24"/>
      <c r="AO22" s="24"/>
      <c r="AP22" s="24"/>
      <c r="AQ22" s="24"/>
      <c r="AR22" s="24"/>
      <c r="AS22" s="24"/>
      <c r="AT22" s="26"/>
      <c r="AU22" s="26"/>
      <c r="AV22" s="26"/>
      <c r="AW22" s="26"/>
      <c r="AX22" s="26"/>
      <c r="AY22" s="26"/>
      <c r="AZ22" s="26"/>
      <c r="BA22" s="26"/>
      <c r="BB22" s="26"/>
      <c r="BC22" s="47"/>
      <c r="BD22" s="47"/>
      <c r="BE22" s="47"/>
      <c r="BF22" s="47"/>
      <c r="BG22" s="47"/>
      <c r="BH22" s="47"/>
      <c r="BI22" s="47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18"/>
      <c r="BZ22" s="19"/>
    </row>
    <row r="23" ht="20" customHeight="1" spans="1:78">
      <c r="A23" s="44"/>
      <c r="B23" s="8" t="s">
        <v>103</v>
      </c>
      <c r="C23" s="21" t="s">
        <v>84</v>
      </c>
      <c r="D23" s="22">
        <v>46190</v>
      </c>
      <c r="E23" s="22">
        <v>46199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2"/>
      <c r="AS23" s="32"/>
      <c r="AT23" s="32"/>
      <c r="AU23" s="32"/>
      <c r="AV23" s="32"/>
      <c r="AW23" s="31"/>
      <c r="AX23" s="31"/>
      <c r="AY23" s="17"/>
      <c r="AZ23" s="17"/>
      <c r="BA23" s="17"/>
      <c r="BB23" s="16"/>
      <c r="BC23" s="16"/>
      <c r="BD23" s="16"/>
      <c r="BE23" s="48"/>
      <c r="BF23" s="48"/>
      <c r="BG23" s="48"/>
      <c r="BH23" s="48"/>
      <c r="BI23" s="48"/>
      <c r="BJ23" s="48"/>
      <c r="BK23" s="49"/>
      <c r="BL23" s="49"/>
      <c r="BM23" s="49"/>
      <c r="BN23" s="49"/>
      <c r="BO23" s="50"/>
      <c r="BP23" s="51" t="s">
        <v>104</v>
      </c>
      <c r="BQ23" s="51"/>
      <c r="BR23" s="51"/>
      <c r="BS23" s="51"/>
      <c r="BT23" s="51"/>
      <c r="BU23" s="51"/>
      <c r="BV23" s="51"/>
      <c r="BW23" s="51"/>
      <c r="BX23" s="51"/>
      <c r="BY23" s="51"/>
      <c r="BZ23" s="52"/>
    </row>
    <row r="24" ht="20" customHeight="1" spans="1:78">
      <c r="A24" s="44"/>
      <c r="B24" s="8"/>
      <c r="C24" s="21" t="s">
        <v>85</v>
      </c>
      <c r="D24" s="22">
        <v>46218</v>
      </c>
      <c r="E24" s="22">
        <v>46227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53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2"/>
    </row>
    <row r="25" ht="20" customHeight="1" spans="1:78">
      <c r="A25" s="20" t="s">
        <v>105</v>
      </c>
      <c r="B25" s="8" t="s">
        <v>106</v>
      </c>
      <c r="C25" s="21" t="s">
        <v>84</v>
      </c>
      <c r="D25" s="22">
        <v>46200</v>
      </c>
      <c r="E25" s="22">
        <v>46204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2"/>
      <c r="AX25" s="28"/>
      <c r="AY25" s="54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18"/>
      <c r="BU25" s="18"/>
      <c r="BV25" s="18"/>
      <c r="BW25" s="18"/>
      <c r="BX25" s="18"/>
      <c r="BY25" s="18"/>
      <c r="BZ25" s="19"/>
    </row>
    <row r="26" s="1" customFormat="1" ht="20" customHeight="1" spans="1:78">
      <c r="A26" s="20"/>
      <c r="B26" s="8"/>
      <c r="C26" s="21" t="s">
        <v>85</v>
      </c>
      <c r="D26" s="22">
        <v>46228</v>
      </c>
      <c r="E26" s="22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24"/>
      <c r="AV26" s="24"/>
      <c r="AW26" s="24"/>
      <c r="AX26" s="24"/>
      <c r="AY26" s="24"/>
      <c r="AZ26" s="24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55"/>
      <c r="BQ26" s="55"/>
      <c r="BR26" s="55"/>
      <c r="BS26" s="55"/>
      <c r="BT26" s="56"/>
      <c r="BU26" s="56"/>
      <c r="BV26" s="18"/>
      <c r="BW26" s="18"/>
      <c r="BX26" s="18"/>
      <c r="BY26" s="18"/>
      <c r="BZ26" s="19"/>
    </row>
    <row r="27" ht="20" customHeight="1" spans="1:78">
      <c r="A27" s="57"/>
      <c r="B27" s="58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60"/>
      <c r="AO27" s="61" t="s">
        <v>107</v>
      </c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3"/>
    </row>
    <row r="28" ht="20" customHeight="1" spans="1:78">
      <c r="A28" s="64"/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7"/>
      <c r="AO28" s="68">
        <v>46234</v>
      </c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70"/>
    </row>
  </sheetData>
  <mergeCells count="37">
    <mergeCell ref="A1:BZ1"/>
    <mergeCell ref="F2:BZ2"/>
    <mergeCell ref="F3:T3"/>
    <mergeCell ref="U3:AI3"/>
    <mergeCell ref="AJ3:AX3"/>
    <mergeCell ref="AY3:BM3"/>
    <mergeCell ref="BN3:BZ3"/>
    <mergeCell ref="T17:AA17"/>
    <mergeCell ref="R18:AB18"/>
    <mergeCell ref="AO27:BZ27"/>
    <mergeCell ref="AO28:BZ28"/>
    <mergeCell ref="A2:A4"/>
    <mergeCell ref="A5:A18"/>
    <mergeCell ref="A19:A24"/>
    <mergeCell ref="A25:A26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2:C4"/>
    <mergeCell ref="D2:D4"/>
    <mergeCell ref="E2:E4"/>
    <mergeCell ref="R11:Y12"/>
    <mergeCell ref="T13:AA14"/>
    <mergeCell ref="AO19:BB20"/>
    <mergeCell ref="AD15:AK16"/>
    <mergeCell ref="BJ21:BX22"/>
    <mergeCell ref="BP23:BZ24"/>
    <mergeCell ref="B27:AN28"/>
  </mergeCells>
  <pageMargins left="0.25" right="0.25" top="0.75" bottom="0.75" header="0.298611111111111" footer="0.298611111111111"/>
  <pageSetup paperSize="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施工进度计划与实际进度对比表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WPS_1646106785</cp:lastModifiedBy>
  <dcterms:created xsi:type="dcterms:W3CDTF">2025-09-30T02:34:00Z</dcterms:created>
  <dcterms:modified xsi:type="dcterms:W3CDTF">2026-08-03T10:34:10Z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0C12BC7DFA9C48D99E2FF862A4B0797F_13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