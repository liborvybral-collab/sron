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项目施工月度报表" sheetId="1" r:id="rId1"/>
    <sheet name="施工进度计划（调整后）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H1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<sst xmlns="http://schemas.openxmlformats.org/spreadsheetml/2006/main" count="128" uniqueCount="102">
  <si>
    <r>
      <rPr>
        <b/>
        <sz val="20"/>
        <rFont val="宋体"/>
        <charset val="134"/>
      </rPr>
      <t>项目业财融合施工2026年</t>
    </r>
    <r>
      <rPr>
        <b/>
        <sz val="20"/>
        <color rgb="FFFF0000"/>
        <rFont val="宋体"/>
        <charset val="134"/>
      </rPr>
      <t>（7）</t>
    </r>
    <r>
      <rPr>
        <b/>
        <sz val="20"/>
        <rFont val="宋体"/>
        <charset val="134"/>
      </rPr>
      <t>月度报表</t>
    </r>
  </si>
  <si>
    <t>项目名称：北方稀土(包头)料仓及计量输送系统项目</t>
  </si>
  <si>
    <t>项目地址：内蒙古包头市昆都仑区</t>
  </si>
  <si>
    <t>项目经理：李鲲鹏</t>
  </si>
  <si>
    <t>计划开工日期：2026年6月17日
实际开工日期：2026年7月1日</t>
  </si>
  <si>
    <t>计划完工时间：2026年8月5日</t>
  </si>
  <si>
    <t>报表截止时间: 2026年7月31日</t>
  </si>
  <si>
    <t>一、项目施工目标</t>
  </si>
  <si>
    <t>目标分项名称</t>
  </si>
  <si>
    <t>目标值</t>
  </si>
  <si>
    <t>备注</t>
  </si>
  <si>
    <t>施工总成本目标（万元）</t>
  </si>
  <si>
    <t>49万元</t>
  </si>
  <si>
    <t>分项成本目标见附表1安装施工成本预算</t>
  </si>
  <si>
    <t>施工总进度目标</t>
  </si>
  <si>
    <t>总工期50天</t>
  </si>
  <si>
    <t>项目节点进度目标见附表2施工总进度计划</t>
  </si>
  <si>
    <t>施工质量目标</t>
  </si>
  <si>
    <t>竣工验收合格、领取竣工验收报告</t>
  </si>
  <si>
    <t>施工安全目标</t>
  </si>
  <si>
    <t>零死亡、零重伤，轻伤事故频率≤1‰</t>
  </si>
  <si>
    <t>二、施工进度</t>
  </si>
  <si>
    <t>分项名称</t>
  </si>
  <si>
    <t>计划分项完成时
 （天）</t>
  </si>
  <si>
    <t>预算分项综合成本
（万元）</t>
  </si>
  <si>
    <t>当月实际形象进度
(%)</t>
  </si>
  <si>
    <t>当月实际完成产值
（万元）</t>
  </si>
  <si>
    <t>累计实际形象进度
(%)</t>
  </si>
  <si>
    <t>累计实际完成产值
（万元）</t>
  </si>
  <si>
    <t>当月计划完成产值
（万元）</t>
  </si>
  <si>
    <t>当月实际完成率
(%)</t>
  </si>
  <si>
    <t>累计计划完成产值
（万元）</t>
  </si>
  <si>
    <t>累计实际完成率
(%)</t>
  </si>
  <si>
    <t>项目交付剩余时间
（天）</t>
  </si>
  <si>
    <t>钢板仓、钢结构、设备、电控系统部分施工</t>
  </si>
  <si>
    <t>其他部分</t>
  </si>
  <si>
    <t>合计</t>
  </si>
  <si>
    <t>三、施工成本</t>
  </si>
  <si>
    <t>预算分项成本
（万元）</t>
  </si>
  <si>
    <t>当月实际支出金额
（万元）</t>
  </si>
  <si>
    <t>当月实际支出/当月完成产值
(%)</t>
  </si>
  <si>
    <t>累计实际支出金额
（万元）</t>
  </si>
  <si>
    <t>累计实际支出/累计实际完成产值
（%）</t>
  </si>
  <si>
    <t>累计实际支出/预算分项成本
（%）</t>
  </si>
  <si>
    <t>备注情况说明</t>
  </si>
  <si>
    <t>钢板仓、钢结构、设备、电控系统部分费用合计</t>
  </si>
  <si>
    <t>总施工成本（合计）</t>
  </si>
  <si>
    <t>四、施工质量</t>
  </si>
  <si>
    <t>进场材料抽检覆盖率</t>
  </si>
  <si>
    <t>材料构件设备进场保管</t>
  </si>
  <si>
    <t>检验批质量合格率</t>
  </si>
  <si>
    <t>质量检验批验收资料</t>
  </si>
  <si>
    <t>施工质量问题检查和整改</t>
  </si>
  <si>
    <t>钢板仓、钢结构、设备、电控系统部分</t>
  </si>
  <si>
    <t>材料现场存放</t>
  </si>
  <si>
    <t>与施工同步</t>
  </si>
  <si>
    <t>现场构件除锈不彻底刷环氧富锌底漆露底、流坠的问题已整改。</t>
  </si>
  <si>
    <t>五、施工安全</t>
  </si>
  <si>
    <t>人员进场三级安全教育技术交底</t>
  </si>
  <si>
    <t>每月施工安全早班会次数</t>
  </si>
  <si>
    <t>每月施工施工安全检查次数（书面备案）</t>
  </si>
  <si>
    <t>劳动防护用品正确佩戴率</t>
  </si>
  <si>
    <t>安全隐患排查和问题整改</t>
  </si>
  <si>
    <t>已进行安全教育</t>
  </si>
  <si>
    <t>每天一次</t>
  </si>
  <si>
    <t>每周检查一次</t>
  </si>
  <si>
    <t>安全问题已悉数整改</t>
  </si>
  <si>
    <t>设备调试及验收</t>
  </si>
  <si>
    <r>
      <rPr>
        <sz val="10"/>
        <color theme="1"/>
        <rFont val="微软雅黑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FF0000"/>
        <rFont val="微软雅黑"/>
        <charset val="134"/>
      </rPr>
      <t xml:space="preserve"> 河南实荣筒仓工程有限公司工程部 
                                                                                                                                                                                                                                                                                                                           项目经理：李鲲鹏                                                                                                                                                                                                                                                                    
                                                                                                                                                                                                                                                                                                                                2026/7/31</t>
    </r>
  </si>
  <si>
    <t>北方稀土(包头)料仓及计量输送系统项目施工进度计划与实际进度计划对比</t>
  </si>
  <si>
    <t xml:space="preserve">
工程阶段</t>
  </si>
  <si>
    <t xml:space="preserve">                                       时间    
  分项名称</t>
  </si>
  <si>
    <t xml:space="preserve">
开始时间</t>
  </si>
  <si>
    <t xml:space="preserve">
完成时间</t>
  </si>
  <si>
    <t>持续时间
（天）</t>
  </si>
  <si>
    <t>7月份</t>
  </si>
  <si>
    <t>8月份</t>
  </si>
  <si>
    <t>两座焊接钢板仓
施工安装</t>
  </si>
  <si>
    <t>安装前准备工作</t>
  </si>
  <si>
    <t>计划</t>
  </si>
  <si>
    <t>备注：按计划完成。</t>
  </si>
  <si>
    <t>实际</t>
  </si>
  <si>
    <t>焊接钢板仓现场下料加工预制</t>
  </si>
  <si>
    <t>备注：因下雨及国家暗访组私下突击检查未施工天数共计3.5天，施工队人员过少导致进度上不去，已多次约谈，并下通知单和罚款单进行督促，同时也在共同想办法增加施工人员。</t>
  </si>
  <si>
    <t>焊接钢板仓支撑柱制作安装</t>
  </si>
  <si>
    <t>备注：期间因总包预埋件问题未及时施工，目前已开始安装，因分包人员过少暂停，</t>
  </si>
  <si>
    <t>焊接钢板仓椎体环梁制作安装</t>
  </si>
  <si>
    <t>备注：目前锥体环梁制作完成，待支撑柱安装完成后安装，预计8月2日左右安装</t>
  </si>
  <si>
    <t>焊接钢板仓仓体吊装及附属工作</t>
  </si>
  <si>
    <t>备注：考虑到现场情况及人员情况预计8月5日开始吊装</t>
  </si>
  <si>
    <t>钢结构设备
施工安装</t>
  </si>
  <si>
    <t>仓附属钢结构制作安装</t>
  </si>
  <si>
    <t>备注：目前正在制作中，已督促分包上人，预计会延后两天。</t>
  </si>
  <si>
    <t>配套设备、管道、安装</t>
  </si>
  <si>
    <t>备注：预计8月6日开始安装</t>
  </si>
  <si>
    <t>电气系统安装</t>
  </si>
  <si>
    <t>单机调试联合试运转</t>
  </si>
  <si>
    <t>待料运行（陪产）</t>
  </si>
  <si>
    <t>竣工移交</t>
  </si>
  <si>
    <t>调试和施工验收</t>
  </si>
  <si>
    <t>河南实荣筒仓工程有限公司工程部：李鲲鹏</t>
  </si>
  <si>
    <t>备注：期间因总包预埋件问题未及时施工。   备注：考虑到现场情况及人员情况预计8月5日开始吊装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</si>
</sst>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2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等线"/>
      <charset val="134"/>
    </font>
    <font>
      <sz val="9"/>
      <name val="等线"/>
      <charset val="134"/>
    </font>
    <font>
      <sz val="10"/>
      <name val="等线"/>
      <charset val="134"/>
    </font>
    <font>
      <sz val="9"/>
      <color rgb="FFFF0000"/>
      <name val="等线"/>
      <charset val="134"/>
    </font>
    <font>
      <sz val="10"/>
      <color rgb="FFFF0000"/>
      <name val="等线"/>
      <charset val="134"/>
    </font>
    <font>
      <sz val="12"/>
      <name val="宋体"/>
      <charset val="134"/>
    </font>
    <font>
      <sz val="10"/>
      <color theme="9" tint="0.599993896298105"/>
      <name val="等线"/>
      <charset val="134"/>
    </font>
    <font>
      <b/>
      <sz val="2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4"/>
      <name val="微软雅黑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9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rgb="FFFF0000"/>
      <name val="宋体"/>
      <charset val="134"/>
    </font>
    <font>
      <sz val="10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2" borderId="3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3" borderId="41" applyNumberFormat="0" applyAlignment="0" applyProtection="0">
      <alignment vertical="center"/>
    </xf>
    <xf numFmtId="0" fontId="28" fillId="14" borderId="42" applyNumberFormat="0" applyAlignment="0" applyProtection="0">
      <alignment vertical="center"/>
    </xf>
    <xf numFmtId="0" fontId="29" fillId="14" borderId="41" applyNumberFormat="0" applyAlignment="0" applyProtection="0">
      <alignment vertical="center"/>
    </xf>
    <xf numFmtId="0" fontId="30" fillId="15" borderId="43" applyNumberFormat="0" applyAlignment="0" applyProtection="0">
      <alignment vertical="center"/>
    </xf>
    <xf numFmtId="0" fontId="31" fillId="0" borderId="44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</cellStyleXfs>
  <cellXfs count="24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57" fontId="2" fillId="2" borderId="7" xfId="0" applyNumberFormat="1" applyFont="1" applyFill="1" applyBorder="1" applyAlignment="1">
      <alignment horizontal="center" vertical="center" wrapText="1"/>
    </xf>
    <xf numFmtId="57" fontId="2" fillId="2" borderId="5" xfId="0" applyNumberFormat="1" applyFont="1" applyFill="1" applyBorder="1" applyAlignment="1">
      <alignment horizontal="center" vertical="center"/>
    </xf>
    <xf numFmtId="57" fontId="2" fillId="2" borderId="8" xfId="0" applyNumberFormat="1" applyFont="1" applyFill="1" applyBorder="1" applyAlignment="1">
      <alignment horizontal="center" vertical="center"/>
    </xf>
    <xf numFmtId="57" fontId="2" fillId="2" borderId="9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57" fontId="2" fillId="2" borderId="12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14" fontId="4" fillId="0" borderId="7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7" fillId="0" borderId="18" xfId="0" applyFont="1" applyFill="1" applyBorder="1" applyAlignment="1">
      <alignment vertical="center"/>
    </xf>
    <xf numFmtId="0" fontId="2" fillId="0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23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2" fillId="0" borderId="2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5" borderId="18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6" fillId="4" borderId="16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6" fillId="4" borderId="8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6" fillId="4" borderId="16" xfId="0" applyFont="1" applyFill="1" applyBorder="1" applyAlignment="1">
      <alignment horizontal="left" vertical="center" wrapText="1"/>
    </xf>
    <xf numFmtId="0" fontId="6" fillId="4" borderId="23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25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8" fillId="6" borderId="7" xfId="0" applyFont="1" applyFill="1" applyBorder="1" applyAlignment="1">
      <alignment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0" borderId="27" xfId="0" applyFont="1" applyFill="1" applyBorder="1" applyAlignment="1">
      <alignment vertical="center"/>
    </xf>
    <xf numFmtId="0" fontId="7" fillId="0" borderId="27" xfId="0" applyFont="1" applyFill="1" applyBorder="1" applyAlignment="1">
      <alignment vertical="center"/>
    </xf>
    <xf numFmtId="0" fontId="7" fillId="0" borderId="28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14" fontId="7" fillId="0" borderId="29" xfId="0" applyNumberFormat="1" applyFont="1" applyFill="1" applyBorder="1" applyAlignment="1">
      <alignment horizontal="center" vertical="center"/>
    </xf>
    <xf numFmtId="14" fontId="7" fillId="0" borderId="30" xfId="0" applyNumberFormat="1" applyFont="1" applyFill="1" applyBorder="1" applyAlignment="1">
      <alignment horizontal="center" vertical="center"/>
    </xf>
    <xf numFmtId="14" fontId="7" fillId="0" borderId="3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/>
    </xf>
    <xf numFmtId="0" fontId="14" fillId="7" borderId="12" xfId="0" applyFont="1" applyFill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176" fontId="15" fillId="6" borderId="7" xfId="0" applyNumberFormat="1" applyFont="1" applyFill="1" applyBorder="1" applyAlignment="1">
      <alignment horizontal="center" vertical="center" wrapText="1"/>
    </xf>
    <xf numFmtId="10" fontId="16" fillId="6" borderId="7" xfId="0" applyNumberFormat="1" applyFont="1" applyFill="1" applyBorder="1" applyAlignment="1" applyProtection="1">
      <alignment horizontal="center" vertical="center"/>
    </xf>
    <xf numFmtId="4" fontId="15" fillId="6" borderId="7" xfId="0" applyNumberFormat="1" applyFont="1" applyFill="1" applyBorder="1" applyAlignment="1">
      <alignment horizontal="center" vertical="center"/>
    </xf>
    <xf numFmtId="10" fontId="16" fillId="6" borderId="7" xfId="0" applyNumberFormat="1" applyFont="1" applyFill="1" applyBorder="1" applyAlignment="1">
      <alignment horizontal="center" vertical="center"/>
    </xf>
    <xf numFmtId="4" fontId="16" fillId="6" borderId="7" xfId="0" applyNumberFormat="1" applyFont="1" applyFill="1" applyBorder="1" applyAlignment="1">
      <alignment horizontal="center" vertical="center"/>
    </xf>
    <xf numFmtId="10" fontId="15" fillId="5" borderId="7" xfId="0" applyNumberFormat="1" applyFont="1" applyFill="1" applyBorder="1" applyAlignment="1">
      <alignment horizontal="center" vertical="center"/>
    </xf>
    <xf numFmtId="176" fontId="16" fillId="6" borderId="12" xfId="0" applyNumberFormat="1" applyFont="1" applyFill="1" applyBorder="1" applyAlignment="1">
      <alignment horizontal="center"/>
    </xf>
    <xf numFmtId="9" fontId="15" fillId="5" borderId="12" xfId="3" applyFont="1" applyFill="1" applyBorder="1" applyAlignment="1">
      <alignment horizontal="center"/>
    </xf>
    <xf numFmtId="0" fontId="16" fillId="6" borderId="18" xfId="0" applyFont="1" applyFill="1" applyBorder="1" applyAlignment="1">
      <alignment horizontal="center" vertical="center"/>
    </xf>
    <xf numFmtId="10" fontId="16" fillId="6" borderId="7" xfId="3" applyNumberFormat="1" applyFont="1" applyFill="1" applyBorder="1" applyAlignment="1" applyProtection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176" fontId="13" fillId="6" borderId="7" xfId="0" applyNumberFormat="1" applyFont="1" applyFill="1" applyBorder="1" applyAlignment="1">
      <alignment horizontal="center" vertical="center"/>
    </xf>
    <xf numFmtId="10" fontId="13" fillId="6" borderId="7" xfId="3" applyNumberFormat="1" applyFont="1" applyFill="1" applyBorder="1" applyAlignment="1">
      <alignment horizontal="center" vertical="center"/>
    </xf>
    <xf numFmtId="10" fontId="15" fillId="6" borderId="7" xfId="0" applyNumberFormat="1" applyFont="1" applyFill="1" applyBorder="1" applyAlignment="1" applyProtection="1">
      <alignment horizontal="center" vertical="center"/>
    </xf>
    <xf numFmtId="176" fontId="14" fillId="6" borderId="12" xfId="0" applyNumberFormat="1" applyFont="1" applyFill="1" applyBorder="1" applyAlignment="1">
      <alignment horizontal="center"/>
    </xf>
    <xf numFmtId="0" fontId="12" fillId="8" borderId="4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176" fontId="15" fillId="8" borderId="7" xfId="0" applyNumberFormat="1" applyFont="1" applyFill="1" applyBorder="1" applyAlignment="1">
      <alignment horizontal="center" vertical="center" wrapText="1"/>
    </xf>
    <xf numFmtId="4" fontId="16" fillId="8" borderId="7" xfId="0" applyNumberFormat="1" applyFont="1" applyFill="1" applyBorder="1" applyAlignment="1">
      <alignment horizontal="center" vertical="center"/>
    </xf>
    <xf numFmtId="10" fontId="15" fillId="9" borderId="7" xfId="0" applyNumberFormat="1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8" borderId="33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/>
    </xf>
    <xf numFmtId="176" fontId="15" fillId="8" borderId="12" xfId="0" applyNumberFormat="1" applyFont="1" applyFill="1" applyBorder="1" applyAlignment="1">
      <alignment horizontal="center" vertical="center" wrapText="1"/>
    </xf>
    <xf numFmtId="176" fontId="15" fillId="8" borderId="34" xfId="0" applyNumberFormat="1" applyFont="1" applyFill="1" applyBorder="1" applyAlignment="1">
      <alignment horizontal="center" vertical="center" wrapText="1"/>
    </xf>
    <xf numFmtId="4" fontId="15" fillId="8" borderId="7" xfId="0" applyNumberFormat="1" applyFont="1" applyFill="1" applyBorder="1" applyAlignment="1">
      <alignment horizontal="center" vertical="center"/>
    </xf>
    <xf numFmtId="0" fontId="15" fillId="8" borderId="7" xfId="0" applyNumberFormat="1" applyFont="1" applyFill="1" applyBorder="1" applyAlignment="1">
      <alignment horizontal="center" vertical="center"/>
    </xf>
    <xf numFmtId="0" fontId="15" fillId="8" borderId="16" xfId="0" applyFont="1" applyFill="1" applyBorder="1" applyAlignment="1">
      <alignment horizontal="center" vertical="center"/>
    </xf>
    <xf numFmtId="0" fontId="15" fillId="8" borderId="23" xfId="0" applyFont="1" applyFill="1" applyBorder="1" applyAlignment="1">
      <alignment horizontal="center" vertical="center"/>
    </xf>
    <xf numFmtId="0" fontId="15" fillId="8" borderId="2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0" fontId="13" fillId="10" borderId="34" xfId="0" applyFont="1" applyFill="1" applyBorder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0" fontId="15" fillId="10" borderId="34" xfId="0" applyFont="1" applyFill="1" applyBorder="1" applyAlignment="1">
      <alignment horizontal="center" vertical="center"/>
    </xf>
    <xf numFmtId="0" fontId="15" fillId="10" borderId="35" xfId="0" applyFont="1" applyFill="1" applyBorder="1" applyAlignment="1">
      <alignment horizontal="center" vertical="center"/>
    </xf>
    <xf numFmtId="0" fontId="15" fillId="10" borderId="36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 wrapText="1"/>
    </xf>
    <xf numFmtId="9" fontId="13" fillId="10" borderId="12" xfId="0" applyNumberFormat="1" applyFont="1" applyFill="1" applyBorder="1" applyAlignment="1">
      <alignment horizontal="center" vertical="center"/>
    </xf>
    <xf numFmtId="9" fontId="15" fillId="10" borderId="12" xfId="0" applyNumberFormat="1" applyFont="1" applyFill="1" applyBorder="1" applyAlignment="1">
      <alignment horizontal="center" vertical="center"/>
    </xf>
    <xf numFmtId="0" fontId="15" fillId="10" borderId="12" xfId="0" applyFont="1" applyFill="1" applyBorder="1" applyAlignment="1">
      <alignment horizontal="center" vertical="center" wrapText="1"/>
    </xf>
    <xf numFmtId="0" fontId="15" fillId="10" borderId="35" xfId="0" applyFont="1" applyFill="1" applyBorder="1" applyAlignment="1">
      <alignment horizontal="center" vertical="center" wrapText="1"/>
    </xf>
    <xf numFmtId="0" fontId="15" fillId="10" borderId="36" xfId="0" applyFont="1" applyFill="1" applyBorder="1" applyAlignment="1">
      <alignment horizontal="center" vertical="center" wrapText="1"/>
    </xf>
    <xf numFmtId="0" fontId="15" fillId="10" borderId="12" xfId="0" applyFont="1" applyFill="1" applyBorder="1" applyAlignment="1">
      <alignment horizontal="left" vertical="center" wrapText="1"/>
    </xf>
    <xf numFmtId="0" fontId="15" fillId="10" borderId="35" xfId="0" applyFont="1" applyFill="1" applyBorder="1" applyAlignment="1">
      <alignment horizontal="left" vertical="center" wrapText="1"/>
    </xf>
    <xf numFmtId="0" fontId="15" fillId="10" borderId="36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2" fillId="11" borderId="18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1" borderId="12" xfId="0" applyFont="1" applyFill="1" applyBorder="1" applyAlignment="1">
      <alignment horizontal="center"/>
    </xf>
    <xf numFmtId="0" fontId="18" fillId="11" borderId="34" xfId="0" applyFont="1" applyFill="1" applyBorder="1" applyAlignment="1">
      <alignment horizontal="center"/>
    </xf>
    <xf numFmtId="0" fontId="18" fillId="11" borderId="35" xfId="0" applyFont="1" applyFill="1" applyBorder="1" applyAlignment="1">
      <alignment horizontal="center"/>
    </xf>
    <xf numFmtId="0" fontId="18" fillId="11" borderId="36" xfId="0" applyFont="1" applyFill="1" applyBorder="1" applyAlignment="1">
      <alignment horizontal="center"/>
    </xf>
    <xf numFmtId="0" fontId="15" fillId="11" borderId="4" xfId="0" applyFont="1" applyFill="1" applyBorder="1" applyAlignment="1">
      <alignment horizontal="center" vertical="center" wrapText="1"/>
    </xf>
    <xf numFmtId="9" fontId="18" fillId="11" borderId="12" xfId="0" applyNumberFormat="1" applyFont="1" applyFill="1" applyBorder="1" applyAlignment="1">
      <alignment horizontal="center"/>
    </xf>
    <xf numFmtId="31" fontId="18" fillId="0" borderId="37" xfId="0" applyNumberFormat="1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1</xdr:row>
      <xdr:rowOff>8890</xdr:rowOff>
    </xdr:from>
    <xdr:to>
      <xdr:col>3</xdr:col>
      <xdr:colOff>0</xdr:colOff>
      <xdr:row>3</xdr:row>
      <xdr:rowOff>304800</xdr:rowOff>
    </xdr:to>
    <xdr:cxnSp>
      <xdr:nvCxnSpPr>
        <xdr:cNvPr id="2" name="直接连接符 2"/>
        <xdr:cNvCxnSpPr/>
      </xdr:nvCxnSpPr>
      <xdr:spPr>
        <a:xfrm>
          <a:off x="933450" y="516890"/>
          <a:ext cx="2648585" cy="930910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zoomScale="70" zoomScaleNormal="70" workbookViewId="0">
      <selection activeCell="F23" sqref="F23:G23"/>
    </sheetView>
  </sheetViews>
  <sheetFormatPr defaultColWidth="9.12962962962963" defaultRowHeight="15" customHeight="1"/>
  <cols>
    <col min="1" max="1" width="36.6666666666667" customWidth="1"/>
    <col min="2" max="2" width="16.3888888888889" customWidth="1"/>
    <col min="3" max="3" width="15.6944444444444" customWidth="1"/>
    <col min="4" max="4" width="16.6666666666667" customWidth="1"/>
    <col min="5" max="5" width="24.8611111111111" customWidth="1"/>
    <col min="6" max="6" width="18.75" customWidth="1"/>
    <col min="7" max="7" width="28.5740740740741" customWidth="1"/>
    <col min="8" max="8" width="26.0185185185185" customWidth="1"/>
    <col min="9" max="10" width="15.7777777777778" customWidth="1"/>
    <col min="11" max="11" width="18.4722222222222" customWidth="1"/>
    <col min="12" max="12" width="17.7777777777778" customWidth="1"/>
    <col min="14" max="14" width="12.8888888888889"/>
  </cols>
  <sheetData>
    <row r="1" ht="30" customHeight="1" spans="1:12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1"/>
      <c r="L1" s="132"/>
    </row>
    <row r="2" ht="22" customHeight="1" spans="1:12">
      <c r="A2" s="133" t="s">
        <v>1</v>
      </c>
      <c r="B2" s="134"/>
      <c r="C2" s="134"/>
      <c r="D2" s="134"/>
      <c r="E2" s="134" t="s">
        <v>2</v>
      </c>
      <c r="F2" s="134"/>
      <c r="G2" s="134"/>
      <c r="H2" s="134" t="s">
        <v>3</v>
      </c>
      <c r="I2" s="134"/>
      <c r="J2" s="134"/>
      <c r="K2" s="135"/>
      <c r="L2" s="136"/>
    </row>
    <row r="3" ht="31" customHeight="1" spans="1:12">
      <c r="A3" s="137" t="s">
        <v>4</v>
      </c>
      <c r="B3" s="134"/>
      <c r="C3" s="134"/>
      <c r="D3" s="134"/>
      <c r="E3" s="138" t="s">
        <v>5</v>
      </c>
      <c r="F3" s="139"/>
      <c r="G3" s="139"/>
      <c r="H3" s="140" t="s">
        <v>6</v>
      </c>
      <c r="I3" s="141"/>
      <c r="J3" s="141"/>
      <c r="K3" s="141"/>
      <c r="L3" s="142"/>
    </row>
    <row r="4" ht="18" customHeight="1" spans="1:12">
      <c r="A4" s="143" t="s">
        <v>7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</row>
    <row r="5" ht="18" customHeight="1" spans="1:12">
      <c r="A5" s="147" t="s">
        <v>8</v>
      </c>
      <c r="B5" s="148"/>
      <c r="C5" s="148"/>
      <c r="D5" s="148"/>
      <c r="E5" s="149" t="s">
        <v>9</v>
      </c>
      <c r="F5" s="149"/>
      <c r="G5" s="149"/>
      <c r="H5" s="149" t="s">
        <v>10</v>
      </c>
      <c r="I5" s="149"/>
      <c r="J5" s="149"/>
      <c r="K5" s="150"/>
      <c r="L5" s="151"/>
    </row>
    <row r="6" ht="18" customHeight="1" spans="1:12">
      <c r="A6" s="152" t="s">
        <v>11</v>
      </c>
      <c r="B6" s="153"/>
      <c r="C6" s="153"/>
      <c r="D6" s="153"/>
      <c r="E6" s="154" t="s">
        <v>12</v>
      </c>
      <c r="F6" s="154"/>
      <c r="G6" s="154"/>
      <c r="H6" s="149" t="s">
        <v>13</v>
      </c>
      <c r="I6" s="149"/>
      <c r="J6" s="149"/>
      <c r="K6" s="150"/>
      <c r="L6" s="151"/>
    </row>
    <row r="7" ht="18" customHeight="1" spans="1:12">
      <c r="A7" s="152" t="s">
        <v>14</v>
      </c>
      <c r="B7" s="153"/>
      <c r="C7" s="153"/>
      <c r="D7" s="153"/>
      <c r="E7" s="154" t="s">
        <v>15</v>
      </c>
      <c r="F7" s="154"/>
      <c r="G7" s="154"/>
      <c r="H7" s="149" t="s">
        <v>16</v>
      </c>
      <c r="I7" s="149"/>
      <c r="J7" s="149"/>
      <c r="K7" s="150"/>
      <c r="L7" s="151"/>
    </row>
    <row r="8" ht="18" customHeight="1" spans="1:12">
      <c r="A8" s="152" t="s">
        <v>17</v>
      </c>
      <c r="B8" s="153"/>
      <c r="C8" s="153"/>
      <c r="D8" s="153"/>
      <c r="E8" s="154" t="s">
        <v>18</v>
      </c>
      <c r="F8" s="154"/>
      <c r="G8" s="154"/>
      <c r="H8" s="149"/>
      <c r="I8" s="149"/>
      <c r="J8" s="149"/>
      <c r="K8" s="150"/>
      <c r="L8" s="151"/>
    </row>
    <row r="9" ht="18" customHeight="1" spans="1:12">
      <c r="A9" s="152" t="s">
        <v>19</v>
      </c>
      <c r="B9" s="153"/>
      <c r="C9" s="153"/>
      <c r="D9" s="153"/>
      <c r="E9" s="154" t="s">
        <v>20</v>
      </c>
      <c r="F9" s="154"/>
      <c r="G9" s="154"/>
      <c r="H9" s="149"/>
      <c r="I9" s="149"/>
      <c r="J9" s="149"/>
      <c r="K9" s="150"/>
      <c r="L9" s="151"/>
    </row>
    <row r="10" ht="18" customHeight="1" spans="1:12">
      <c r="A10" s="155" t="s">
        <v>21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7"/>
      <c r="L10" s="158"/>
    </row>
    <row r="11" ht="59" customHeight="1" spans="1:12">
      <c r="A11" s="159" t="s">
        <v>22</v>
      </c>
      <c r="B11" s="160" t="s">
        <v>23</v>
      </c>
      <c r="C11" s="160" t="s">
        <v>24</v>
      </c>
      <c r="D11" s="160" t="s">
        <v>25</v>
      </c>
      <c r="E11" s="160" t="s">
        <v>26</v>
      </c>
      <c r="F11" s="160" t="s">
        <v>27</v>
      </c>
      <c r="G11" s="160" t="s">
        <v>28</v>
      </c>
      <c r="H11" s="160" t="s">
        <v>29</v>
      </c>
      <c r="I11" s="161" t="s">
        <v>30</v>
      </c>
      <c r="J11" s="162" t="s">
        <v>31</v>
      </c>
      <c r="K11" s="163" t="s">
        <v>32</v>
      </c>
      <c r="L11" s="164" t="s">
        <v>33</v>
      </c>
    </row>
    <row r="12" ht="18" customHeight="1" spans="1:12">
      <c r="A12" s="165" t="s">
        <v>34</v>
      </c>
      <c r="B12" s="166">
        <v>50</v>
      </c>
      <c r="C12" s="167">
        <v>38.5</v>
      </c>
      <c r="D12" s="168">
        <v>0.45</v>
      </c>
      <c r="E12" s="169">
        <f>C12*D12</f>
        <v>17.325</v>
      </c>
      <c r="F12" s="170">
        <v>0.45</v>
      </c>
      <c r="G12" s="169">
        <f>C12*F12</f>
        <v>17.325</v>
      </c>
      <c r="H12" s="171">
        <f>C12/B12*31</f>
        <v>23.87</v>
      </c>
      <c r="I12" s="172">
        <f>E12/H12</f>
        <v>0.725806451612903</v>
      </c>
      <c r="J12" s="173">
        <f>C12/B12*31</f>
        <v>23.87</v>
      </c>
      <c r="K12" s="174">
        <f>G12/J12</f>
        <v>0.725806451612903</v>
      </c>
      <c r="L12" s="175">
        <v>19</v>
      </c>
    </row>
    <row r="13" ht="18" customHeight="1" spans="1:12">
      <c r="A13" s="165" t="s">
        <v>35</v>
      </c>
      <c r="B13" s="166">
        <v>50</v>
      </c>
      <c r="C13" s="167">
        <v>10.5</v>
      </c>
      <c r="D13" s="176">
        <v>0.45</v>
      </c>
      <c r="E13" s="169">
        <f>C13*D13</f>
        <v>4.725</v>
      </c>
      <c r="F13" s="168">
        <v>0.45</v>
      </c>
      <c r="G13" s="169">
        <f>C13*F13</f>
        <v>4.725</v>
      </c>
      <c r="H13" s="171">
        <f>C13/B13*31</f>
        <v>6.51</v>
      </c>
      <c r="I13" s="172">
        <f>E13/H13</f>
        <v>0.725806451612903</v>
      </c>
      <c r="J13" s="173">
        <f>C13/B13*31</f>
        <v>6.51</v>
      </c>
      <c r="K13" s="174">
        <f>G13/J13</f>
        <v>0.725806451612903</v>
      </c>
      <c r="L13" s="175">
        <v>19</v>
      </c>
    </row>
    <row r="14" ht="18" customHeight="1" spans="1:12">
      <c r="A14" s="159" t="s">
        <v>36</v>
      </c>
      <c r="B14" s="177">
        <v>50</v>
      </c>
      <c r="C14" s="178">
        <f>SUM(C12:C13)</f>
        <v>49</v>
      </c>
      <c r="D14" s="179">
        <f>E14/C14</f>
        <v>0.45</v>
      </c>
      <c r="E14" s="169">
        <f>SUM(E12:E13)</f>
        <v>22.05</v>
      </c>
      <c r="F14" s="180">
        <f>G14/C14</f>
        <v>0.45</v>
      </c>
      <c r="G14" s="169">
        <f>SUM(G12:G13)</f>
        <v>22.05</v>
      </c>
      <c r="H14" s="169">
        <f>SUM(H12:H13)</f>
        <v>30.38</v>
      </c>
      <c r="I14" s="172">
        <f>E14/H14</f>
        <v>0.725806451612903</v>
      </c>
      <c r="J14" s="181">
        <f>SUM(J12:J13)</f>
        <v>30.38</v>
      </c>
      <c r="K14" s="174">
        <f>G14/J14</f>
        <v>0.725806451612903</v>
      </c>
      <c r="L14" s="175">
        <v>19</v>
      </c>
    </row>
    <row r="15" ht="18" customHeight="1" spans="1:12">
      <c r="A15" s="182" t="s">
        <v>37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4"/>
      <c r="L15" s="185"/>
    </row>
    <row r="16" ht="41" customHeight="1" spans="1:12">
      <c r="A16" s="186" t="s">
        <v>22</v>
      </c>
      <c r="B16" s="187" t="s">
        <v>38</v>
      </c>
      <c r="C16" s="188"/>
      <c r="D16" s="187" t="s">
        <v>39</v>
      </c>
      <c r="E16" s="161" t="s">
        <v>40</v>
      </c>
      <c r="F16" s="187" t="s">
        <v>41</v>
      </c>
      <c r="G16" s="161" t="s">
        <v>42</v>
      </c>
      <c r="H16" s="189" t="s">
        <v>43</v>
      </c>
      <c r="I16" s="190" t="s">
        <v>44</v>
      </c>
      <c r="J16" s="190"/>
      <c r="K16" s="191"/>
      <c r="L16" s="192"/>
    </row>
    <row r="17" ht="18" customHeight="1" spans="1:12">
      <c r="A17" s="193" t="s">
        <v>45</v>
      </c>
      <c r="B17" s="194">
        <v>38.5</v>
      </c>
      <c r="C17" s="194"/>
      <c r="D17" s="195">
        <v>9.625</v>
      </c>
      <c r="E17" s="172">
        <f>D17/E12</f>
        <v>0.555555555555556</v>
      </c>
      <c r="F17" s="195">
        <v>9.625</v>
      </c>
      <c r="G17" s="172">
        <f>F17/G12</f>
        <v>0.555555555555556</v>
      </c>
      <c r="H17" s="196">
        <f>F17/B17</f>
        <v>0.25</v>
      </c>
      <c r="I17" s="197"/>
      <c r="J17" s="198"/>
      <c r="K17" s="198"/>
      <c r="L17" s="199"/>
    </row>
    <row r="18" ht="18" customHeight="1" spans="1:12">
      <c r="A18" s="200" t="s">
        <v>35</v>
      </c>
      <c r="B18" s="201">
        <v>10.5</v>
      </c>
      <c r="C18" s="202"/>
      <c r="D18" s="195">
        <v>5.5</v>
      </c>
      <c r="E18" s="172">
        <f>D18/E13</f>
        <v>1.16402116402116</v>
      </c>
      <c r="F18" s="195">
        <v>5.5</v>
      </c>
      <c r="G18" s="172">
        <f>F18/G13</f>
        <v>1.16402116402116</v>
      </c>
      <c r="H18" s="196">
        <f>F18/B18</f>
        <v>0.523809523809524</v>
      </c>
      <c r="I18" s="197"/>
      <c r="J18" s="198"/>
      <c r="K18" s="198"/>
      <c r="L18" s="199"/>
    </row>
    <row r="19" ht="18" customHeight="1" spans="1:12">
      <c r="A19" s="200" t="s">
        <v>46</v>
      </c>
      <c r="B19" s="194">
        <f>SUM(B17:C18)</f>
        <v>49</v>
      </c>
      <c r="C19" s="194"/>
      <c r="D19" s="203">
        <f>SUM(D17:D17)</f>
        <v>9.625</v>
      </c>
      <c r="E19" s="172">
        <f>D19/E14</f>
        <v>0.436507936507937</v>
      </c>
      <c r="F19" s="204">
        <f>SUM(F17:F18)</f>
        <v>15.125</v>
      </c>
      <c r="G19" s="172">
        <f>F19/G14</f>
        <v>0.6859410430839</v>
      </c>
      <c r="H19" s="196">
        <f>F19/B19</f>
        <v>0.308673469387755</v>
      </c>
      <c r="I19" s="205"/>
      <c r="J19" s="206"/>
      <c r="K19" s="206"/>
      <c r="L19" s="207"/>
    </row>
    <row r="20" ht="18" customHeight="1" spans="1:12">
      <c r="A20" s="208" t="s">
        <v>47</v>
      </c>
      <c r="B20" s="209"/>
      <c r="C20" s="209"/>
      <c r="D20" s="209"/>
      <c r="E20" s="209"/>
      <c r="F20" s="209"/>
      <c r="G20" s="209"/>
      <c r="H20" s="209"/>
      <c r="I20" s="209"/>
      <c r="J20" s="209"/>
      <c r="K20" s="210"/>
      <c r="L20" s="211"/>
    </row>
    <row r="21" ht="18" customHeight="1" spans="1:12">
      <c r="A21" s="212" t="s">
        <v>22</v>
      </c>
      <c r="B21" s="213" t="s">
        <v>48</v>
      </c>
      <c r="C21" s="214"/>
      <c r="D21" s="213" t="s">
        <v>49</v>
      </c>
      <c r="E21" s="214"/>
      <c r="F21" s="215" t="s">
        <v>50</v>
      </c>
      <c r="G21" s="216"/>
      <c r="H21" s="215" t="s">
        <v>51</v>
      </c>
      <c r="I21" s="216"/>
      <c r="J21" s="215" t="s">
        <v>52</v>
      </c>
      <c r="K21" s="217"/>
      <c r="L21" s="218"/>
    </row>
    <row r="22" ht="30" customHeight="1" spans="1:12">
      <c r="A22" s="219" t="s">
        <v>53</v>
      </c>
      <c r="B22" s="220">
        <v>1</v>
      </c>
      <c r="C22" s="214"/>
      <c r="D22" s="213" t="s">
        <v>54</v>
      </c>
      <c r="E22" s="214"/>
      <c r="F22" s="221">
        <v>1</v>
      </c>
      <c r="G22" s="216"/>
      <c r="H22" s="215" t="s">
        <v>55</v>
      </c>
      <c r="I22" s="216"/>
      <c r="J22" s="222" t="s">
        <v>56</v>
      </c>
      <c r="K22" s="223"/>
      <c r="L22" s="224"/>
    </row>
    <row r="23" ht="30" customHeight="1" spans="1:12">
      <c r="A23" s="219"/>
      <c r="B23" s="220"/>
      <c r="C23" s="214"/>
      <c r="D23" s="213"/>
      <c r="E23" s="214"/>
      <c r="F23" s="221"/>
      <c r="G23" s="216"/>
      <c r="H23" s="215"/>
      <c r="I23" s="216"/>
      <c r="J23" s="225"/>
      <c r="K23" s="226"/>
      <c r="L23" s="227"/>
    </row>
    <row r="24" ht="30" customHeight="1" spans="1:12">
      <c r="A24" s="219"/>
      <c r="B24" s="213"/>
      <c r="C24" s="214"/>
      <c r="D24" s="213"/>
      <c r="E24" s="214"/>
      <c r="F24" s="215"/>
      <c r="G24" s="216"/>
      <c r="H24" s="215"/>
      <c r="I24" s="216"/>
      <c r="J24" s="215"/>
      <c r="K24" s="217"/>
      <c r="L24" s="218"/>
    </row>
    <row r="25" ht="18" customHeight="1" spans="1:12">
      <c r="A25" s="228" t="s">
        <v>57</v>
      </c>
      <c r="B25" s="229"/>
      <c r="C25" s="229"/>
      <c r="D25" s="229"/>
      <c r="E25" s="229"/>
      <c r="F25" s="229"/>
      <c r="G25" s="229"/>
      <c r="H25" s="229"/>
      <c r="I25" s="229"/>
      <c r="J25" s="229"/>
      <c r="K25" s="230"/>
      <c r="L25" s="231"/>
    </row>
    <row r="26" ht="18" customHeight="1" spans="1:12">
      <c r="A26" s="232" t="s">
        <v>22</v>
      </c>
      <c r="B26" s="233" t="s">
        <v>58</v>
      </c>
      <c r="C26" s="234"/>
      <c r="D26" s="233" t="s">
        <v>59</v>
      </c>
      <c r="E26" s="234"/>
      <c r="F26" s="233" t="s">
        <v>60</v>
      </c>
      <c r="G26" s="234"/>
      <c r="H26" s="233" t="s">
        <v>61</v>
      </c>
      <c r="I26" s="234"/>
      <c r="J26" s="233" t="s">
        <v>62</v>
      </c>
      <c r="K26" s="235"/>
      <c r="L26" s="236"/>
    </row>
    <row r="27" ht="18" customHeight="1" spans="1:12">
      <c r="A27" s="237" t="s">
        <v>53</v>
      </c>
      <c r="B27" s="233" t="s">
        <v>63</v>
      </c>
      <c r="C27" s="234"/>
      <c r="D27" s="233" t="s">
        <v>64</v>
      </c>
      <c r="E27" s="234"/>
      <c r="F27" s="233" t="s">
        <v>65</v>
      </c>
      <c r="G27" s="234"/>
      <c r="H27" s="238">
        <v>1</v>
      </c>
      <c r="I27" s="234"/>
      <c r="J27" s="233" t="s">
        <v>66</v>
      </c>
      <c r="K27" s="235"/>
      <c r="L27" s="236"/>
    </row>
    <row r="28" ht="18" customHeight="1" spans="1:12">
      <c r="A28" s="237" t="s">
        <v>67</v>
      </c>
      <c r="B28" s="233"/>
      <c r="C28" s="234"/>
      <c r="D28" s="233"/>
      <c r="E28" s="234"/>
      <c r="F28" s="233"/>
      <c r="G28" s="234"/>
      <c r="H28" s="233"/>
      <c r="I28" s="234"/>
      <c r="J28" s="233"/>
      <c r="K28" s="235"/>
      <c r="L28" s="236"/>
    </row>
    <row r="29" ht="18" customHeight="1" spans="1:12">
      <c r="A29" s="237"/>
      <c r="B29" s="233"/>
      <c r="C29" s="234"/>
      <c r="D29" s="233"/>
      <c r="E29" s="234"/>
      <c r="F29" s="233"/>
      <c r="G29" s="234"/>
      <c r="H29" s="233"/>
      <c r="I29" s="234"/>
      <c r="J29" s="233"/>
      <c r="K29" s="235"/>
      <c r="L29" s="236"/>
    </row>
    <row r="30" ht="45" customHeight="1" spans="1:12">
      <c r="A30" s="239" t="s">
        <v>68</v>
      </c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1"/>
    </row>
    <row r="31" customHeight="1" spans="1:12">
      <c r="A31" s="242"/>
      <c r="B31" s="242"/>
      <c r="C31" s="242"/>
    </row>
  </sheetData>
  <mergeCells count="75">
    <mergeCell ref="A1:L1"/>
    <mergeCell ref="A2:D2"/>
    <mergeCell ref="E2:G2"/>
    <mergeCell ref="H2:L2"/>
    <mergeCell ref="A3:D3"/>
    <mergeCell ref="E3:G3"/>
    <mergeCell ref="H3:L3"/>
    <mergeCell ref="A4:L4"/>
    <mergeCell ref="A5:D5"/>
    <mergeCell ref="E5:G5"/>
    <mergeCell ref="H5:L5"/>
    <mergeCell ref="A6:D6"/>
    <mergeCell ref="E6:G6"/>
    <mergeCell ref="H6:L6"/>
    <mergeCell ref="A7:D7"/>
    <mergeCell ref="E7:G7"/>
    <mergeCell ref="H7:L7"/>
    <mergeCell ref="A8:D8"/>
    <mergeCell ref="E8:G8"/>
    <mergeCell ref="H8:L8"/>
    <mergeCell ref="A9:D9"/>
    <mergeCell ref="E9:G9"/>
    <mergeCell ref="H9:L9"/>
    <mergeCell ref="A10:L10"/>
    <mergeCell ref="A15:L15"/>
    <mergeCell ref="B16:C16"/>
    <mergeCell ref="I16:L16"/>
    <mergeCell ref="B17:C17"/>
    <mergeCell ref="B18:C18"/>
    <mergeCell ref="B19:C19"/>
    <mergeCell ref="A20:L20"/>
    <mergeCell ref="B21:C21"/>
    <mergeCell ref="D21:E21"/>
    <mergeCell ref="F21:G21"/>
    <mergeCell ref="H21:I21"/>
    <mergeCell ref="J21:L21"/>
    <mergeCell ref="B22:C22"/>
    <mergeCell ref="D22:E22"/>
    <mergeCell ref="F22:G22"/>
    <mergeCell ref="H22:I22"/>
    <mergeCell ref="J22:L22"/>
    <mergeCell ref="B23:C23"/>
    <mergeCell ref="D23:E23"/>
    <mergeCell ref="F23:G23"/>
    <mergeCell ref="H23:I23"/>
    <mergeCell ref="J23:L23"/>
    <mergeCell ref="B24:C24"/>
    <mergeCell ref="D24:E24"/>
    <mergeCell ref="F24:G24"/>
    <mergeCell ref="H24:I24"/>
    <mergeCell ref="J24:L24"/>
    <mergeCell ref="A25:L25"/>
    <mergeCell ref="B26:C26"/>
    <mergeCell ref="D26:E26"/>
    <mergeCell ref="F26:G26"/>
    <mergeCell ref="H26:I26"/>
    <mergeCell ref="J26:L26"/>
    <mergeCell ref="B27:C27"/>
    <mergeCell ref="D27:E27"/>
    <mergeCell ref="F27:G27"/>
    <mergeCell ref="H27:I27"/>
    <mergeCell ref="J27:L27"/>
    <mergeCell ref="B28:C28"/>
    <mergeCell ref="D28:E28"/>
    <mergeCell ref="F28:G28"/>
    <mergeCell ref="H28:I28"/>
    <mergeCell ref="J28:L28"/>
    <mergeCell ref="B29:C29"/>
    <mergeCell ref="D29:E29"/>
    <mergeCell ref="F29:G29"/>
    <mergeCell ref="H29:I29"/>
    <mergeCell ref="J29:L29"/>
    <mergeCell ref="A30:L30"/>
    <mergeCell ref="A31:J31"/>
    <mergeCell ref="I17:L19"/>
  </mergeCells>
  <pageMargins left="0.25" right="0.25" top="0.75" bottom="0.75" header="0.298611111111111" footer="0.298611111111111"/>
  <pageSetup paperSize="8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44"/>
  <sheetViews>
    <sheetView zoomScale="80" zoomScaleNormal="80" workbookViewId="0">
      <selection activeCell="AO22" sqref="AO22"/>
    </sheetView>
  </sheetViews>
  <sheetFormatPr defaultColWidth="8.88888888888889" defaultRowHeight="14.4"/>
  <cols>
    <col min="1" max="1" width="13.4722222222222" customWidth="1"/>
    <col min="2" max="2" width="28.2685185185185" customWidth="1"/>
    <col min="3" max="4" width="10.4907407407407" customWidth="1"/>
    <col min="5" max="5" width="10.3703703703704" customWidth="1"/>
    <col min="6" max="6" width="8.19444444444444" customWidth="1"/>
    <col min="7" max="61" width="2.77777777777778" customWidth="1"/>
  </cols>
  <sheetData>
    <row r="1" ht="40" customHeight="1" spans="1:61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"/>
    </row>
    <row r="2" ht="25" customHeight="1" spans="1:61">
      <c r="A2" s="4" t="s">
        <v>70</v>
      </c>
      <c r="B2" s="5" t="s">
        <v>71</v>
      </c>
      <c r="C2" s="6"/>
      <c r="D2" s="7" t="s">
        <v>72</v>
      </c>
      <c r="E2" s="7" t="s">
        <v>73</v>
      </c>
      <c r="F2" s="8" t="s">
        <v>74</v>
      </c>
      <c r="G2" s="9" t="s">
        <v>15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1"/>
    </row>
    <row r="3" ht="25" customHeight="1" spans="1:61">
      <c r="A3" s="12"/>
      <c r="B3" s="13"/>
      <c r="C3" s="14"/>
      <c r="D3" s="7"/>
      <c r="E3" s="7"/>
      <c r="F3" s="15"/>
      <c r="G3" s="16" t="s">
        <v>75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8"/>
      <c r="AL3" s="16" t="s">
        <v>76</v>
      </c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8"/>
    </row>
    <row r="4" ht="25" customHeight="1" spans="1:61">
      <c r="A4" s="12"/>
      <c r="B4" s="19"/>
      <c r="C4" s="20"/>
      <c r="D4" s="7"/>
      <c r="E4" s="7"/>
      <c r="F4" s="15"/>
      <c r="G4" s="21">
        <v>1</v>
      </c>
      <c r="H4" s="22">
        <v>2</v>
      </c>
      <c r="I4" s="22">
        <v>3</v>
      </c>
      <c r="J4" s="22">
        <v>4</v>
      </c>
      <c r="K4" s="22">
        <v>5</v>
      </c>
      <c r="L4" s="22">
        <v>6</v>
      </c>
      <c r="M4" s="22">
        <v>7</v>
      </c>
      <c r="N4" s="22">
        <v>8</v>
      </c>
      <c r="O4" s="22">
        <v>9</v>
      </c>
      <c r="P4" s="22">
        <v>10</v>
      </c>
      <c r="Q4" s="22">
        <v>11</v>
      </c>
      <c r="R4" s="22">
        <v>12</v>
      </c>
      <c r="S4" s="22">
        <v>13</v>
      </c>
      <c r="T4" s="22">
        <v>14</v>
      </c>
      <c r="U4" s="22">
        <v>15</v>
      </c>
      <c r="V4" s="22">
        <v>16</v>
      </c>
      <c r="W4" s="22">
        <v>17</v>
      </c>
      <c r="X4" s="22">
        <v>18</v>
      </c>
      <c r="Y4" s="22">
        <v>19</v>
      </c>
      <c r="Z4" s="22">
        <v>20</v>
      </c>
      <c r="AA4" s="22">
        <v>21</v>
      </c>
      <c r="AB4" s="22">
        <v>22</v>
      </c>
      <c r="AC4" s="22">
        <v>23</v>
      </c>
      <c r="AD4" s="22">
        <v>24</v>
      </c>
      <c r="AE4" s="22">
        <v>25</v>
      </c>
      <c r="AF4" s="22">
        <v>26</v>
      </c>
      <c r="AG4" s="22">
        <v>27</v>
      </c>
      <c r="AH4" s="22">
        <v>28</v>
      </c>
      <c r="AI4" s="22">
        <v>29</v>
      </c>
      <c r="AJ4" s="22">
        <v>30</v>
      </c>
      <c r="AK4" s="23">
        <v>31</v>
      </c>
      <c r="AL4" s="21">
        <v>1</v>
      </c>
      <c r="AM4" s="22">
        <v>2</v>
      </c>
      <c r="AN4" s="22">
        <v>3</v>
      </c>
      <c r="AO4" s="22">
        <v>4</v>
      </c>
      <c r="AP4" s="22">
        <v>5</v>
      </c>
      <c r="AQ4" s="22">
        <v>6</v>
      </c>
      <c r="AR4" s="22">
        <v>7</v>
      </c>
      <c r="AS4" s="22">
        <v>8</v>
      </c>
      <c r="AT4" s="22">
        <v>9</v>
      </c>
      <c r="AU4" s="22">
        <v>10</v>
      </c>
      <c r="AV4" s="22">
        <v>11</v>
      </c>
      <c r="AW4" s="22">
        <v>12</v>
      </c>
      <c r="AX4" s="22">
        <v>13</v>
      </c>
      <c r="AY4" s="22">
        <v>14</v>
      </c>
      <c r="AZ4" s="22">
        <v>15</v>
      </c>
      <c r="BA4" s="22">
        <v>16</v>
      </c>
      <c r="BB4" s="22">
        <v>17</v>
      </c>
      <c r="BC4" s="22">
        <v>18</v>
      </c>
      <c r="BD4" s="22">
        <v>19</v>
      </c>
      <c r="BE4" s="22">
        <v>20</v>
      </c>
      <c r="BF4" s="22">
        <v>21</v>
      </c>
      <c r="BG4" s="22">
        <v>22</v>
      </c>
      <c r="BH4" s="22">
        <v>23</v>
      </c>
      <c r="BI4" s="23">
        <v>24</v>
      </c>
    </row>
    <row r="5" ht="20" customHeight="1" spans="1:61">
      <c r="A5" s="24" t="s">
        <v>77</v>
      </c>
      <c r="B5" s="25" t="s">
        <v>78</v>
      </c>
      <c r="C5" s="26" t="s">
        <v>79</v>
      </c>
      <c r="D5" s="26">
        <v>46204</v>
      </c>
      <c r="E5" s="26">
        <v>46208</v>
      </c>
      <c r="F5" s="27">
        <f t="shared" ref="F5:F19" si="0">E5-D5+1</f>
        <v>5</v>
      </c>
      <c r="G5" s="28"/>
      <c r="H5" s="29"/>
      <c r="I5" s="29"/>
      <c r="J5" s="29"/>
      <c r="K5" s="29"/>
      <c r="L5" s="30" t="s">
        <v>80</v>
      </c>
      <c r="M5" s="31"/>
      <c r="N5" s="31"/>
      <c r="O5" s="31"/>
      <c r="P5" s="31"/>
      <c r="Q5" s="31"/>
      <c r="R5" s="31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3"/>
      <c r="AL5" s="34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5"/>
      <c r="BI5" s="36"/>
    </row>
    <row r="6" ht="20" customHeight="1" spans="1:61">
      <c r="A6" s="37"/>
      <c r="B6" s="38"/>
      <c r="C6" s="26" t="s">
        <v>81</v>
      </c>
      <c r="D6" s="26">
        <v>46204</v>
      </c>
      <c r="E6" s="26">
        <v>46208</v>
      </c>
      <c r="F6" s="27">
        <f t="shared" si="0"/>
        <v>5</v>
      </c>
      <c r="G6" s="39"/>
      <c r="H6" s="40"/>
      <c r="I6" s="40"/>
      <c r="J6" s="40"/>
      <c r="K6" s="40"/>
      <c r="L6" s="31"/>
      <c r="M6" s="31"/>
      <c r="N6" s="31"/>
      <c r="O6" s="31"/>
      <c r="P6" s="31"/>
      <c r="Q6" s="31"/>
      <c r="R6" s="31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3"/>
      <c r="AL6" s="34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5"/>
      <c r="BI6" s="36"/>
    </row>
    <row r="7" ht="20" customHeight="1" spans="1:61">
      <c r="A7" s="37"/>
      <c r="B7" s="25" t="s">
        <v>82</v>
      </c>
      <c r="C7" s="26" t="s">
        <v>79</v>
      </c>
      <c r="D7" s="26">
        <f>E5+1</f>
        <v>46209</v>
      </c>
      <c r="E7" s="26">
        <v>46225</v>
      </c>
      <c r="F7" s="27">
        <f t="shared" si="0"/>
        <v>17</v>
      </c>
      <c r="G7" s="41"/>
      <c r="H7" s="42"/>
      <c r="I7" s="42"/>
      <c r="J7" s="42"/>
      <c r="K7" s="42"/>
      <c r="L7" s="29"/>
      <c r="M7" s="29"/>
      <c r="N7" s="29"/>
      <c r="O7" s="29"/>
      <c r="P7" s="29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32"/>
      <c r="AD7" s="32"/>
      <c r="AE7" s="32"/>
      <c r="AF7" s="32"/>
      <c r="AG7" s="32"/>
      <c r="AH7" s="32"/>
      <c r="AI7" s="32"/>
      <c r="AJ7" s="32"/>
      <c r="AK7" s="33"/>
      <c r="AL7" s="34"/>
      <c r="AM7" s="32"/>
      <c r="AN7" s="32"/>
      <c r="AO7" s="32"/>
      <c r="AP7" s="32"/>
      <c r="AQ7" s="32"/>
      <c r="AR7" s="44" t="s">
        <v>83</v>
      </c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6"/>
    </row>
    <row r="8" ht="20" customHeight="1" spans="1:61">
      <c r="A8" s="37"/>
      <c r="B8" s="38"/>
      <c r="C8" s="26" t="s">
        <v>81</v>
      </c>
      <c r="D8" s="26">
        <f>E5+13</f>
        <v>46221</v>
      </c>
      <c r="E8" s="26">
        <v>46239</v>
      </c>
      <c r="F8" s="27">
        <f t="shared" si="0"/>
        <v>19</v>
      </c>
      <c r="G8" s="41"/>
      <c r="H8" s="42"/>
      <c r="I8" s="42"/>
      <c r="J8" s="42"/>
      <c r="K8" s="42"/>
      <c r="L8" s="47"/>
      <c r="M8" s="47"/>
      <c r="N8" s="47"/>
      <c r="O8" s="47"/>
      <c r="P8" s="47"/>
      <c r="Q8" s="22"/>
      <c r="R8" s="22"/>
      <c r="S8" s="22"/>
      <c r="T8" s="22"/>
      <c r="U8" s="22"/>
      <c r="V8" s="22"/>
      <c r="W8" s="22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8"/>
      <c r="AL8" s="49"/>
      <c r="AM8" s="50"/>
      <c r="AN8" s="50"/>
      <c r="AO8" s="50"/>
      <c r="AP8" s="50"/>
      <c r="AQ8" s="32"/>
      <c r="AR8" s="51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3"/>
    </row>
    <row r="9" ht="20" customHeight="1" spans="1:61">
      <c r="A9" s="37"/>
      <c r="B9" s="54" t="s">
        <v>84</v>
      </c>
      <c r="C9" s="26" t="s">
        <v>79</v>
      </c>
      <c r="D9" s="26">
        <v>46209</v>
      </c>
      <c r="E9" s="26">
        <v>46213</v>
      </c>
      <c r="F9" s="55">
        <f t="shared" si="0"/>
        <v>5</v>
      </c>
      <c r="G9" s="56"/>
      <c r="H9" s="57"/>
      <c r="I9" s="57"/>
      <c r="J9" s="57"/>
      <c r="K9" s="57"/>
      <c r="L9" s="58"/>
      <c r="M9" s="58"/>
      <c r="N9" s="58"/>
      <c r="O9" s="58"/>
      <c r="P9" s="58"/>
      <c r="Q9" s="57"/>
      <c r="R9" s="57"/>
      <c r="S9" s="57"/>
      <c r="T9" s="59"/>
      <c r="U9" s="60"/>
      <c r="V9" s="60"/>
      <c r="W9" s="60"/>
      <c r="X9" s="60"/>
      <c r="Y9" s="60"/>
      <c r="Z9" s="60"/>
      <c r="AA9" s="60"/>
      <c r="AB9" s="60"/>
      <c r="AC9" s="59"/>
      <c r="AD9" s="60"/>
      <c r="AE9" s="60"/>
      <c r="AF9" s="60"/>
      <c r="AG9" s="60"/>
      <c r="AH9" s="60"/>
      <c r="AI9" s="60"/>
      <c r="AJ9" s="60"/>
      <c r="AK9" s="61"/>
      <c r="AL9" s="59"/>
      <c r="AM9" s="62" t="s">
        <v>85</v>
      </c>
      <c r="AN9" s="63"/>
      <c r="AO9" s="63"/>
      <c r="AP9" s="63"/>
      <c r="AQ9" s="63"/>
      <c r="AR9" s="63"/>
      <c r="AS9" s="63"/>
      <c r="AT9" s="63"/>
      <c r="AU9" s="63"/>
      <c r="AV9" s="63"/>
      <c r="AW9" s="64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35"/>
      <c r="BI9" s="36"/>
    </row>
    <row r="10" ht="20" customHeight="1" spans="1:61">
      <c r="A10" s="37"/>
      <c r="B10" s="65"/>
      <c r="C10" s="26" t="s">
        <v>81</v>
      </c>
      <c r="D10" s="26">
        <v>46231</v>
      </c>
      <c r="E10" s="26">
        <v>46235</v>
      </c>
      <c r="F10" s="55">
        <f t="shared" si="0"/>
        <v>5</v>
      </c>
      <c r="G10" s="56"/>
      <c r="H10" s="57"/>
      <c r="I10" s="57"/>
      <c r="J10" s="57"/>
      <c r="K10" s="57"/>
      <c r="L10" s="66"/>
      <c r="M10" s="66"/>
      <c r="N10" s="66"/>
      <c r="O10" s="66"/>
      <c r="P10" s="66"/>
      <c r="Q10" s="57"/>
      <c r="R10" s="57"/>
      <c r="S10" s="57"/>
      <c r="T10" s="59"/>
      <c r="U10" s="60"/>
      <c r="V10" s="60"/>
      <c r="W10" s="60"/>
      <c r="X10" s="60"/>
      <c r="Y10" s="60"/>
      <c r="Z10" s="60"/>
      <c r="AA10" s="60"/>
      <c r="AB10" s="60"/>
      <c r="AC10" s="59"/>
      <c r="AD10" s="60"/>
      <c r="AE10" s="60"/>
      <c r="AF10" s="60"/>
      <c r="AG10" s="60"/>
      <c r="AH10" s="67"/>
      <c r="AI10" s="67"/>
      <c r="AJ10" s="67"/>
      <c r="AK10" s="68"/>
      <c r="AL10" s="69"/>
      <c r="AM10" s="70"/>
      <c r="AN10" s="71"/>
      <c r="AO10" s="71"/>
      <c r="AP10" s="71"/>
      <c r="AQ10" s="71"/>
      <c r="AR10" s="71"/>
      <c r="AS10" s="71"/>
      <c r="AT10" s="71"/>
      <c r="AU10" s="71"/>
      <c r="AV10" s="71"/>
      <c r="AW10" s="72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35"/>
      <c r="BI10" s="36"/>
    </row>
    <row r="11" ht="20" customHeight="1" spans="1:61">
      <c r="A11" s="37"/>
      <c r="B11" s="54" t="s">
        <v>86</v>
      </c>
      <c r="C11" s="26" t="s">
        <v>79</v>
      </c>
      <c r="D11" s="26">
        <v>46214</v>
      </c>
      <c r="E11" s="26">
        <v>46225</v>
      </c>
      <c r="F11" s="55">
        <f t="shared" si="0"/>
        <v>12</v>
      </c>
      <c r="G11" s="56"/>
      <c r="H11" s="57"/>
      <c r="I11" s="57"/>
      <c r="J11" s="57"/>
      <c r="K11" s="57"/>
      <c r="L11" s="57"/>
      <c r="M11" s="57"/>
      <c r="N11" s="57"/>
      <c r="O11" s="57"/>
      <c r="P11" s="57"/>
      <c r="Q11" s="58"/>
      <c r="R11" s="73"/>
      <c r="S11" s="73"/>
      <c r="T11" s="74"/>
      <c r="U11" s="74"/>
      <c r="V11" s="74"/>
      <c r="W11" s="74"/>
      <c r="X11" s="74"/>
      <c r="Y11" s="74"/>
      <c r="Z11" s="74"/>
      <c r="AA11" s="74"/>
      <c r="AB11" s="74"/>
      <c r="AC11" s="62" t="s">
        <v>87</v>
      </c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6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59"/>
      <c r="BC11" s="59"/>
      <c r="BD11" s="59"/>
      <c r="BE11" s="59"/>
      <c r="BF11" s="59"/>
      <c r="BG11" s="59"/>
      <c r="BH11" s="35"/>
      <c r="BI11" s="36"/>
    </row>
    <row r="12" ht="20" customHeight="1" spans="1:61">
      <c r="A12" s="37"/>
      <c r="B12" s="65"/>
      <c r="C12" s="26" t="s">
        <v>81</v>
      </c>
      <c r="D12" s="26">
        <v>46209</v>
      </c>
      <c r="E12" s="26">
        <v>46225</v>
      </c>
      <c r="F12" s="55">
        <f t="shared" si="0"/>
        <v>17</v>
      </c>
      <c r="G12" s="56"/>
      <c r="H12" s="57"/>
      <c r="I12" s="57"/>
      <c r="J12" s="57"/>
      <c r="K12" s="57"/>
      <c r="L12" s="77"/>
      <c r="M12" s="77"/>
      <c r="N12" s="77"/>
      <c r="O12" s="77"/>
      <c r="P12" s="77"/>
      <c r="Q12" s="77"/>
      <c r="R12" s="78"/>
      <c r="S12" s="78"/>
      <c r="T12" s="67"/>
      <c r="U12" s="67"/>
      <c r="V12" s="67"/>
      <c r="W12" s="67"/>
      <c r="X12" s="67"/>
      <c r="Y12" s="67"/>
      <c r="Z12" s="67"/>
      <c r="AA12" s="67"/>
      <c r="AB12" s="67"/>
      <c r="AC12" s="79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1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59"/>
      <c r="BC12" s="59"/>
      <c r="BD12" s="59"/>
      <c r="BE12" s="59"/>
      <c r="BF12" s="59"/>
      <c r="BG12" s="59"/>
      <c r="BH12" s="35"/>
      <c r="BI12" s="36"/>
    </row>
    <row r="13" ht="20" customHeight="1" spans="1:61">
      <c r="A13" s="37"/>
      <c r="B13" s="54" t="s">
        <v>88</v>
      </c>
      <c r="C13" s="26" t="s">
        <v>79</v>
      </c>
      <c r="D13" s="26">
        <v>46226</v>
      </c>
      <c r="E13" s="26">
        <v>46230</v>
      </c>
      <c r="F13" s="55">
        <f t="shared" si="0"/>
        <v>5</v>
      </c>
      <c r="G13" s="56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9"/>
      <c r="U13" s="59"/>
      <c r="V13" s="59"/>
      <c r="W13" s="59"/>
      <c r="X13" s="59"/>
      <c r="Y13" s="59"/>
      <c r="Z13" s="59"/>
      <c r="AA13" s="59"/>
      <c r="AB13" s="59"/>
      <c r="AC13" s="74"/>
      <c r="AD13" s="74"/>
      <c r="AE13" s="74"/>
      <c r="AF13" s="74"/>
      <c r="AG13" s="74"/>
      <c r="AH13" s="59"/>
      <c r="AI13" s="59"/>
      <c r="AJ13" s="59"/>
      <c r="AK13" s="82"/>
      <c r="AL13" s="83"/>
      <c r="AM13" s="59"/>
      <c r="AN13" s="59"/>
      <c r="AO13" s="59"/>
      <c r="AP13" s="59"/>
      <c r="AQ13" s="59"/>
      <c r="AR13" s="59"/>
      <c r="AS13" s="59"/>
      <c r="AT13" s="59"/>
      <c r="AU13" s="62" t="s">
        <v>89</v>
      </c>
      <c r="AV13" s="63"/>
      <c r="AW13" s="63"/>
      <c r="AX13" s="63"/>
      <c r="AY13" s="63"/>
      <c r="AZ13" s="63"/>
      <c r="BA13" s="63"/>
      <c r="BB13" s="63"/>
      <c r="BC13" s="63"/>
      <c r="BD13" s="64"/>
      <c r="BE13" s="59"/>
      <c r="BF13" s="59"/>
      <c r="BG13" s="59"/>
      <c r="BH13" s="35"/>
      <c r="BI13" s="36"/>
    </row>
    <row r="14" ht="20" customHeight="1" spans="1:61">
      <c r="A14" s="84"/>
      <c r="B14" s="65"/>
      <c r="C14" s="26" t="s">
        <v>81</v>
      </c>
      <c r="D14" s="26">
        <v>46239</v>
      </c>
      <c r="E14" s="26">
        <v>46243</v>
      </c>
      <c r="F14" s="55">
        <f t="shared" si="0"/>
        <v>5</v>
      </c>
      <c r="G14" s="56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9"/>
      <c r="U14" s="59"/>
      <c r="V14" s="59"/>
      <c r="W14" s="59"/>
      <c r="X14" s="59"/>
      <c r="Y14" s="59"/>
      <c r="Z14" s="59"/>
      <c r="AA14" s="59"/>
      <c r="AB14" s="60"/>
      <c r="AC14" s="60"/>
      <c r="AD14" s="60"/>
      <c r="AE14" s="60"/>
      <c r="AF14" s="60"/>
      <c r="AG14" s="60"/>
      <c r="AH14" s="59"/>
      <c r="AI14" s="59"/>
      <c r="AJ14" s="59"/>
      <c r="AK14" s="82"/>
      <c r="AL14" s="59"/>
      <c r="AM14" s="59"/>
      <c r="AN14" s="60"/>
      <c r="AO14" s="60"/>
      <c r="AP14" s="69"/>
      <c r="AQ14" s="69"/>
      <c r="AR14" s="69"/>
      <c r="AS14" s="69"/>
      <c r="AT14" s="69"/>
      <c r="AU14" s="70"/>
      <c r="AV14" s="71"/>
      <c r="AW14" s="71"/>
      <c r="AX14" s="71"/>
      <c r="AY14" s="71"/>
      <c r="AZ14" s="71"/>
      <c r="BA14" s="71"/>
      <c r="BB14" s="71"/>
      <c r="BC14" s="71"/>
      <c r="BD14" s="72"/>
      <c r="BE14" s="59"/>
      <c r="BF14" s="59"/>
      <c r="BG14" s="59"/>
      <c r="BH14" s="35"/>
      <c r="BI14" s="36"/>
    </row>
    <row r="15" ht="20" customHeight="1" spans="1:61">
      <c r="A15" s="24" t="s">
        <v>90</v>
      </c>
      <c r="B15" s="54" t="s">
        <v>91</v>
      </c>
      <c r="C15" s="26" t="s">
        <v>79</v>
      </c>
      <c r="D15" s="26">
        <v>46231</v>
      </c>
      <c r="E15" s="26">
        <v>46236</v>
      </c>
      <c r="F15" s="55">
        <f t="shared" si="0"/>
        <v>6</v>
      </c>
      <c r="G15" s="83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74"/>
      <c r="AI15" s="74"/>
      <c r="AJ15" s="74"/>
      <c r="AK15" s="85"/>
      <c r="AL15" s="86"/>
      <c r="AM15" s="74"/>
      <c r="AN15" s="60"/>
      <c r="AO15" s="60"/>
      <c r="AP15" s="87" t="s">
        <v>92</v>
      </c>
      <c r="AQ15" s="88"/>
      <c r="AR15" s="88"/>
      <c r="AS15" s="88"/>
      <c r="AT15" s="88"/>
      <c r="AU15" s="88"/>
      <c r="AV15" s="88"/>
      <c r="AW15" s="88"/>
      <c r="AX15" s="89"/>
      <c r="AY15" s="60"/>
      <c r="AZ15" s="60"/>
      <c r="BA15" s="60"/>
      <c r="BB15" s="59"/>
      <c r="BC15" s="59"/>
      <c r="BD15" s="59"/>
      <c r="BE15" s="59"/>
      <c r="BF15" s="60"/>
      <c r="BG15" s="60"/>
      <c r="BH15" s="35"/>
      <c r="BI15" s="36"/>
    </row>
    <row r="16" ht="20" customHeight="1" spans="1:61">
      <c r="A16" s="37"/>
      <c r="B16" s="65"/>
      <c r="C16" s="26" t="s">
        <v>81</v>
      </c>
      <c r="D16" s="26">
        <v>46231</v>
      </c>
      <c r="E16" s="26">
        <v>46238</v>
      </c>
      <c r="F16" s="55">
        <f t="shared" si="0"/>
        <v>8</v>
      </c>
      <c r="G16" s="83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60"/>
      <c r="AH16" s="67"/>
      <c r="AI16" s="67"/>
      <c r="AJ16" s="67"/>
      <c r="AK16" s="68"/>
      <c r="AL16" s="90"/>
      <c r="AM16" s="69"/>
      <c r="AN16" s="69"/>
      <c r="AO16" s="69"/>
      <c r="AP16" s="91"/>
      <c r="AQ16" s="92"/>
      <c r="AR16" s="92"/>
      <c r="AS16" s="92"/>
      <c r="AT16" s="92"/>
      <c r="AU16" s="92"/>
      <c r="AV16" s="92"/>
      <c r="AW16" s="92"/>
      <c r="AX16" s="93"/>
      <c r="AY16" s="60"/>
      <c r="AZ16" s="60"/>
      <c r="BA16" s="60"/>
      <c r="BB16" s="59"/>
      <c r="BC16" s="59"/>
      <c r="BD16" s="59"/>
      <c r="BE16" s="59"/>
      <c r="BF16" s="60"/>
      <c r="BG16" s="60"/>
      <c r="BH16" s="35"/>
      <c r="BI16" s="36"/>
    </row>
    <row r="17" ht="20" customHeight="1" spans="1:61">
      <c r="A17" s="37"/>
      <c r="B17" s="54" t="s">
        <v>93</v>
      </c>
      <c r="C17" s="26" t="s">
        <v>79</v>
      </c>
      <c r="D17" s="26">
        <v>46230</v>
      </c>
      <c r="E17" s="26">
        <v>46244</v>
      </c>
      <c r="F17" s="55">
        <f t="shared" si="0"/>
        <v>15</v>
      </c>
      <c r="G17" s="83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74"/>
      <c r="AI17" s="74"/>
      <c r="AJ17" s="74"/>
      <c r="AK17" s="85"/>
      <c r="AL17" s="86"/>
      <c r="AM17" s="74"/>
      <c r="AN17" s="74"/>
      <c r="AO17" s="74"/>
      <c r="AP17" s="74"/>
      <c r="AQ17" s="74"/>
      <c r="AR17" s="58"/>
      <c r="AS17" s="58"/>
      <c r="AT17" s="58"/>
      <c r="AU17" s="58"/>
      <c r="AV17" s="57"/>
      <c r="AW17" s="57"/>
      <c r="AX17" s="57"/>
      <c r="AY17" s="57"/>
      <c r="AZ17" s="57"/>
      <c r="BA17" s="94"/>
      <c r="BB17" s="94"/>
      <c r="BC17" s="95" t="s">
        <v>94</v>
      </c>
      <c r="BD17" s="96"/>
      <c r="BE17" s="96"/>
      <c r="BF17" s="96"/>
      <c r="BG17" s="96"/>
      <c r="BH17" s="96"/>
      <c r="BI17" s="97"/>
    </row>
    <row r="18" ht="20" customHeight="1" spans="1:61">
      <c r="A18" s="37"/>
      <c r="B18" s="65"/>
      <c r="C18" s="26" t="s">
        <v>81</v>
      </c>
      <c r="D18" s="26">
        <v>46240</v>
      </c>
      <c r="E18" s="26">
        <v>46251</v>
      </c>
      <c r="F18" s="55">
        <f t="shared" si="0"/>
        <v>12</v>
      </c>
      <c r="G18" s="83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  <c r="AI18" s="60"/>
      <c r="AJ18" s="60"/>
      <c r="AK18" s="61"/>
      <c r="AL18" s="98"/>
      <c r="AM18" s="60"/>
      <c r="AN18" s="60"/>
      <c r="AO18" s="60"/>
      <c r="AP18" s="60"/>
      <c r="AQ18" s="69"/>
      <c r="AR18" s="99"/>
      <c r="AS18" s="99"/>
      <c r="AT18" s="99"/>
      <c r="AU18" s="99"/>
      <c r="AV18" s="99"/>
      <c r="AW18" s="99"/>
      <c r="AX18" s="99"/>
      <c r="AY18" s="99"/>
      <c r="AZ18" s="99"/>
      <c r="BA18" s="100"/>
      <c r="BB18" s="100"/>
      <c r="BC18" s="101"/>
      <c r="BD18" s="102"/>
      <c r="BE18" s="102"/>
      <c r="BF18" s="102"/>
      <c r="BG18" s="102"/>
      <c r="BH18" s="102"/>
      <c r="BI18" s="103"/>
    </row>
    <row r="19" ht="20" customHeight="1" spans="1:61">
      <c r="A19" s="37"/>
      <c r="B19" s="104" t="s">
        <v>95</v>
      </c>
      <c r="C19" s="26" t="s">
        <v>79</v>
      </c>
      <c r="D19" s="26">
        <v>46237</v>
      </c>
      <c r="E19" s="26">
        <v>46244</v>
      </c>
      <c r="F19" s="55">
        <f t="shared" si="0"/>
        <v>8</v>
      </c>
      <c r="G19" s="83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82"/>
      <c r="AL19" s="83"/>
      <c r="AM19" s="59"/>
      <c r="AN19" s="74"/>
      <c r="AO19" s="74"/>
      <c r="AP19" s="74"/>
      <c r="AQ19" s="74"/>
      <c r="AR19" s="58"/>
      <c r="AS19" s="58"/>
      <c r="AT19" s="58"/>
      <c r="AU19" s="58"/>
      <c r="AV19" s="57"/>
      <c r="AW19" s="57"/>
      <c r="AX19" s="57"/>
      <c r="AY19" s="57"/>
      <c r="AZ19" s="57"/>
      <c r="BA19" s="94"/>
      <c r="BB19" s="94"/>
      <c r="BC19" s="94"/>
      <c r="BD19" s="57"/>
      <c r="BE19" s="57"/>
      <c r="BF19" s="57"/>
      <c r="BG19" s="57"/>
      <c r="BH19" s="35"/>
      <c r="BI19" s="36"/>
    </row>
    <row r="20" ht="20" customHeight="1" spans="1:61">
      <c r="A20" s="37"/>
      <c r="B20" s="105"/>
      <c r="C20" s="26" t="s">
        <v>81</v>
      </c>
      <c r="D20" s="26"/>
      <c r="E20" s="26"/>
      <c r="F20" s="55"/>
      <c r="G20" s="83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82"/>
      <c r="AL20" s="83"/>
      <c r="AM20" s="59"/>
      <c r="AN20" s="60"/>
      <c r="AO20" s="60"/>
      <c r="AP20" s="60"/>
      <c r="AQ20" s="60"/>
      <c r="AR20" s="66"/>
      <c r="AS20" s="66"/>
      <c r="AT20" s="66"/>
      <c r="AU20" s="66"/>
      <c r="AV20" s="66"/>
      <c r="AW20" s="57"/>
      <c r="AX20" s="57"/>
      <c r="AY20" s="57"/>
      <c r="AZ20" s="57"/>
      <c r="BA20" s="94"/>
      <c r="BB20" s="94"/>
      <c r="BC20" s="94"/>
      <c r="BD20" s="57"/>
      <c r="BE20" s="57"/>
      <c r="BF20" s="57"/>
      <c r="BG20" s="57"/>
      <c r="BH20" s="35"/>
      <c r="BI20" s="36"/>
    </row>
    <row r="21" ht="20" customHeight="1" spans="1:61">
      <c r="A21" s="37"/>
      <c r="B21" s="54" t="s">
        <v>96</v>
      </c>
      <c r="C21" s="26" t="s">
        <v>79</v>
      </c>
      <c r="D21" s="26">
        <v>46245</v>
      </c>
      <c r="E21" s="26">
        <v>46246</v>
      </c>
      <c r="F21" s="55">
        <f>E21-D21+1</f>
        <v>2</v>
      </c>
      <c r="G21" s="83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82"/>
      <c r="AL21" s="83"/>
      <c r="AM21" s="59"/>
      <c r="AN21" s="59"/>
      <c r="AO21" s="60"/>
      <c r="AP21" s="60"/>
      <c r="AQ21" s="60"/>
      <c r="AR21" s="66"/>
      <c r="AS21" s="66"/>
      <c r="AT21" s="66"/>
      <c r="AU21" s="66"/>
      <c r="AV21" s="58"/>
      <c r="AW21" s="58"/>
      <c r="AX21" s="57"/>
      <c r="AY21" s="57"/>
      <c r="AZ21" s="57"/>
      <c r="BA21" s="94"/>
      <c r="BB21" s="94"/>
      <c r="BC21" s="94"/>
      <c r="BD21" s="57"/>
      <c r="BE21" s="57"/>
      <c r="BF21" s="57"/>
      <c r="BG21" s="57"/>
      <c r="BH21" s="35"/>
      <c r="BI21" s="36"/>
    </row>
    <row r="22" ht="20" customHeight="1" spans="1:61">
      <c r="A22" s="37"/>
      <c r="B22" s="65"/>
      <c r="C22" s="26" t="s">
        <v>81</v>
      </c>
      <c r="D22" s="26"/>
      <c r="E22" s="26"/>
      <c r="F22" s="55"/>
      <c r="G22" s="83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82"/>
      <c r="AL22" s="83"/>
      <c r="AM22" s="59"/>
      <c r="AN22" s="59"/>
      <c r="AO22" s="60"/>
      <c r="AP22" s="60"/>
      <c r="AQ22" s="60"/>
      <c r="AR22" s="66"/>
      <c r="AS22" s="66"/>
      <c r="AT22" s="66"/>
      <c r="AU22" s="66"/>
      <c r="AV22" s="66"/>
      <c r="AW22" s="66"/>
      <c r="AX22" s="57"/>
      <c r="AY22" s="57"/>
      <c r="AZ22" s="57"/>
      <c r="BA22" s="94"/>
      <c r="BB22" s="94"/>
      <c r="BC22" s="94"/>
      <c r="BD22" s="57"/>
      <c r="BE22" s="57"/>
      <c r="BF22" s="57"/>
      <c r="BG22" s="57"/>
      <c r="BH22" s="35"/>
      <c r="BI22" s="36"/>
    </row>
    <row r="23" ht="20" customHeight="1" spans="1:61">
      <c r="A23" s="37"/>
      <c r="B23" s="54" t="s">
        <v>97</v>
      </c>
      <c r="C23" s="26" t="s">
        <v>79</v>
      </c>
      <c r="D23" s="26">
        <v>46247</v>
      </c>
      <c r="E23" s="26">
        <v>46253</v>
      </c>
      <c r="F23" s="55">
        <f>E23-D23+1</f>
        <v>7</v>
      </c>
      <c r="G23" s="83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82"/>
      <c r="AL23" s="83"/>
      <c r="AM23" s="59"/>
      <c r="AN23" s="59"/>
      <c r="AO23" s="60"/>
      <c r="AP23" s="60"/>
      <c r="AQ23" s="60"/>
      <c r="AR23" s="66"/>
      <c r="AS23" s="66"/>
      <c r="AT23" s="66"/>
      <c r="AU23" s="66"/>
      <c r="AV23" s="57"/>
      <c r="AW23" s="57"/>
      <c r="AX23" s="58"/>
      <c r="AY23" s="58"/>
      <c r="AZ23" s="58"/>
      <c r="BA23" s="106"/>
      <c r="BB23" s="106"/>
      <c r="BC23" s="106"/>
      <c r="BD23" s="58"/>
      <c r="BE23" s="57"/>
      <c r="BF23" s="57"/>
      <c r="BG23" s="57"/>
      <c r="BH23" s="35"/>
      <c r="BI23" s="36"/>
    </row>
    <row r="24" ht="20" customHeight="1" spans="1:61">
      <c r="A24" s="84"/>
      <c r="B24" s="65"/>
      <c r="C24" s="26" t="s">
        <v>81</v>
      </c>
      <c r="D24" s="26"/>
      <c r="E24" s="26"/>
      <c r="F24" s="55"/>
      <c r="G24" s="83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82"/>
      <c r="AL24" s="83"/>
      <c r="AM24" s="59"/>
      <c r="AN24" s="59"/>
      <c r="AO24" s="60"/>
      <c r="AP24" s="60"/>
      <c r="AQ24" s="60"/>
      <c r="AR24" s="66"/>
      <c r="AS24" s="66"/>
      <c r="AT24" s="66"/>
      <c r="AU24" s="66"/>
      <c r="AV24" s="57"/>
      <c r="AW24" s="57"/>
      <c r="AX24" s="66"/>
      <c r="AY24" s="66"/>
      <c r="AZ24" s="66"/>
      <c r="BA24" s="107"/>
      <c r="BB24" s="107"/>
      <c r="BC24" s="107"/>
      <c r="BD24" s="66"/>
      <c r="BE24" s="66"/>
      <c r="BF24" s="57"/>
      <c r="BG24" s="57"/>
      <c r="BH24" s="35"/>
      <c r="BI24" s="36"/>
    </row>
    <row r="25" ht="20" customHeight="1" spans="1:61">
      <c r="A25" s="108" t="s">
        <v>98</v>
      </c>
      <c r="B25" s="54" t="s">
        <v>99</v>
      </c>
      <c r="C25" s="26" t="s">
        <v>79</v>
      </c>
      <c r="D25" s="26">
        <v>46247</v>
      </c>
      <c r="E25" s="26">
        <v>46253</v>
      </c>
      <c r="F25" s="55">
        <f>E25-D25+1</f>
        <v>7</v>
      </c>
      <c r="G25" s="83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82"/>
      <c r="AL25" s="83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74"/>
      <c r="AY25" s="74"/>
      <c r="AZ25" s="74"/>
      <c r="BA25" s="74"/>
      <c r="BB25" s="74"/>
      <c r="BC25" s="74"/>
      <c r="BD25" s="74"/>
      <c r="BE25" s="59"/>
      <c r="BF25" s="59"/>
      <c r="BG25" s="59"/>
      <c r="BH25" s="35"/>
      <c r="BI25" s="36"/>
    </row>
    <row r="26" ht="20" customHeight="1" spans="1:61">
      <c r="A26" s="109"/>
      <c r="B26" s="65"/>
      <c r="C26" s="26" t="s">
        <v>81</v>
      </c>
      <c r="D26" s="26"/>
      <c r="E26" s="26"/>
      <c r="F26" s="110"/>
      <c r="G26" s="111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3"/>
      <c r="AL26" s="111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4"/>
      <c r="AY26" s="114"/>
      <c r="AZ26" s="114"/>
      <c r="BA26" s="114"/>
      <c r="BB26" s="114"/>
      <c r="BC26" s="114"/>
      <c r="BD26" s="114"/>
      <c r="BE26" s="114"/>
      <c r="BF26" s="112"/>
      <c r="BG26" s="112"/>
      <c r="BH26" s="115"/>
      <c r="BI26" s="116"/>
    </row>
    <row r="27" ht="20" customHeight="1" spans="1:61">
      <c r="A27" s="117"/>
      <c r="B27" s="118"/>
      <c r="C27" s="118"/>
      <c r="D27" s="118"/>
      <c r="E27" s="118"/>
      <c r="F27" s="118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20" t="s">
        <v>100</v>
      </c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2"/>
    </row>
    <row r="28" ht="20" customHeight="1" spans="1:61">
      <c r="A28" s="123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5">
        <v>46234</v>
      </c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7"/>
    </row>
    <row r="31" spans="1:61">
      <c r="AC31" s="128" t="s">
        <v>101</v>
      </c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</row>
    <row r="32" spans="1:61"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</row>
    <row r="33" spans="29:56"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</row>
    <row r="34" spans="29:56"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</row>
    <row r="35" spans="29:56"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</row>
    <row r="36" spans="29:56"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</row>
    <row r="37" spans="29:56"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</row>
    <row r="38" spans="29:56"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</row>
    <row r="39" spans="29:56"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</row>
    <row r="40" spans="29:56"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</row>
    <row r="41" spans="29:56"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</row>
    <row r="42" spans="29:56"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</row>
    <row r="43" spans="29:56"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</row>
    <row r="44" spans="29:56"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</row>
  </sheetData>
  <mergeCells count="34">
    <mergeCell ref="A1:BI1"/>
    <mergeCell ref="G2:BI2"/>
    <mergeCell ref="G3:AK3"/>
    <mergeCell ref="AL3:BI3"/>
    <mergeCell ref="AS27:BI27"/>
    <mergeCell ref="AS28:BI28"/>
    <mergeCell ref="A2:A4"/>
    <mergeCell ref="A5:A14"/>
    <mergeCell ref="A15:A24"/>
    <mergeCell ref="A25:A26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D2:D4"/>
    <mergeCell ref="E2:E4"/>
    <mergeCell ref="F2:F4"/>
    <mergeCell ref="A27:AR28"/>
    <mergeCell ref="B2:C4"/>
    <mergeCell ref="L5:R6"/>
    <mergeCell ref="AR7:BI8"/>
    <mergeCell ref="AP15:AX16"/>
    <mergeCell ref="AC11:AN12"/>
    <mergeCell ref="AC31:BD44"/>
    <mergeCell ref="AM9:AW10"/>
    <mergeCell ref="AU13:BD14"/>
    <mergeCell ref="BC17:BI18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项目施工月度报表</vt:lpstr>
      <vt:lpstr>施工进度计划（调整后）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WPS_1646106785</cp:lastModifiedBy>
  <dcterms:created xsi:type="dcterms:W3CDTF">2025-09-30T02:34:00Z</dcterms:created>
  <dcterms:modified xsi:type="dcterms:W3CDTF">2026-08-03T10:54:58Z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B6627A58B1F84A1E95E02DD890C260FB_13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