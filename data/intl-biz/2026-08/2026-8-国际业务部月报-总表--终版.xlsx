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 tabRatio="731"/>
  </bookViews>
  <sheets>
    <sheet name="汇总表" sheetId="6" r:id="rId1"/>
    <sheet name="1组（陈子凡）" sheetId="9" r:id="rId2"/>
    <sheet name="2组（司斌）" sheetId="10" r:id="rId3"/>
    <sheet name="3组（王伟乐）" sheetId="11" r:id="rId4"/>
    <sheet name="5组（陈辉）" sheetId="12" r:id="rId5"/>
    <sheet name="6组（韩鸿彪）" sheetId="13" r:id="rId6"/>
    <sheet name="俄语组（崔阳）" sheetId="14" r:id="rId7"/>
    <sheet name="明细表1-业务完成指标" sheetId="50" r:id="rId8"/>
    <sheet name="明细表2-新增客户数量" sheetId="51" r:id="rId9"/>
    <sheet name="明细表3-销售成本指标 " sheetId="52" r:id="rId10"/>
    <sheet name="明细表4-回款进度指标" sheetId="53" r:id="rId11"/>
  </sheets>
  <externalReferences>
    <externalReference r:id="rId12"/>
    <externalReference r:id="rId13"/>
  </externalReferences>
  <definedNames>
    <definedName name="_xlnm._FilterDatabase" localSheetId="8" hidden="1">'明细表2-新增客户数量'!$A$2:$AH$42</definedName>
    <definedName name="_xlnm._FilterDatabase" localSheetId="9" hidden="1">'明细表3-销售成本指标 '!$A$2:$M$30</definedName>
    <definedName name="_xlnm._FilterDatabase" localSheetId="10" hidden="1">'明细表4-回款进度指标'!$A$2:$V$56</definedName>
    <definedName name="_xlnm.Print_Area" localSheetId="1">'1组（陈子凡）'!$A$1:$O$50</definedName>
    <definedName name="_xlnm.Print_Area" localSheetId="2">'2组（司斌）'!$A$1:$P$44</definedName>
    <definedName name="_xlnm.Print_Area" localSheetId="3">'3组（王伟乐）'!$A$1:$S$43</definedName>
    <definedName name="_xlnm.Print_Area" localSheetId="4">'5组（陈辉）'!$A$1:$O$47</definedName>
    <definedName name="_xlnm.Print_Area" localSheetId="5">'6组（韩鸿彪）'!$A$1:$N$44</definedName>
    <definedName name="_xlnm.Print_Area" localSheetId="6">'俄语组（崔阳）'!$A$1:$O$49</definedName>
    <definedName name="_xlnm._FilterDatabase" localSheetId="7">'明细表1-业务完成指标'!$A$2:$M$14</definedName>
    <definedName name="_xlnm.Print_Area" localSheetId="8">'明细表2-新增客户数量'!$K$11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  <author>Administrator</author>
  </authors>
  <commentList>
    <comment ref="C30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N5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  <comment ref="M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41000+2307.57</t>
        </r>
      </text>
    </comment>
    <comment ref="M8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  <comment ref="M8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  <comment ref="M9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  <comment ref="M99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  <comment ref="D105" authorId="0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  <comment ref="D107" authorId="0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</commentList>
</comments>
</file>

<file path=xl/comments2.xml><?xml version="1.0" encoding="utf-8"?>
<comments xmlns="http://schemas.openxmlformats.org/spreadsheetml/2006/main">
  <authors>
    <author>Unknown User</author>
    <author>Administrator</author>
  </authors>
  <commentList>
    <comment ref="D17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L39" authorId="0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N5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  <comment ref="M7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41000+2307.57</t>
        </r>
      </text>
    </comment>
    <comment ref="M7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  <comment ref="M7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</commentList>
</comments>
</file>

<file path=xl/comments3.xml><?xml version="1.0" encoding="utf-8"?>
<comments xmlns="http://schemas.openxmlformats.org/spreadsheetml/2006/main">
  <authors>
    <author>Unknown User</author>
    <author>Administrator</author>
  </authors>
  <commentList>
    <comment ref="D14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L36" authorId="0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N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</commentList>
</comments>
</file>

<file path=xl/comments4.xml><?xml version="1.0" encoding="utf-8"?>
<comments xmlns="http://schemas.openxmlformats.org/spreadsheetml/2006/main">
  <authors>
    <author>Unknown User</author>
    <author>Administrator</author>
  </authors>
  <commentList>
    <comment ref="D14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N35" authorId="0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J36" authorId="1">
      <text>
        <r>
          <rPr>
            <sz val="9"/>
            <rFont val="宋体"/>
            <charset val="134"/>
          </rPr>
          <t>会展桌子租赁费-业务宣传</t>
        </r>
      </text>
    </comment>
    <comment ref="N4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</commentList>
</comments>
</file>

<file path=xl/comments5.xml><?xml version="1.0" encoding="utf-8"?>
<comments xmlns="http://schemas.openxmlformats.org/spreadsheetml/2006/main">
  <authors>
    <author>Lenovo</author>
    <author>Unknown User</author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按照P2职级对应的目标的一半执行（6月份转岗）</t>
        </r>
      </text>
    </comment>
    <comment ref="L39" authorId="1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N48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  <comment ref="M50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  <comment ref="M51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</commentList>
</comments>
</file>

<file path=xl/comments6.xml><?xml version="1.0" encoding="utf-8"?>
<comments xmlns="http://schemas.openxmlformats.org/spreadsheetml/2006/main">
  <authors>
    <author>Unknown User</author>
    <author>Administrator</author>
  </authors>
  <commentList>
    <comment ref="D14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L36" authorId="0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N4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</commentList>
</comments>
</file>

<file path=xl/comments7.xml><?xml version="1.0" encoding="utf-8"?>
<comments xmlns="http://schemas.openxmlformats.org/spreadsheetml/2006/main">
  <authors>
    <author>Unknown User</author>
    <author>Administrator</author>
  </authors>
  <commentList>
    <comment ref="D14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1.起始时间：2017年5月-2025年9月；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  <comment ref="N50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  <comment ref="D51" authorId="0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  <comment ref="D53" authorId="0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</commentList>
</comments>
</file>

<file path=xl/comments8.xml><?xml version="1.0" encoding="utf-8"?>
<comments xmlns="http://schemas.openxmlformats.org/spreadsheetml/2006/main">
  <authors>
    <author>Unknown User</author>
  </authors>
  <commentList>
    <comment ref="D30" authorId="0">
      <text>
        <r>
          <rPr>
            <b/>
            <sz val="9"/>
            <color rgb="FF000000"/>
            <rFont val="宋体"/>
            <charset val="134"/>
          </rPr>
          <t xml:space="preserve">
1.起始时间：2017年5月-2026年8月；
2.范围备注：不包含公海客户信息；</t>
        </r>
        <r>
          <rPr>
            <sz val="10"/>
            <rFont val="宋体"/>
            <charset val="134"/>
          </rPr>
          <t xml:space="preserve">
  - 惠紫燕</t>
        </r>
      </text>
    </comment>
  </commentList>
</comments>
</file>

<file path=xl/comments9.xml><?xml version="1.0" encoding="utf-8"?>
<comments xmlns="http://schemas.openxmlformats.org/spreadsheetml/2006/main">
  <authors>
    <author>Unknown User</author>
    <author>杨嘉奇</author>
    <author>Administrator</author>
  </authors>
  <commentList>
    <comment ref="L2" authorId="0">
      <text>
        <r>
          <rPr>
            <b/>
            <sz val="9"/>
            <color rgb="FF000000"/>
            <rFont val="宋体"/>
            <charset val="134"/>
          </rPr>
          <t xml:space="preserve">销售成本的费效比
</t>
        </r>
        <r>
          <rPr>
            <sz val="10"/>
            <rFont val="宋体"/>
            <charset val="134"/>
          </rPr>
          <t xml:space="preserve">
  - 吴桂芝</t>
        </r>
      </text>
    </comment>
    <comment ref="J3" authorId="1">
      <text>
        <r>
          <rPr>
            <b/>
            <sz val="9"/>
            <rFont val="宋体"/>
            <charset val="134"/>
          </rPr>
          <t>杨嘉奇:</t>
        </r>
        <r>
          <rPr>
            <sz val="9"/>
            <rFont val="宋体"/>
            <charset val="134"/>
          </rPr>
          <t xml:space="preserve">
广告宣传+通讯+外部服务费+福利费</t>
        </r>
      </text>
    </comment>
    <comment ref="J5" authorId="1">
      <text>
        <r>
          <rPr>
            <b/>
            <sz val="9"/>
            <rFont val="宋体"/>
            <charset val="134"/>
          </rPr>
          <t>杨嘉奇:</t>
        </r>
        <r>
          <rPr>
            <sz val="9"/>
            <rFont val="宋体"/>
            <charset val="134"/>
          </rPr>
          <t xml:space="preserve">
通讯</t>
        </r>
      </text>
    </comment>
    <comment ref="J21" authorId="2">
      <text>
        <r>
          <rPr>
            <sz val="9"/>
            <rFont val="宋体"/>
            <charset val="134"/>
          </rPr>
          <t>通讯费</t>
        </r>
      </text>
    </comment>
    <comment ref="L21" authorId="0">
      <text>
        <r>
          <rPr>
            <sz val="9"/>
            <color rgb="FF000000"/>
            <rFont val="宋体"/>
            <charset val="134"/>
          </rPr>
          <t xml:space="preserve">本年业绩为0
</t>
        </r>
        <r>
          <rPr>
            <sz val="10"/>
            <rFont val="宋体"/>
            <charset val="134"/>
          </rPr>
          <t xml:space="preserve">
  - 吴桂芝</t>
        </r>
      </text>
    </comment>
    <comment ref="M21" authorId="0">
      <text>
        <r>
          <rPr>
            <sz val="9"/>
            <color rgb="FF000000"/>
            <rFont val="宋体"/>
            <charset val="134"/>
          </rPr>
          <t xml:space="preserve">本年业绩为0
</t>
        </r>
        <r>
          <rPr>
            <sz val="10"/>
            <rFont val="宋体"/>
            <charset val="134"/>
          </rPr>
          <t xml:space="preserve">
  - 吴桂芝</t>
        </r>
      </text>
    </comment>
    <comment ref="J25" authorId="1">
      <text>
        <r>
          <rPr>
            <b/>
            <sz val="9"/>
            <rFont val="宋体"/>
            <charset val="134"/>
          </rPr>
          <t>杨嘉奇:</t>
        </r>
        <r>
          <rPr>
            <sz val="9"/>
            <rFont val="宋体"/>
            <charset val="134"/>
          </rPr>
          <t xml:space="preserve">
福利费+通讯费</t>
        </r>
      </text>
    </comment>
    <comment ref="L25" authorId="0">
      <text>
        <r>
          <rPr>
            <sz val="9"/>
            <color rgb="FF000000"/>
            <rFont val="宋体"/>
            <charset val="134"/>
          </rPr>
          <t>本年业绩为0</t>
        </r>
        <r>
          <rPr>
            <sz val="10"/>
            <rFont val="宋体"/>
            <charset val="134"/>
          </rPr>
          <t xml:space="preserve">
  - 吴桂芝</t>
        </r>
      </text>
    </comment>
    <comment ref="M25" authorId="0">
      <text>
        <r>
          <rPr>
            <sz val="9"/>
            <color rgb="FF000000"/>
            <rFont val="宋体"/>
            <charset val="134"/>
          </rPr>
          <t xml:space="preserve">本年业绩为0
</t>
        </r>
        <r>
          <rPr>
            <sz val="10"/>
            <rFont val="宋体"/>
            <charset val="134"/>
          </rPr>
          <t xml:space="preserve">
  - 吴桂芝</t>
        </r>
      </text>
    </comment>
  </commentList>
</comments>
</file>

<file path=xl/comments10.xml><?xml version="1.0" encoding="utf-8"?>
<comments xmlns="http://schemas.openxmlformats.org/spreadsheetml/2006/main">
  <authors>
    <author>Administrator</author>
    <author>Unknown User</author>
  </authors>
  <commentLis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6.8066.8077</t>
        </r>
      </text>
    </comment>
    <comment ref="M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41000+2307.57</t>
        </r>
      </text>
    </comment>
    <comment ref="M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  <comment ref="M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558742.62+299426.73</t>
        </r>
      </text>
    </comment>
    <comment ref="M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  <comment ref="M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153225+13824.85+42,273.00+27909</t>
        </r>
      </text>
    </comment>
    <comment ref="D50" authorId="1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  <comment ref="D52" authorId="1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金额不一致</t>
        </r>
        <r>
          <rPr>
            <sz val="10"/>
            <rFont val="宋体"/>
            <charset val="134"/>
          </rPr>
          <t xml:space="preserve">
  - 李茹</t>
        </r>
      </text>
    </comment>
  </commentList>
</comments>
</file>

<file path=xl/sharedStrings.xml><?xml version="1.0" encoding="utf-8"?>
<sst xmlns="http://schemas.openxmlformats.org/spreadsheetml/2006/main" count="2448" uniqueCount="358">
  <si>
    <t>一、月度业绩完成指标(冲刺指标）  单位：万元</t>
  </si>
  <si>
    <t>2026年8月</t>
  </si>
  <si>
    <t>类别</t>
  </si>
  <si>
    <t>当月</t>
  </si>
  <si>
    <t>一季度
（1-3月）</t>
  </si>
  <si>
    <t>二季度
（4-6月）</t>
  </si>
  <si>
    <t>三季度
（7-9月）</t>
  </si>
  <si>
    <t>四季度
（10-12月）</t>
  </si>
  <si>
    <t>年度累计</t>
  </si>
  <si>
    <t>国际业务部</t>
  </si>
  <si>
    <t>目标</t>
  </si>
  <si>
    <t>/</t>
  </si>
  <si>
    <t>完成值</t>
  </si>
  <si>
    <t>完成比</t>
  </si>
  <si>
    <t>未完成指标</t>
  </si>
  <si>
    <t>年内预计成交订单金额</t>
  </si>
  <si>
    <t>一组</t>
  </si>
  <si>
    <t xml:space="preserve"> </t>
  </si>
  <si>
    <t>二组</t>
  </si>
  <si>
    <t>三组</t>
  </si>
  <si>
    <t>五组</t>
  </si>
  <si>
    <t>六组</t>
  </si>
  <si>
    <t>俄语组</t>
  </si>
  <si>
    <t>二、月度新增客户数量</t>
  </si>
  <si>
    <t>全部客户</t>
  </si>
  <si>
    <t>符合画像客户</t>
  </si>
  <si>
    <t>机会客户</t>
  </si>
  <si>
    <t>培育中客户</t>
  </si>
  <si>
    <t>报价决策重点客户</t>
  </si>
  <si>
    <t>临签客户</t>
  </si>
  <si>
    <t>参加展会/论坛等商务活动客户新增数量</t>
  </si>
  <si>
    <t>8月</t>
  </si>
  <si>
    <t>累计</t>
  </si>
  <si>
    <t>三、月度销售成本指标  单位：元</t>
  </si>
  <si>
    <t>当月销售成本</t>
  </si>
  <si>
    <t>一季度销售成本
（1-3月）</t>
  </si>
  <si>
    <t>二季度销售成本
（4-6月）</t>
  </si>
  <si>
    <t>三季度销售成本
（7-9月）</t>
  </si>
  <si>
    <t>四季度销售成本
（10-12月）</t>
  </si>
  <si>
    <t>年度累计销售成本</t>
  </si>
  <si>
    <t>四、2026年销售回款情况</t>
  </si>
  <si>
    <t>序号</t>
  </si>
  <si>
    <t>组别</t>
  </si>
  <si>
    <t>项目状态</t>
  </si>
  <si>
    <t>项目名称（按合同）</t>
  </si>
  <si>
    <t>合同时间</t>
  </si>
  <si>
    <t>项目责任人</t>
  </si>
  <si>
    <t>币别</t>
  </si>
  <si>
    <t>合同额
(USD/RMB)</t>
  </si>
  <si>
    <t>合同额
(RMB)</t>
  </si>
  <si>
    <t>合同收款进度约定</t>
  </si>
  <si>
    <t>实收金额(USD/RMB)</t>
  </si>
  <si>
    <t>实收金额
(RMB)</t>
  </si>
  <si>
    <t>应收余额
(USD/RMB)</t>
  </si>
  <si>
    <t>应收余额
(RMB)</t>
  </si>
  <si>
    <t>综合收款进度</t>
  </si>
  <si>
    <t>应收分类</t>
  </si>
  <si>
    <t>超期应收金额
(USD/RMB)</t>
  </si>
  <si>
    <t>未到期应收金额
(USD/RMB)</t>
  </si>
  <si>
    <t>验收时间（参考）</t>
  </si>
  <si>
    <t>未回款原因/跟进措施</t>
  </si>
  <si>
    <t>8月份新增回款(USD/RMB)</t>
  </si>
  <si>
    <t>8月份新增回款(RMB)</t>
  </si>
  <si>
    <t>1组</t>
  </si>
  <si>
    <t>在建</t>
  </si>
  <si>
    <t>巴基斯坦SECMC铁路装车站项目（设计）</t>
  </si>
  <si>
    <t>陈子凡</t>
  </si>
  <si>
    <t>美元</t>
  </si>
  <si>
    <t>设计费已收到50%</t>
  </si>
  <si>
    <t>巴基斯坦SECMC铁路装车站项目（供货）</t>
  </si>
  <si>
    <t>15%-55%-15%-10%-5%</t>
  </si>
  <si>
    <t>货款已收到20%</t>
  </si>
  <si>
    <t>巴基斯坦SECMC铁路装车站项目（施工）</t>
  </si>
  <si>
    <t>施工费0%</t>
  </si>
  <si>
    <t>蒙古2*7000卷边仓项目（供货）</t>
  </si>
  <si>
    <t>10%-20%-60%-10%</t>
  </si>
  <si>
    <t>质保金（10%）</t>
  </si>
  <si>
    <t>蒙古2*7000卷边仓项目（安装）</t>
  </si>
  <si>
    <t>30%-20%-20%-20%-10%</t>
  </si>
  <si>
    <t>进度款（60%）、
质保金（10%）</t>
  </si>
  <si>
    <t>菲律宾Davao2X150淀粉仓项目</t>
  </si>
  <si>
    <t>20%-60%-10%-10%</t>
  </si>
  <si>
    <t>发货款（60%）、完工款（10%）、质保金（10%）</t>
  </si>
  <si>
    <t>菲律宾3x5000吨稻谷仓</t>
  </si>
  <si>
    <t>进度款（18.3871%）、发货款（54.6373%）、质保金（10%）</t>
  </si>
  <si>
    <t>50%-50%</t>
  </si>
  <si>
    <t>蒙古MAK WEST火车接收坑改造项目</t>
  </si>
  <si>
    <t>人民币</t>
  </si>
  <si>
    <t>30%-60%-10%</t>
  </si>
  <si>
    <t>发货款（60%）、尾款（10%）</t>
  </si>
  <si>
    <t>蒙古厂房设计项目-A，总金额1680000元</t>
  </si>
  <si>
    <t>30%-30%-30%-10%</t>
  </si>
  <si>
    <t>第一期付款（30%）、第二期付款（30%）、尾款（10%）</t>
  </si>
  <si>
    <t>蒙古厂房设计项目-B，总金额833280元</t>
  </si>
  <si>
    <t>蒙古2x150吨水泥仓系统</t>
  </si>
  <si>
    <t>交货款（60%）、尾款（10%）</t>
  </si>
  <si>
    <t>蒙古MAK热风管改造项目</t>
  </si>
  <si>
    <t>30%-45%-20%-5%</t>
  </si>
  <si>
    <t>验收款（20%）、尾款（5%）</t>
  </si>
  <si>
    <t>菲律宾电缆配件</t>
  </si>
  <si>
    <t>30%-70%</t>
  </si>
  <si>
    <t>发货款（70%）</t>
  </si>
  <si>
    <t>完工</t>
  </si>
  <si>
    <t>蒙古2*7000吨水泥仓系统</t>
  </si>
  <si>
    <t>2025年07月（完工时间）</t>
  </si>
  <si>
    <t>业主方优先保障执行中项目付款，此笔可后续逐步回收。</t>
  </si>
  <si>
    <t>菲律宾4套饲料颗粒仓</t>
  </si>
  <si>
    <t>20%-70%-10%</t>
  </si>
  <si>
    <t>2022年07月（报关单）</t>
  </si>
  <si>
    <t>验收报告已于2025年获取其中2套颗粒仓的报告，针对这两套颗粒仓，业主同意我方开具质保保函后付款，另外两套仓因设备未投用，项目经理拒绝办理验收手续。</t>
  </si>
  <si>
    <t>巴基斯坦煤炭转运仓</t>
  </si>
  <si>
    <t>2021年11年（报关单）</t>
  </si>
  <si>
    <t>2023年3月份完工，与总包方Gasco签订，Gasco拖延不回复，无有效催收手段，建议法律诉讼</t>
  </si>
  <si>
    <t>菲律宾4套万吨玉米仓配套设备</t>
  </si>
  <si>
    <t>2024年11月（报关单）</t>
  </si>
  <si>
    <t>业主方已完成安装，试运行阶段，设备存在问题，正在解决，之后处理质保金；合同约定调试完成后12个月</t>
  </si>
  <si>
    <t>蒙古MAK2*700T+3*110T水泥仓</t>
  </si>
  <si>
    <t>2025年07年（最后一批发货）</t>
  </si>
  <si>
    <t>菲律宾港口轨道式吸粮机</t>
  </si>
  <si>
    <t>业主方已完成安装，试运行阶段，设备存在问题，正在解决，之后处理质保金；合同约定调试完成后12个月，袁继斌去整改</t>
  </si>
  <si>
    <t>菲律宾2座万吨仓修复项目</t>
  </si>
  <si>
    <t>2023年01月（报关单）</t>
  </si>
  <si>
    <t>业主去年同意验收并付款，但后续因高电缆信号问题导致软件过期，属供货质量问题，电气已在现场处理，待解决后即可申请质保金；合同约定调试完成后12个月</t>
  </si>
  <si>
    <t>蒙古16×200m³面粉装配仓项目</t>
  </si>
  <si>
    <t>16.6%-16.7%-16.7%-16.7%-16.7%-11.6%-5%</t>
  </si>
  <si>
    <t>质保金（5%）</t>
  </si>
  <si>
    <t>2023年10月（报关单）</t>
  </si>
  <si>
    <t>业主一直没有调试，近期去联系业主催款</t>
  </si>
  <si>
    <t>菲律宾万吨平房仓及设备</t>
  </si>
  <si>
    <t>2023年06月（报关单）</t>
  </si>
  <si>
    <t>业主方没有完成安装，未投产，合同约定调试完成后12个月</t>
  </si>
  <si>
    <t>菲律宾卸粮坑发放仓</t>
  </si>
  <si>
    <t>2023年08月（报关单）</t>
  </si>
  <si>
    <t>蒙古MAK 称重改造</t>
  </si>
  <si>
    <t>2025年01月（完工时间）</t>
  </si>
  <si>
    <t>后续问题解决（张海军-签证原因），签证原因暂停</t>
  </si>
  <si>
    <t>蒙古MAKCEMENT167,000吨熟料料场系统（供货）</t>
  </si>
  <si>
    <t>2026年06月（完成消缺）25年12月竣工</t>
  </si>
  <si>
    <t>蒙古MAKCEMENT167,000吨熟料料场系统（安装）</t>
  </si>
  <si>
    <t>30%-20%-40%-10%</t>
  </si>
  <si>
    <t>蒙古MAK 3*700T</t>
  </si>
  <si>
    <t>26年3月2日已发货</t>
  </si>
  <si>
    <t>蒙古2*7000项目增补雨棚钢构及施工</t>
  </si>
  <si>
    <t/>
  </si>
  <si>
    <t>25年7月收到发货款</t>
  </si>
  <si>
    <t>菲律宾Cebu4X180淀粉仓项目</t>
  </si>
  <si>
    <t>张硕</t>
  </si>
  <si>
    <t>发货款（60%）、完工款（10%）质保金（10%）</t>
  </si>
  <si>
    <t>美元加州开心果农场筒仓配套粮情监控项目</t>
  </si>
  <si>
    <t>5%-13%-42%-20%-20%</t>
  </si>
  <si>
    <t>只收到5%定金</t>
  </si>
  <si>
    <t>2组</t>
  </si>
  <si>
    <t>马来西亚3×5000T生物质颗粒仓项目</t>
  </si>
  <si>
    <t>司斌</t>
  </si>
  <si>
    <t>30%-25%-25%-15%-5%</t>
  </si>
  <si>
    <t>29450.76是进度款（6%）、24000是质保金（5%）</t>
  </si>
  <si>
    <t>项目经理没有拿回验收证明，空载测试OK，还没有带料使用，业主担心投入使用后出现问题，暂不给签验收证明，与业主方保持联系，根据项目进度催促尾款。</t>
  </si>
  <si>
    <t>阿联酋32个开心果和杏仁筒仓项目</t>
  </si>
  <si>
    <t>王伟超</t>
  </si>
  <si>
    <t>5%-25%-60%-10%</t>
  </si>
  <si>
    <t>1650000是进度款（60%）、275000是质保金（10%）</t>
  </si>
  <si>
    <t>3组</t>
  </si>
  <si>
    <t>26执行-工业06-拉法基豪瑞孟加拉国采购项目</t>
  </si>
  <si>
    <t>马鹏飞</t>
  </si>
  <si>
    <t>埃及2X500t 水泥仓项目</t>
  </si>
  <si>
    <t>王伟乐</t>
  </si>
  <si>
    <t>菲律宾镍矿烘干项目</t>
  </si>
  <si>
    <t>30%-50%-10%-10%</t>
  </si>
  <si>
    <t>安装款（10%）、质保金（10%）</t>
  </si>
  <si>
    <t>埃及8*9000T水泥仓</t>
  </si>
  <si>
    <t>30%-40%-15%-10%-5%</t>
  </si>
  <si>
    <t>270000是完工款（10%）135000是调试款（5%）</t>
  </si>
  <si>
    <t>毛里塔尼亚CIMAF 1X700T水泥仓安装指导费用</t>
  </si>
  <si>
    <t>其他阶段</t>
  </si>
  <si>
    <t>毛里塔尼亚4*300T水泥仓安装指导</t>
  </si>
  <si>
    <t>安装款（38%）EPC项目</t>
  </si>
  <si>
    <t>2024年07月（报关单）</t>
  </si>
  <si>
    <t>安装调试与业主双方拉扯中</t>
  </si>
  <si>
    <t>5组</t>
  </si>
  <si>
    <t>斯里兰卡4x2000吨水泥仓项目</t>
  </si>
  <si>
    <t>陈辉</t>
  </si>
  <si>
    <t>1033800是到货款60%
172300是质保金10%</t>
  </si>
  <si>
    <t>埃及港口2x1万吨仓和600tph气力输送项目（供货）</t>
  </si>
  <si>
    <t>20%-75%-5%</t>
  </si>
  <si>
    <t>埃及港口2x1万吨仓和600tph气力输送项目（安装）</t>
  </si>
  <si>
    <t>30%-25%-15%-15%-15%</t>
  </si>
  <si>
    <t>42273进度款（15%）
27909质保金（10%）</t>
  </si>
  <si>
    <t>埃及配件采购和atlas调试费项目</t>
  </si>
  <si>
    <t>冈比亚2*19000T水泥仓系统</t>
  </si>
  <si>
    <t>10%-20%-65%-5%</t>
  </si>
  <si>
    <t>业主未安装，26年1月收到发货款</t>
  </si>
  <si>
    <t>6组</t>
  </si>
  <si>
    <t>越南QNC4×6000T螺旋卷边仓项目</t>
  </si>
  <si>
    <t>韩鸿彪</t>
  </si>
  <si>
    <t>越南QNC4×6000T螺旋卷边仓项目指导安装部分</t>
  </si>
  <si>
    <t>30%-40%-30%</t>
  </si>
  <si>
    <t>安装款（30%）、第一个筒仓完成后付款（40%）、收到发票5个工作日之内（30%）</t>
  </si>
  <si>
    <t>越南4x6000T卷边仓项目配套提升机项目</t>
  </si>
  <si>
    <t>预付款（30%）、发货款，信用证支付（70%）</t>
  </si>
  <si>
    <t>、</t>
  </si>
  <si>
    <t>俄罗斯达涅利输送设备</t>
  </si>
  <si>
    <t>崔阳</t>
  </si>
  <si>
    <t>运费100%</t>
  </si>
  <si>
    <t>乌兹CEMIX碳酸钙筒仓（货物部分36484175安装9915825）</t>
  </si>
  <si>
    <t>505277.5货物质保金1%
823139.5是安装进度款2%
991582.5是安装质保金2%</t>
  </si>
  <si>
    <t>2025年07月（验收报告）</t>
  </si>
  <si>
    <t>1、跟业主沟通，签署后续解决问题的协议，下一步进程
协议已签署0710，付款（80+460）财务完税证明待出具
2、款额巨大</t>
  </si>
  <si>
    <t>业主方未提设备</t>
  </si>
  <si>
    <t>俄罗斯达涅利输送设备-增补电控</t>
  </si>
  <si>
    <t>美元 小计（47个）</t>
  </si>
  <si>
    <t>人民币 小计（21 个）</t>
  </si>
  <si>
    <t>换算成 人民币 小计（68个）</t>
  </si>
  <si>
    <t>一、2026年8月  业务完成指标  单位：万元</t>
  </si>
  <si>
    <t>业务小组</t>
  </si>
  <si>
    <t>销售工程师</t>
  </si>
  <si>
    <t>年度
一级指标</t>
  </si>
  <si>
    <t>当季度
一级指标</t>
  </si>
  <si>
    <t>2026年8月
完成销售额</t>
  </si>
  <si>
    <t>当月完成情况占年度指标完成比</t>
  </si>
  <si>
    <t>本财年
累计完成销售额</t>
  </si>
  <si>
    <t>本财年
累计销售额完成比</t>
  </si>
  <si>
    <t>剩余年度指标</t>
  </si>
  <si>
    <t>剩余年度
指标比例</t>
  </si>
  <si>
    <t>2026年可能产生订单金额
(临签客户+报价决策客户）</t>
  </si>
  <si>
    <t>王闯</t>
  </si>
  <si>
    <t>本组合计</t>
  </si>
  <si>
    <t>二、2026年8月    新增客户数量</t>
  </si>
  <si>
    <t>增量/存量</t>
  </si>
  <si>
    <t>合计</t>
  </si>
  <si>
    <t>截止2026年8月   本财年内的预成交项目与金额（临签项目+报价决策重点客户）</t>
  </si>
  <si>
    <t>1、临签项目信息</t>
  </si>
  <si>
    <t>业务员</t>
  </si>
  <si>
    <t>项目国别</t>
  </si>
  <si>
    <t>项目简述</t>
  </si>
  <si>
    <t>项目报价金额（万元，RMB）</t>
  </si>
  <si>
    <t>当前进展</t>
  </si>
  <si>
    <t>蒙古</t>
  </si>
  <si>
    <t>MAK 2x7000混凝土仓项目</t>
  </si>
  <si>
    <t>合同签订中</t>
  </si>
  <si>
    <t>美国</t>
  </si>
  <si>
    <t>美国测温电缆</t>
  </si>
  <si>
    <t>在和业主指定的安装商沟通安装方案，方案获准后业主同意签订仅采购合同</t>
  </si>
  <si>
    <t>小组合计</t>
  </si>
  <si>
    <t>2、报价决策重点客户（已进入决策期，项目体量大或报价大于等于3次）</t>
  </si>
  <si>
    <t>菲律宾</t>
  </si>
  <si>
    <t>生力集团取料机项目</t>
  </si>
  <si>
    <t>2台，含安装施工</t>
  </si>
  <si>
    <t>生力集团1x10000吨粉煤灰仓</t>
  </si>
  <si>
    <t>报价超过3次，还在更新方案</t>
  </si>
  <si>
    <t>Moncement 3x2000吨水泥仓</t>
  </si>
  <si>
    <t>本次拜访后确定了方案，待更新报价</t>
  </si>
  <si>
    <t>MAK砖厂现有气力输送系统更新项目</t>
  </si>
  <si>
    <t>待提交报价</t>
  </si>
  <si>
    <t>3、方案评审会重点项目</t>
  </si>
  <si>
    <t>孟加拉</t>
  </si>
  <si>
    <t>孟加拉Doreen水泥厂供料系统</t>
  </si>
  <si>
    <t>因老板决策，当前已暂停</t>
  </si>
  <si>
    <t>四、2026年8月    销售成本指标   单位：元</t>
  </si>
  <si>
    <t>办公费</t>
  </si>
  <si>
    <t>差旅费</t>
  </si>
  <si>
    <t>业务
招待费</t>
  </si>
  <si>
    <t>手续费</t>
  </si>
  <si>
    <t>车辆费</t>
  </si>
  <si>
    <t>佣金</t>
  </si>
  <si>
    <t>其他
销售成本</t>
  </si>
  <si>
    <t>销售成本费率
（全年销售成本与全年销售额比值）</t>
  </si>
  <si>
    <t>佣金成本费率
（全年佣金成本与全年销售额比值）</t>
  </si>
  <si>
    <t>本年累计</t>
  </si>
  <si>
    <t>五、2026年小组回款进度</t>
  </si>
  <si>
    <t>美元 小计</t>
  </si>
  <si>
    <t>人民币 小计</t>
  </si>
  <si>
    <t>换算成 人民币 小计</t>
  </si>
  <si>
    <t>备注：</t>
  </si>
  <si>
    <t>1、美元换算成人民币，暂按照8月31日央行中间价6.7828计算。</t>
  </si>
  <si>
    <t>年内可能产生订单金额
(临签客户+报价决策客户）</t>
  </si>
  <si>
    <t>三、截止2026年8月   本财年内的预成交项目与金额（临签项目+报价决策重点客户）</t>
  </si>
  <si>
    <t>项目报价金额
（万元，RMB）</t>
  </si>
  <si>
    <t>缅甸</t>
  </si>
  <si>
    <t>10x12500吨稻谷仓</t>
  </si>
  <si>
    <t>方案未最终确定，目前又调整为53个仓，无法预估金额</t>
  </si>
  <si>
    <t>越南</t>
  </si>
  <si>
    <t>2x10000木屑颗粒</t>
  </si>
  <si>
    <t>沟通付款方式；项目用地已审批，四季度放PO和合同</t>
  </si>
  <si>
    <t>哥斯达黎加</t>
  </si>
  <si>
    <t>哥斯达黎加室外2个175吨，室内32个（4T-12T-24T-34T)咖啡豆仓</t>
  </si>
  <si>
    <t>等待对方回复需要更改的设计问题</t>
  </si>
  <si>
    <t>斯里兰卡</t>
  </si>
  <si>
    <t>斯里兰卡30*3500T稻谷仓</t>
  </si>
  <si>
    <t>项目报价金额
（万元）</t>
  </si>
  <si>
    <t>备注</t>
  </si>
  <si>
    <t>菲律宾生力集团100TPH水泥冷却站项目</t>
  </si>
  <si>
    <t>2、已报价项目信息（三次及以上）</t>
  </si>
  <si>
    <t>摩洛哥</t>
  </si>
  <si>
    <t>cimat1*700t 水泥仓项目</t>
  </si>
  <si>
    <t>项目报价金额
（万元，人民币）</t>
  </si>
  <si>
    <t>新加坡</t>
  </si>
  <si>
    <t>新加披裕廊港12*10000t水泥钢板仓项目</t>
  </si>
  <si>
    <t>咨询公司本周更新相关方案，2个挑战：欧标设计、土建及地基处理（大EPC）；</t>
  </si>
  <si>
    <t>当月目标市场
展会成本</t>
  </si>
  <si>
    <t>当月展会每条
信息获客成本</t>
  </si>
  <si>
    <t>冯乐</t>
  </si>
  <si>
    <t>截止2026年8月   本财年内的预成交项目与金额（临签项目+已报价三次项目）</t>
  </si>
  <si>
    <t>埃及</t>
  </si>
  <si>
    <t>埃及2x10000焊接仓II期</t>
  </si>
  <si>
    <t>韩国</t>
  </si>
  <si>
    <t>4+2酒厂粮仓</t>
  </si>
  <si>
    <t>业主筹款中</t>
  </si>
  <si>
    <t>孟加拉SHAH</t>
  </si>
  <si>
    <t>2 x 2000 MT Silo 水泥项目</t>
  </si>
  <si>
    <t>更新方案：加一个控制仓整体钢构都得太高，给电控明细</t>
  </si>
  <si>
    <t>塞拉利昂</t>
  </si>
  <si>
    <t>塞拉利昂2个3万吨clinker项目</t>
  </si>
  <si>
    <t>韩国大宇3万吨磷矿粉项目</t>
  </si>
  <si>
    <t>坦桑尼亚</t>
  </si>
  <si>
    <t>小麦2×4500T装配仓项目</t>
  </si>
  <si>
    <t>Lanwa水泥混拌系统</t>
  </si>
  <si>
    <t>没报价</t>
  </si>
  <si>
    <t>苗恒</t>
  </si>
  <si>
    <t>项目报价金额
（万元,RMB）</t>
  </si>
  <si>
    <t>印尼
（项目地尼日利亚）</t>
  </si>
  <si>
    <t>新建面粉厂里的面粉存储系统
9*260m³+6*230m³ 不锈钢焊接仓</t>
  </si>
  <si>
    <t>650 万</t>
  </si>
  <si>
    <t>已确认订单意向，采购流程中</t>
  </si>
  <si>
    <t>QNC 4X6000T 配套输送设备及钢结构 （二标段）</t>
  </si>
  <si>
    <t>1000 万</t>
  </si>
  <si>
    <t>业主采购最新反馈定标时间预计8月底</t>
  </si>
  <si>
    <t>暂无</t>
  </si>
  <si>
    <t>也门</t>
  </si>
  <si>
    <t>2*1600T 水泥仓扩建项目</t>
  </si>
  <si>
    <t>四家供应商参与，等待业主内部启动该部分采购。
8月份确定供应商，另外2家竞争对手为印尼当地采购商</t>
  </si>
  <si>
    <t>2x3000吨稻谷仓项目</t>
  </si>
  <si>
    <t>客户反馈这个项目还需要更多时间，他们工厂电力状况出现问题影响生产，筒仓项目暂缓</t>
  </si>
  <si>
    <t>墨西哥</t>
  </si>
  <si>
    <t>墨西哥3x10000+2x5000+4x200+1x150粮仓项目</t>
  </si>
  <si>
    <t>方案报价V1已提交，目前正在深度沟通方案V2</t>
  </si>
  <si>
    <t>泰国</t>
  </si>
  <si>
    <t>泰国SCG 2x2500T水泥仓扩建项目</t>
  </si>
  <si>
    <t>尹韬越</t>
  </si>
  <si>
    <t>俄罗斯</t>
  </si>
  <si>
    <t>乌兰乌德电厂 -2新机组蒸汽锅炉灰渣储存和运输的筒仓设备供应项目 ，对通过气力输送的灰渣进行储存和发放</t>
  </si>
  <si>
    <t>Kotec公司已开始整场设计，土地基础建设以展开</t>
  </si>
  <si>
    <t>俄罗斯鞑靼石油公司对苯二甲酸固体不锈钢料仓4座,单仓仓容为3000m3。</t>
  </si>
  <si>
    <t>新的招标已展开，我们在5月6日进行了投标，第一轮技术投标初资格已通过，进入第一轮商业投标流程，5月底已完成资料提交</t>
  </si>
  <si>
    <t>TEKHSERVIS化学粉末仓</t>
  </si>
  <si>
    <t>75万吨小麦深加工项目</t>
  </si>
  <si>
    <r>
      <rPr>
        <b/>
        <sz val="10"/>
        <color rgb="FF000000"/>
        <rFont val="微软雅黑"/>
        <charset val="134"/>
      </rPr>
      <t xml:space="preserve">2026年8月  业务完成指标  
</t>
    </r>
    <r>
      <rPr>
        <b/>
        <sz val="10"/>
        <color rgb="FFFF0000"/>
        <rFont val="微软雅黑"/>
        <charset val="134"/>
      </rPr>
      <t>单位：万元</t>
    </r>
  </si>
  <si>
    <t>年度一级指标</t>
  </si>
  <si>
    <t>季度一级指标</t>
  </si>
  <si>
    <t>月份</t>
  </si>
  <si>
    <t>销售额</t>
  </si>
  <si>
    <t>当月完成情况
占年度指标完成比</t>
  </si>
  <si>
    <t>当月完成情况
占季度指标完成比</t>
  </si>
  <si>
    <t>剩余年度
指标占比</t>
  </si>
  <si>
    <t>2026-8</t>
  </si>
  <si>
    <t>2026年8月 新增客户数量</t>
  </si>
  <si>
    <t>2026年印度尼西亚经贸合作交流活动</t>
  </si>
  <si>
    <r>
      <rPr>
        <b/>
        <sz val="10"/>
        <color rgb="FF000000"/>
        <rFont val="微软雅黑"/>
        <charset val="134"/>
      </rPr>
      <t xml:space="preserve">2026年8月 销售成本指标
</t>
    </r>
    <r>
      <rPr>
        <b/>
        <sz val="10"/>
        <color rgb="FFFF0000"/>
        <rFont val="微软雅黑"/>
        <charset val="134"/>
      </rPr>
      <t>单位：元</t>
    </r>
  </si>
  <si>
    <t>回款进度指标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</si>
</sst>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%"/>
    <numFmt numFmtId="178" formatCode="#,##0.00_ "/>
    <numFmt numFmtId="179" formatCode="0.00_ "/>
    <numFmt numFmtId="180" formatCode="0_ "/>
    <numFmt numFmtId="181" formatCode="0.00_);[Red]\(0.00\)"/>
    <numFmt numFmtId="182" formatCode="_ * #,##0.00_ ;_ * \-#,##0.00_ ;_ * "/>
    <numFmt numFmtId="183" formatCode="#,##0_ "/>
  </numFmts>
  <fonts count="5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1F3A5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b/>
      <sz val="1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name val="微软雅黑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4" borderId="2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0" borderId="2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5" borderId="29" applyNumberFormat="0" applyAlignment="0" applyProtection="0">
      <alignment vertical="center"/>
    </xf>
    <xf numFmtId="0" fontId="40" fillId="6" borderId="30" applyNumberFormat="0" applyAlignment="0" applyProtection="0">
      <alignment vertical="center"/>
    </xf>
    <xf numFmtId="0" fontId="41" fillId="6" borderId="29" applyNumberFormat="0" applyAlignment="0" applyProtection="0">
      <alignment vertical="center"/>
    </xf>
    <xf numFmtId="0" fontId="42" fillId="7" borderId="31" applyNumberFormat="0" applyAlignment="0" applyProtection="0">
      <alignment vertical="center"/>
    </xf>
    <xf numFmtId="0" fontId="43" fillId="0" borderId="32" applyNumberFormat="0" applyFill="0" applyAlignment="0" applyProtection="0">
      <alignment vertical="center"/>
    </xf>
    <xf numFmtId="0" fontId="44" fillId="0" borderId="33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</cellStyleXfs>
  <cellXfs count="330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right"/>
    </xf>
    <xf numFmtId="9" fontId="4" fillId="0" borderId="3" xfId="0" applyNumberFormat="1" applyFont="1" applyBorder="1" applyAlignment="1">
      <alignment horizontal="left" vertical="center" wrapText="1"/>
    </xf>
    <xf numFmtId="4" fontId="5" fillId="0" borderId="3" xfId="0" applyNumberFormat="1" applyFont="1" applyBorder="1" applyAlignment="1">
      <alignment horizontal="right"/>
    </xf>
    <xf numFmtId="177" fontId="5" fillId="0" borderId="3" xfId="0" applyNumberFormat="1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/>
    </xf>
    <xf numFmtId="176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/>
    </xf>
    <xf numFmtId="4" fontId="5" fillId="0" borderId="3" xfId="0" applyNumberFormat="1" applyFont="1" applyFill="1" applyBorder="1" applyAlignment="1">
      <alignment horizontal="right"/>
    </xf>
    <xf numFmtId="177" fontId="5" fillId="0" borderId="3" xfId="0" applyNumberFormat="1" applyFont="1" applyFill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right"/>
    </xf>
    <xf numFmtId="178" fontId="4" fillId="0" borderId="3" xfId="0" applyNumberFormat="1" applyFont="1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Fill="1" applyAlignment="1">
      <alignment vertical="center"/>
    </xf>
    <xf numFmtId="0" fontId="10" fillId="0" borderId="4" xfId="0" applyFont="1" applyFill="1" applyBorder="1" applyAlignment="1" applyProtection="1"/>
    <xf numFmtId="0" fontId="11" fillId="0" borderId="4" xfId="0" applyFont="1" applyFill="1" applyBorder="1" applyAlignment="1" applyProtection="1"/>
    <xf numFmtId="0" fontId="10" fillId="0" borderId="4" xfId="0" applyFont="1" applyFill="1" applyBorder="1" applyAlignment="1" applyProtection="1">
      <alignment horizontal="centerContinuous" vertical="center" wrapText="1"/>
    </xf>
    <xf numFmtId="0" fontId="10" fillId="0" borderId="4" xfId="0" applyFont="1" applyFill="1" applyBorder="1" applyAlignment="1" applyProtection="1">
      <alignment horizontal="centerContinuous" vertical="center"/>
    </xf>
    <xf numFmtId="0" fontId="10" fillId="0" borderId="4" xfId="0" applyFont="1" applyFill="1" applyBorder="1" applyAlignment="1" applyProtection="1">
      <alignment horizontal="center" vertical="center"/>
    </xf>
    <xf numFmtId="0" fontId="10" fillId="0" borderId="4" xfId="0" applyFont="1" applyFill="1" applyBorder="1" applyAlignment="1" applyProtection="1">
      <alignment horizontal="center" vertical="center" wrapText="1"/>
    </xf>
    <xf numFmtId="0" fontId="11" fillId="0" borderId="5" xfId="0" applyFont="1" applyFill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center" vertical="center"/>
    </xf>
    <xf numFmtId="179" fontId="11" fillId="0" borderId="4" xfId="0" applyNumberFormat="1" applyFont="1" applyFill="1" applyBorder="1" applyAlignment="1" applyProtection="1">
      <alignment horizontal="center" vertical="center"/>
    </xf>
    <xf numFmtId="180" fontId="10" fillId="0" borderId="4" xfId="0" applyNumberFormat="1" applyFont="1" applyFill="1" applyBorder="1" applyAlignment="1" applyProtection="1">
      <alignment horizontal="center" vertical="center"/>
    </xf>
    <xf numFmtId="10" fontId="11" fillId="0" borderId="5" xfId="0" applyNumberFormat="1" applyFont="1" applyFill="1" applyBorder="1" applyAlignment="1" applyProtection="1">
      <alignment horizontal="center" vertical="center"/>
    </xf>
    <xf numFmtId="0" fontId="11" fillId="0" borderId="6" xfId="0" applyFont="1" applyFill="1" applyBorder="1" applyAlignment="1" applyProtection="1">
      <alignment horizontal="center" vertical="center"/>
    </xf>
    <xf numFmtId="10" fontId="11" fillId="0" borderId="6" xfId="0" applyNumberFormat="1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</xf>
    <xf numFmtId="10" fontId="11" fillId="0" borderId="7" xfId="0" applyNumberFormat="1" applyFont="1" applyFill="1" applyBorder="1" applyAlignment="1" applyProtection="1">
      <alignment horizontal="center" vertical="center"/>
    </xf>
    <xf numFmtId="179" fontId="11" fillId="0" borderId="4" xfId="0" applyNumberFormat="1" applyFont="1" applyFill="1" applyBorder="1" applyAlignment="1" applyProtection="1"/>
    <xf numFmtId="0" fontId="11" fillId="0" borderId="8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10" fontId="10" fillId="0" borderId="5" xfId="0" applyNumberFormat="1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10" fontId="10" fillId="0" borderId="6" xfId="0" applyNumberFormat="1" applyFont="1" applyFill="1" applyBorder="1" applyAlignment="1" applyProtection="1">
      <alignment horizontal="center" vertical="center"/>
    </xf>
    <xf numFmtId="0" fontId="12" fillId="0" borderId="0" xfId="0" applyFont="1" applyFill="1" applyAlignment="1">
      <alignment vertical="center"/>
    </xf>
    <xf numFmtId="0" fontId="13" fillId="0" borderId="4" xfId="0" applyFont="1" applyFill="1" applyBorder="1" applyAlignment="1" applyProtection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</xf>
    <xf numFmtId="0" fontId="14" fillId="0" borderId="6" xfId="0" applyFont="1" applyFill="1" applyBorder="1" applyAlignment="1" applyProtection="1">
      <alignment horizontal="center" vertical="center"/>
    </xf>
    <xf numFmtId="0" fontId="13" fillId="0" borderId="5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center" vertical="center" wrapText="1"/>
    </xf>
    <xf numFmtId="0" fontId="13" fillId="0" borderId="6" xfId="0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center" vertical="center"/>
    </xf>
    <xf numFmtId="0" fontId="14" fillId="0" borderId="9" xfId="0" applyFont="1" applyFill="1" applyBorder="1" applyAlignment="1" applyProtection="1">
      <alignment horizontal="center" vertical="center"/>
    </xf>
    <xf numFmtId="0" fontId="14" fillId="0" borderId="10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center" vertical="center"/>
    </xf>
    <xf numFmtId="0" fontId="14" fillId="0" borderId="11" xfId="0" applyFont="1" applyFill="1" applyBorder="1" applyAlignment="1" applyProtection="1">
      <alignment horizontal="center" vertical="center"/>
    </xf>
    <xf numFmtId="0" fontId="14" fillId="0" borderId="12" xfId="0" applyFont="1" applyFill="1" applyBorder="1" applyAlignment="1" applyProtection="1">
      <alignment horizontal="center" vertical="center"/>
    </xf>
    <xf numFmtId="0" fontId="11" fillId="0" borderId="4" xfId="0" applyFont="1" applyFill="1" applyBorder="1" applyAlignment="1" applyProtection="1">
      <alignment horizontal="center"/>
    </xf>
    <xf numFmtId="0" fontId="11" fillId="0" borderId="3" xfId="0" applyFont="1" applyFill="1" applyBorder="1" applyAlignment="1">
      <alignment horizontal="center" vertical="center"/>
    </xf>
    <xf numFmtId="180" fontId="11" fillId="0" borderId="4" xfId="0" applyNumberFormat="1" applyFont="1" applyFill="1" applyBorder="1" applyAlignment="1" applyProtection="1">
      <alignment horizontal="center" vertical="center"/>
    </xf>
    <xf numFmtId="49" fontId="11" fillId="0" borderId="4" xfId="0" applyNumberFormat="1" applyFont="1" applyFill="1" applyBorder="1" applyAlignment="1" applyProtection="1">
      <alignment horizontal="center" vertical="center"/>
    </xf>
    <xf numFmtId="181" fontId="11" fillId="0" borderId="4" xfId="0" applyNumberFormat="1" applyFont="1" applyFill="1" applyBorder="1" applyAlignment="1" applyProtection="1">
      <alignment horizontal="center" vertical="center"/>
    </xf>
    <xf numFmtId="10" fontId="11" fillId="0" borderId="4" xfId="0" applyNumberFormat="1" applyFont="1" applyFill="1" applyBorder="1" applyAlignment="1" applyProtection="1">
      <alignment horizontal="center" vertical="center"/>
    </xf>
    <xf numFmtId="182" fontId="11" fillId="0" borderId="4" xfId="0" applyNumberFormat="1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181" fontId="10" fillId="0" borderId="4" xfId="0" applyNumberFormat="1" applyFont="1" applyFill="1" applyBorder="1" applyAlignment="1" applyProtection="1">
      <alignment horizontal="center" vertical="center"/>
    </xf>
    <xf numFmtId="10" fontId="10" fillId="0" borderId="4" xfId="0" applyNumberFormat="1" applyFont="1" applyFill="1" applyBorder="1" applyAlignment="1" applyProtection="1">
      <alignment horizontal="center" vertical="center"/>
    </xf>
    <xf numFmtId="179" fontId="10" fillId="0" borderId="4" xfId="0" applyNumberFormat="1" applyFont="1" applyFill="1" applyBorder="1" applyAlignment="1" applyProtection="1">
      <alignment horizontal="center" vertical="center"/>
    </xf>
    <xf numFmtId="182" fontId="10" fillId="0" borderId="4" xfId="0" applyNumberFormat="1" applyFont="1" applyFill="1" applyBorder="1" applyAlignment="1" applyProtection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8" fillId="0" borderId="3" xfId="0" applyFont="1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180" fontId="17" fillId="0" borderId="3" xfId="0" applyNumberFormat="1" applyFont="1" applyFill="1" applyBorder="1" applyAlignment="1">
      <alignment horizontal="center" vertical="center"/>
    </xf>
    <xf numFmtId="179" fontId="17" fillId="0" borderId="3" xfId="0" applyNumberFormat="1" applyFont="1" applyFill="1" applyBorder="1" applyAlignment="1">
      <alignment horizontal="center" vertical="center"/>
    </xf>
    <xf numFmtId="10" fontId="17" fillId="0" borderId="3" xfId="0" applyNumberFormat="1" applyFont="1" applyFill="1" applyBorder="1" applyAlignment="1">
      <alignment horizontal="center" vertical="center"/>
    </xf>
    <xf numFmtId="179" fontId="20" fillId="0" borderId="3" xfId="0" applyNumberFormat="1" applyFont="1" applyFill="1" applyBorder="1" applyAlignment="1">
      <alignment horizontal="center" vertical="center"/>
    </xf>
    <xf numFmtId="10" fontId="20" fillId="0" borderId="3" xfId="0" applyNumberFormat="1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left" vertical="center"/>
    </xf>
    <xf numFmtId="0" fontId="18" fillId="0" borderId="16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21" fillId="0" borderId="3" xfId="0" applyFont="1" applyFill="1" applyBorder="1" applyAlignment="1" applyProtection="1">
      <alignment horizontal="center" vertical="center"/>
    </xf>
    <xf numFmtId="0" fontId="21" fillId="0" borderId="3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 applyProtection="1">
      <alignment horizontal="center" vertical="center"/>
    </xf>
    <xf numFmtId="0" fontId="22" fillId="0" borderId="4" xfId="0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18" fillId="0" borderId="18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183" fontId="10" fillId="0" borderId="4" xfId="0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left" vertical="center"/>
    </xf>
    <xf numFmtId="183" fontId="11" fillId="0" borderId="4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 applyProtection="1">
      <alignment horizontal="center" vertical="center" wrapText="1"/>
    </xf>
    <xf numFmtId="183" fontId="22" fillId="0" borderId="3" xfId="0" applyNumberFormat="1" applyFont="1" applyFill="1" applyBorder="1" applyAlignment="1" applyProtection="1">
      <alignment horizontal="center" vertical="center"/>
    </xf>
    <xf numFmtId="183" fontId="21" fillId="0" borderId="3" xfId="0" applyNumberFormat="1" applyFont="1" applyFill="1" applyBorder="1" applyAlignment="1" applyProtection="1">
      <alignment horizontal="center" vertical="center"/>
    </xf>
    <xf numFmtId="10" fontId="22" fillId="0" borderId="3" xfId="0" applyNumberFormat="1" applyFont="1" applyFill="1" applyBorder="1" applyAlignment="1" applyProtection="1">
      <alignment horizontal="center" vertical="center"/>
    </xf>
    <xf numFmtId="10" fontId="22" fillId="0" borderId="0" xfId="0" applyNumberFormat="1" applyFont="1" applyFill="1" applyBorder="1" applyAlignment="1" applyProtection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  <xf numFmtId="176" fontId="24" fillId="2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76" fontId="17" fillId="0" borderId="3" xfId="0" applyNumberFormat="1" applyFont="1" applyBorder="1" applyAlignment="1">
      <alignment horizontal="center" vertical="center" wrapText="1"/>
    </xf>
    <xf numFmtId="4" fontId="17" fillId="0" borderId="3" xfId="0" applyNumberFormat="1" applyFont="1" applyBorder="1" applyAlignment="1">
      <alignment horizontal="right"/>
    </xf>
    <xf numFmtId="9" fontId="17" fillId="0" borderId="3" xfId="0" applyNumberFormat="1" applyFont="1" applyBorder="1" applyAlignment="1">
      <alignment horizontal="left" vertical="center" wrapText="1"/>
    </xf>
    <xf numFmtId="4" fontId="19" fillId="0" borderId="3" xfId="0" applyNumberFormat="1" applyFont="1" applyBorder="1" applyAlignment="1">
      <alignment horizontal="right"/>
    </xf>
    <xf numFmtId="177" fontId="19" fillId="0" borderId="3" xfId="0" applyNumberFormat="1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" fontId="20" fillId="0" borderId="3" xfId="0" applyNumberFormat="1" applyFont="1" applyBorder="1" applyAlignment="1">
      <alignment horizontal="center" vertical="center"/>
    </xf>
    <xf numFmtId="4" fontId="18" fillId="0" borderId="3" xfId="0" applyNumberFormat="1" applyFont="1" applyFill="1" applyBorder="1" applyAlignment="1">
      <alignment horizontal="center" vertical="center"/>
    </xf>
    <xf numFmtId="177" fontId="20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4" fontId="20" fillId="0" borderId="3" xfId="0" applyNumberFormat="1" applyFont="1" applyFill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76" fontId="9" fillId="0" borderId="0" xfId="0" applyNumberFormat="1" applyFont="1"/>
    <xf numFmtId="0" fontId="9" fillId="0" borderId="0" xfId="0" applyFont="1" applyFill="1"/>
    <xf numFmtId="0" fontId="2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26" fillId="0" borderId="0" xfId="0" applyFont="1" applyFill="1" applyAlignment="1">
      <alignment vertical="center"/>
    </xf>
    <xf numFmtId="0" fontId="26" fillId="0" borderId="0" xfId="0" applyFont="1" applyFill="1" applyAlignment="1">
      <alignment horizontal="center" vertical="center"/>
    </xf>
    <xf numFmtId="0" fontId="9" fillId="0" borderId="0" xfId="0" applyFont="1"/>
    <xf numFmtId="181" fontId="22" fillId="0" borderId="4" xfId="0" applyNumberFormat="1" applyFont="1" applyFill="1" applyBorder="1" applyAlignment="1" applyProtection="1">
      <alignment horizontal="center" vertical="center" wrapText="1"/>
    </xf>
    <xf numFmtId="9" fontId="17" fillId="0" borderId="3" xfId="0" applyNumberFormat="1" applyFont="1" applyFill="1" applyBorder="1" applyAlignment="1">
      <alignment horizontal="center" vertical="center"/>
    </xf>
    <xf numFmtId="183" fontId="17" fillId="0" borderId="3" xfId="0" applyNumberFormat="1" applyFont="1" applyFill="1" applyBorder="1" applyAlignment="1">
      <alignment horizontal="center" vertical="center"/>
    </xf>
    <xf numFmtId="183" fontId="20" fillId="0" borderId="3" xfId="0" applyNumberFormat="1" applyFont="1" applyFill="1" applyBorder="1" applyAlignment="1">
      <alignment horizontal="center" vertical="center"/>
    </xf>
    <xf numFmtId="9" fontId="20" fillId="0" borderId="3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 applyProtection="1">
      <alignment horizontal="center" vertical="center" wrapText="1"/>
    </xf>
    <xf numFmtId="0" fontId="13" fillId="0" borderId="0" xfId="0" applyFont="1" applyFill="1" applyBorder="1" applyAlignment="1" applyProtection="1">
      <alignment horizontal="center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/>
    </xf>
    <xf numFmtId="0" fontId="27" fillId="0" borderId="3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3" xfId="0" applyFont="1" applyFill="1" applyBorder="1" applyAlignment="1">
      <alignment horizontal="left" vertical="center"/>
    </xf>
    <xf numFmtId="0" fontId="23" fillId="0" borderId="3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/>
    </xf>
    <xf numFmtId="183" fontId="7" fillId="0" borderId="4" xfId="0" applyNumberFormat="1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183" fontId="11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1" fillId="0" borderId="21" xfId="0" applyFont="1" applyFill="1" applyBorder="1" applyAlignment="1" applyProtection="1">
      <alignment horizontal="center" vertical="center" wrapText="1"/>
    </xf>
    <xf numFmtId="179" fontId="22" fillId="0" borderId="4" xfId="0" applyNumberFormat="1" applyFont="1" applyFill="1" applyBorder="1" applyAlignment="1" applyProtection="1">
      <alignment horizontal="center" vertical="center"/>
    </xf>
    <xf numFmtId="180" fontId="21" fillId="0" borderId="4" xfId="0" applyNumberFormat="1" applyFont="1" applyFill="1" applyBorder="1" applyAlignment="1" applyProtection="1">
      <alignment horizontal="center" vertical="center"/>
    </xf>
    <xf numFmtId="10" fontId="22" fillId="0" borderId="21" xfId="0" applyNumberFormat="1" applyFont="1" applyFill="1" applyBorder="1" applyAlignment="1" applyProtection="1">
      <alignment horizontal="center" vertical="center"/>
    </xf>
    <xf numFmtId="10" fontId="21" fillId="0" borderId="3" xfId="0" applyNumberFormat="1" applyFont="1" applyFill="1" applyBorder="1" applyAlignment="1" applyProtection="1">
      <alignment horizontal="center" vertical="center"/>
    </xf>
    <xf numFmtId="10" fontId="21" fillId="0" borderId="21" xfId="0" applyNumberFormat="1" applyFont="1" applyFill="1" applyBorder="1" applyAlignment="1" applyProtection="1">
      <alignment horizontal="center" vertical="center"/>
    </xf>
    <xf numFmtId="10" fontId="21" fillId="0" borderId="0" xfId="0" applyNumberFormat="1" applyFont="1" applyFill="1" applyBorder="1" applyAlignment="1" applyProtection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176" fontId="24" fillId="2" borderId="2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178" fontId="19" fillId="0" borderId="3" xfId="0" applyNumberFormat="1" applyFont="1" applyBorder="1" applyAlignment="1">
      <alignment horizontal="right"/>
    </xf>
    <xf numFmtId="178" fontId="17" fillId="0" borderId="3" xfId="0" applyNumberFormat="1" applyFont="1" applyBorder="1" applyAlignment="1">
      <alignment horizontal="right"/>
    </xf>
    <xf numFmtId="181" fontId="22" fillId="0" borderId="4" xfId="0" applyNumberFormat="1" applyFont="1" applyFill="1" applyBorder="1" applyAlignment="1" applyProtection="1">
      <alignment horizontal="center" vertical="center"/>
    </xf>
    <xf numFmtId="181" fontId="22" fillId="0" borderId="3" xfId="0" applyNumberFormat="1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2" fillId="0" borderId="0" xfId="0" applyFont="1" applyFill="1" applyAlignment="1" applyProtection="1">
      <alignment horizontal="center" vertical="center"/>
    </xf>
    <xf numFmtId="3" fontId="27" fillId="0" borderId="3" xfId="0" applyNumberFormat="1" applyFont="1" applyFill="1" applyBorder="1" applyAlignment="1">
      <alignment horizontal="center" vertical="center"/>
    </xf>
    <xf numFmtId="3" fontId="23" fillId="0" borderId="3" xfId="0" applyNumberFormat="1" applyFont="1" applyFill="1" applyBorder="1" applyAlignment="1">
      <alignment horizontal="center" vertical="center"/>
    </xf>
    <xf numFmtId="179" fontId="27" fillId="0" borderId="3" xfId="0" applyNumberFormat="1" applyFont="1" applyFill="1" applyBorder="1" applyAlignment="1">
      <alignment horizontal="center" vertical="center"/>
    </xf>
    <xf numFmtId="183" fontId="11" fillId="0" borderId="3" xfId="0" applyNumberFormat="1" applyFont="1" applyFill="1" applyBorder="1" applyAlignment="1">
      <alignment horizontal="center" vertical="center"/>
    </xf>
    <xf numFmtId="183" fontId="10" fillId="0" borderId="3" xfId="0" applyNumberFormat="1" applyFont="1" applyFill="1" applyBorder="1" applyAlignment="1">
      <alignment horizontal="center" vertical="center"/>
    </xf>
    <xf numFmtId="0" fontId="22" fillId="0" borderId="22" xfId="0" applyFont="1" applyFill="1" applyBorder="1" applyAlignment="1" applyProtection="1">
      <alignment horizontal="center" vertical="center"/>
    </xf>
    <xf numFmtId="10" fontId="22" fillId="0" borderId="5" xfId="0" applyNumberFormat="1" applyFont="1" applyFill="1" applyBorder="1" applyAlignment="1" applyProtection="1">
      <alignment horizontal="center" vertical="center"/>
    </xf>
    <xf numFmtId="0" fontId="22" fillId="0" borderId="23" xfId="0" applyFont="1" applyFill="1" applyBorder="1" applyAlignment="1" applyProtection="1">
      <alignment horizontal="center" vertical="center"/>
    </xf>
    <xf numFmtId="10" fontId="22" fillId="0" borderId="6" xfId="0" applyNumberFormat="1" applyFont="1" applyFill="1" applyBorder="1" applyAlignment="1" applyProtection="1">
      <alignment horizontal="center" vertical="center"/>
    </xf>
    <xf numFmtId="180" fontId="22" fillId="0" borderId="3" xfId="0" applyNumberFormat="1" applyFont="1" applyFill="1" applyBorder="1" applyAlignment="1" applyProtection="1">
      <alignment horizontal="center" vertical="center"/>
    </xf>
    <xf numFmtId="180" fontId="21" fillId="0" borderId="3" xfId="0" applyNumberFormat="1" applyFont="1" applyFill="1" applyBorder="1" applyAlignment="1" applyProtection="1">
      <alignment horizontal="center" vertical="center"/>
    </xf>
    <xf numFmtId="10" fontId="21" fillId="0" borderId="23" xfId="0" applyNumberFormat="1" applyFont="1" applyFill="1" applyBorder="1" applyAlignment="1" applyProtection="1">
      <alignment horizontal="center" vertical="center"/>
    </xf>
    <xf numFmtId="0" fontId="22" fillId="0" borderId="2" xfId="0" applyFont="1" applyFill="1" applyBorder="1" applyAlignment="1" applyProtection="1">
      <alignment horizontal="center" vertical="center"/>
    </xf>
    <xf numFmtId="10" fontId="21" fillId="0" borderId="2" xfId="0" applyNumberFormat="1" applyFont="1" applyFill="1" applyBorder="1" applyAlignment="1" applyProtection="1">
      <alignment horizontal="center" vertical="center"/>
    </xf>
    <xf numFmtId="176" fontId="17" fillId="0" borderId="3" xfId="0" applyNumberFormat="1" applyFont="1" applyFill="1" applyBorder="1" applyAlignment="1">
      <alignment horizontal="center" vertical="center" wrapText="1"/>
    </xf>
    <xf numFmtId="4" fontId="17" fillId="0" borderId="3" xfId="0" applyNumberFormat="1" applyFont="1" applyFill="1" applyBorder="1" applyAlignment="1">
      <alignment horizontal="right"/>
    </xf>
    <xf numFmtId="4" fontId="19" fillId="0" borderId="3" xfId="0" applyNumberFormat="1" applyFont="1" applyFill="1" applyBorder="1" applyAlignment="1">
      <alignment horizontal="right"/>
    </xf>
    <xf numFmtId="177" fontId="19" fillId="0" borderId="3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/>
    </xf>
    <xf numFmtId="177" fontId="16" fillId="0" borderId="3" xfId="0" applyNumberFormat="1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179" fontId="15" fillId="0" borderId="3" xfId="0" applyNumberFormat="1" applyFont="1" applyFill="1" applyBorder="1" applyAlignment="1">
      <alignment horizontal="center" vertical="center"/>
    </xf>
    <xf numFmtId="180" fontId="20" fillId="0" borderId="3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 applyProtection="1">
      <alignment horizontal="center" vertical="center"/>
    </xf>
    <xf numFmtId="0" fontId="21" fillId="0" borderId="4" xfId="0" applyFont="1" applyFill="1" applyBorder="1" applyAlignment="1" applyProtection="1">
      <alignment horizontal="center" vertical="center"/>
    </xf>
    <xf numFmtId="0" fontId="21" fillId="0" borderId="4" xfId="0" applyFont="1" applyFill="1" applyBorder="1" applyAlignment="1" applyProtection="1">
      <alignment horizontal="center" vertical="center" wrapText="1"/>
    </xf>
    <xf numFmtId="0" fontId="22" fillId="0" borderId="5" xfId="0" applyFont="1" applyFill="1" applyBorder="1" applyAlignment="1" applyProtection="1">
      <alignment horizontal="center" vertical="center"/>
    </xf>
    <xf numFmtId="0" fontId="22" fillId="0" borderId="6" xfId="0" applyFont="1" applyFill="1" applyBorder="1" applyAlignment="1" applyProtection="1">
      <alignment horizontal="center" vertical="center"/>
    </xf>
    <xf numFmtId="0" fontId="21" fillId="0" borderId="9" xfId="0" applyFont="1" applyFill="1" applyBorder="1" applyAlignment="1" applyProtection="1">
      <alignment horizontal="center" vertical="center"/>
    </xf>
    <xf numFmtId="0" fontId="21" fillId="0" borderId="10" xfId="0" applyFont="1" applyFill="1" applyBorder="1" applyAlignment="1" applyProtection="1">
      <alignment horizontal="center" vertical="center"/>
    </xf>
    <xf numFmtId="0" fontId="21" fillId="0" borderId="11" xfId="0" applyFont="1" applyFill="1" applyBorder="1" applyAlignment="1" applyProtection="1">
      <alignment horizontal="center" vertical="center"/>
    </xf>
    <xf numFmtId="0" fontId="21" fillId="0" borderId="12" xfId="0" applyFont="1" applyFill="1" applyBorder="1" applyAlignment="1" applyProtection="1">
      <alignment horizontal="center" vertical="center"/>
    </xf>
    <xf numFmtId="179" fontId="16" fillId="0" borderId="3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3" fontId="17" fillId="0" borderId="3" xfId="0" applyNumberFormat="1" applyFont="1" applyFill="1" applyBorder="1" applyAlignment="1">
      <alignment horizontal="center" vertical="center"/>
    </xf>
    <xf numFmtId="3" fontId="20" fillId="0" borderId="3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183" fontId="22" fillId="0" borderId="5" xfId="0" applyNumberFormat="1" applyFont="1" applyFill="1" applyBorder="1" applyAlignment="1" applyProtection="1">
      <alignment horizontal="center" vertical="center"/>
    </xf>
    <xf numFmtId="183" fontId="22" fillId="0" borderId="4" xfId="0" applyNumberFormat="1" applyFont="1" applyFill="1" applyBorder="1" applyAlignment="1" applyProtection="1">
      <alignment horizontal="center" vertical="center"/>
    </xf>
    <xf numFmtId="9" fontId="22" fillId="0" borderId="5" xfId="0" applyNumberFormat="1" applyFont="1" applyFill="1" applyBorder="1" applyAlignment="1" applyProtection="1">
      <alignment horizontal="center" vertical="center"/>
    </xf>
    <xf numFmtId="183" fontId="22" fillId="0" borderId="6" xfId="0" applyNumberFormat="1" applyFont="1" applyFill="1" applyBorder="1" applyAlignment="1" applyProtection="1">
      <alignment horizontal="center" vertical="center"/>
    </xf>
    <xf numFmtId="9" fontId="22" fillId="0" borderId="6" xfId="0" applyNumberFormat="1" applyFont="1" applyFill="1" applyBorder="1" applyAlignment="1" applyProtection="1">
      <alignment horizontal="center" vertical="center"/>
    </xf>
    <xf numFmtId="183" fontId="16" fillId="0" borderId="3" xfId="0" applyNumberFormat="1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83" fontId="17" fillId="0" borderId="3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83" fontId="7" fillId="0" borderId="3" xfId="0" applyNumberFormat="1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13" fillId="0" borderId="3" xfId="0" applyFont="1" applyFill="1" applyBorder="1" applyAlignment="1" applyProtection="1">
      <alignment horizontal="center" vertical="center"/>
    </xf>
    <xf numFmtId="180" fontId="13" fillId="0" borderId="4" xfId="0" applyNumberFormat="1" applyFont="1" applyFill="1" applyBorder="1" applyAlignment="1" applyProtection="1">
      <alignment horizontal="center" vertical="center"/>
    </xf>
    <xf numFmtId="0" fontId="14" fillId="0" borderId="3" xfId="0" applyFont="1" applyFill="1" applyBorder="1" applyAlignment="1" applyProtection="1">
      <alignment horizontal="center" vertical="center"/>
    </xf>
    <xf numFmtId="178" fontId="14" fillId="0" borderId="3" xfId="0" applyNumberFormat="1" applyFont="1" applyFill="1" applyBorder="1" applyAlignment="1" applyProtection="1">
      <alignment horizontal="center" vertical="center"/>
    </xf>
    <xf numFmtId="4" fontId="17" fillId="0" borderId="3" xfId="0" applyNumberFormat="1" applyFont="1" applyBorder="1" applyAlignment="1">
      <alignment horizontal="right" vertical="center"/>
    </xf>
    <xf numFmtId="4" fontId="19" fillId="0" borderId="3" xfId="0" applyNumberFormat="1" applyFont="1" applyBorder="1" applyAlignment="1">
      <alignment horizontal="right" vertical="center"/>
    </xf>
    <xf numFmtId="4" fontId="18" fillId="3" borderId="3" xfId="0" applyNumberFormat="1" applyFont="1" applyFill="1" applyBorder="1" applyAlignment="1">
      <alignment horizontal="center" vertical="center"/>
    </xf>
    <xf numFmtId="177" fontId="20" fillId="0" borderId="3" xfId="0" applyNumberFormat="1" applyFont="1" applyBorder="1" applyAlignment="1">
      <alignment horizontal="center" vertical="center" wrapText="1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 wrapText="1"/>
    </xf>
    <xf numFmtId="183" fontId="4" fillId="0" borderId="3" xfId="0" applyNumberFormat="1" applyFont="1" applyFill="1" applyBorder="1" applyAlignment="1">
      <alignment horizontal="center" vertical="center"/>
    </xf>
    <xf numFmtId="9" fontId="4" fillId="0" borderId="3" xfId="0" applyNumberFormat="1" applyFont="1" applyFill="1" applyBorder="1" applyAlignment="1">
      <alignment horizontal="center" vertical="center"/>
    </xf>
    <xf numFmtId="183" fontId="6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left" vertical="center"/>
    </xf>
    <xf numFmtId="183" fontId="7" fillId="0" borderId="4" xfId="0" applyNumberFormat="1" applyFont="1" applyFill="1" applyBorder="1" applyAlignment="1" applyProtection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25" xfId="0" applyFont="1" applyFill="1" applyBorder="1" applyAlignment="1">
      <alignment horizontal="left" vertical="center"/>
    </xf>
    <xf numFmtId="183" fontId="7" fillId="0" borderId="25" xfId="0" applyNumberFormat="1" applyFont="1" applyFill="1" applyBorder="1" applyAlignment="1">
      <alignment horizontal="left" vertical="center"/>
    </xf>
    <xf numFmtId="183" fontId="7" fillId="0" borderId="12" xfId="0" applyNumberFormat="1" applyFont="1" applyFill="1" applyBorder="1" applyAlignment="1">
      <alignment horizontal="left" vertical="center"/>
    </xf>
    <xf numFmtId="0" fontId="11" fillId="0" borderId="3" xfId="0" applyFont="1" applyFill="1" applyBorder="1" applyAlignment="1" applyProtection="1">
      <alignment horizontal="center" vertical="center"/>
    </xf>
    <xf numFmtId="10" fontId="11" fillId="0" borderId="3" xfId="0" applyNumberFormat="1" applyFont="1" applyFill="1" applyBorder="1" applyAlignment="1" applyProtection="1">
      <alignment horizontal="center" vertical="center"/>
    </xf>
    <xf numFmtId="183" fontId="10" fillId="0" borderId="3" xfId="0" applyNumberFormat="1" applyFont="1" applyFill="1" applyBorder="1" applyAlignment="1" applyProtection="1">
      <alignment horizontal="center" vertical="center"/>
    </xf>
    <xf numFmtId="0" fontId="29" fillId="0" borderId="0" xfId="0" applyFont="1" applyFill="1"/>
    <xf numFmtId="0" fontId="29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wrapText="1"/>
    </xf>
    <xf numFmtId="0" fontId="23" fillId="0" borderId="0" xfId="0" applyFont="1" applyFill="1"/>
    <xf numFmtId="0" fontId="0" fillId="0" borderId="0" xfId="0" applyFont="1" applyFill="1"/>
    <xf numFmtId="0" fontId="29" fillId="0" borderId="0" xfId="0" applyFont="1"/>
    <xf numFmtId="0" fontId="29" fillId="0" borderId="0" xfId="0" applyFont="1" applyFill="1" applyAlignment="1">
      <alignment horizontal="center" vertical="center"/>
    </xf>
    <xf numFmtId="0" fontId="30" fillId="0" borderId="3" xfId="0" applyFont="1" applyFill="1" applyBorder="1" applyAlignment="1">
      <alignment horizontal="left" vertical="center"/>
    </xf>
    <xf numFmtId="49" fontId="27" fillId="0" borderId="3" xfId="0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183" fontId="4" fillId="0" borderId="3" xfId="0" applyNumberFormat="1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179" fontId="4" fillId="0" borderId="3" xfId="0" applyNumberFormat="1" applyFont="1" applyFill="1" applyBorder="1" applyAlignment="1">
      <alignment horizontal="center" vertical="center" wrapText="1"/>
    </xf>
    <xf numFmtId="180" fontId="4" fillId="0" borderId="3" xfId="0" applyNumberFormat="1" applyFont="1" applyFill="1" applyBorder="1" applyAlignment="1">
      <alignment horizontal="center" vertical="center" wrapText="1"/>
    </xf>
    <xf numFmtId="9" fontId="4" fillId="0" borderId="3" xfId="0" applyNumberFormat="1" applyFont="1" applyFill="1" applyBorder="1" applyAlignment="1">
      <alignment horizontal="center" vertical="center" wrapText="1"/>
    </xf>
    <xf numFmtId="9" fontId="23" fillId="0" borderId="3" xfId="3" applyNumberFormat="1" applyFont="1" applyFill="1" applyBorder="1" applyAlignment="1">
      <alignment horizontal="center" vertical="center" wrapText="1"/>
    </xf>
    <xf numFmtId="9" fontId="7" fillId="0" borderId="3" xfId="3" applyNumberFormat="1" applyFont="1" applyFill="1" applyBorder="1" applyAlignment="1">
      <alignment horizontal="center" vertical="center" wrapText="1"/>
    </xf>
    <xf numFmtId="183" fontId="23" fillId="0" borderId="3" xfId="0" applyNumberFormat="1" applyFont="1" applyFill="1" applyBorder="1" applyAlignment="1">
      <alignment horizontal="center" vertical="center" wrapText="1"/>
    </xf>
    <xf numFmtId="183" fontId="23" fillId="0" borderId="3" xfId="0" applyNumberFormat="1" applyFont="1" applyFill="1" applyBorder="1" applyAlignment="1">
      <alignment horizontal="center" vertical="center"/>
    </xf>
    <xf numFmtId="178" fontId="23" fillId="0" borderId="3" xfId="0" applyNumberFormat="1" applyFont="1" applyFill="1" applyBorder="1" applyAlignment="1">
      <alignment horizontal="center" vertical="center" wrapText="1"/>
    </xf>
    <xf numFmtId="183" fontId="7" fillId="0" borderId="3" xfId="0" applyNumberFormat="1" applyFont="1" applyFill="1" applyBorder="1" applyAlignment="1">
      <alignment horizontal="center" vertical="center" wrapText="1"/>
    </xf>
    <xf numFmtId="10" fontId="7" fillId="0" borderId="3" xfId="3" applyNumberFormat="1" applyFont="1" applyFill="1" applyBorder="1" applyAlignment="1">
      <alignment horizontal="center" vertical="center" wrapText="1"/>
    </xf>
    <xf numFmtId="178" fontId="7" fillId="0" borderId="3" xfId="0" applyNumberFormat="1" applyFont="1" applyFill="1" applyBorder="1" applyAlignment="1">
      <alignment horizontal="center" vertical="center" wrapText="1"/>
    </xf>
    <xf numFmtId="10" fontId="23" fillId="0" borderId="0" xfId="3" applyNumberFormat="1" applyFont="1" applyFill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/>
    </xf>
    <xf numFmtId="2" fontId="23" fillId="0" borderId="3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/>
    </xf>
    <xf numFmtId="0" fontId="30" fillId="0" borderId="0" xfId="0" applyFont="1" applyFill="1" applyAlignment="1">
      <alignment horizontal="left" vertical="center"/>
    </xf>
    <xf numFmtId="176" fontId="27" fillId="0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000"/>
              <a:t>单位：万元</a:t>
            </a:r>
            <a:r>
              <a:rPr sz="1000"/>
              <a:t>  </a:t>
            </a:r>
            <a:endParaRPr sz="1000"/>
          </a:p>
        </c:rich>
      </c:tx>
      <c:layout>
        <c:manualLayout>
          <c:xMode val="edge"/>
          <c:yMode val="edge"/>
          <c:x val="0.356748083437333"/>
          <c:y val="0.043841336116910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[2]销售额!$A$4:$B$15</c:f>
              <c:multiLvlStrCache>
                <c:ptCount val="12"/>
                <c:lvl>
                  <c:pt idx="0">
                    <c:v>陈子凡</c:v>
                  </c:pt>
                  <c:pt idx="1">
                    <c:v>陈辉</c:v>
                  </c:pt>
                  <c:pt idx="2">
                    <c:v>韩鸿彪</c:v>
                  </c:pt>
                  <c:pt idx="3">
                    <c:v>张硕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  <c:pt idx="11">
                    <c:v>冯乐</c:v>
                  </c:pt>
                </c:lvl>
                <c:lvl>
                  <c:pt idx="0">
                    <c:v>一组</c:v>
                  </c:pt>
                  <c:pt idx="1">
                    <c:v>五组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  <c:pt idx="11">
                    <c:v>五组</c:v>
                  </c:pt>
                </c:lvl>
              </c:multiLvlStrCache>
            </c:multiLvlStrRef>
          </c:cat>
          <c:val>
            <c:numRef>
              <c:f>[2]销售额!$C$4:$C$15</c:f>
              <c:numCache>
                <c:formatCode>General</c:formatCode>
                <c:ptCount val="12"/>
                <c:pt idx="0">
                  <c:v>1231.12</c:v>
                </c:pt>
                <c:pt idx="1">
                  <c:v>1212.5</c:v>
                </c:pt>
                <c:pt idx="2">
                  <c:v>1150.53</c:v>
                </c:pt>
                <c:pt idx="3">
                  <c:v>531.09</c:v>
                </c:pt>
                <c:pt idx="4">
                  <c:v>20.08</c:v>
                </c:pt>
                <c:pt idx="5">
                  <c:v>10.48</c:v>
                </c:pt>
                <c:pt idx="6">
                  <c:v>1.14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25134905"/>
        <c:axId val="683307336"/>
      </c:barChart>
      <c:catAx>
        <c:axId val="9251349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3307336"/>
        <c:crosses val="autoZero"/>
        <c:auto val="1"/>
        <c:lblAlgn val="ctr"/>
        <c:lblOffset val="100"/>
        <c:noMultiLvlLbl val="0"/>
      </c:catAx>
      <c:valAx>
        <c:axId val="68330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51349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aa6ec-9f73-47d3-88e3-fe51f555f666}"/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小组年度累计销售额排名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000"/>
              <a:t>单位：万元 </a:t>
            </a:r>
            <a:r>
              <a:t>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[2]销售额!$F$4:$F$9</c:f>
              <c:strCache>
                <c:ptCount val="6"/>
                <c:pt idx="0">
                  <c:v>一组</c:v>
                </c:pt>
                <c:pt idx="1">
                  <c:v>五组</c:v>
                </c:pt>
                <c:pt idx="2">
                  <c:v>六组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[2]销售额!$G$4:$G$9</c:f>
              <c:numCache>
                <c:formatCode>General</c:formatCode>
                <c:ptCount val="6"/>
                <c:pt idx="0">
                  <c:v>1762.21</c:v>
                </c:pt>
                <c:pt idx="1">
                  <c:v>1212.5</c:v>
                </c:pt>
                <c:pt idx="2">
                  <c:v>1150.53</c:v>
                </c:pt>
                <c:pt idx="3">
                  <c:v>30.56</c:v>
                </c:pt>
                <c:pt idx="4">
                  <c:v>1.14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11169713"/>
        <c:axId val="676314472"/>
      </c:barChart>
      <c:catAx>
        <c:axId val="611169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314472"/>
        <c:crosses val="autoZero"/>
        <c:auto val="1"/>
        <c:lblAlgn val="ctr"/>
        <c:lblOffset val="100"/>
        <c:noMultiLvlLbl val="0"/>
      </c:catAx>
      <c:valAx>
        <c:axId val="67631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116971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6c3b17-7d04-42b2-9009-e43aa053a3cb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个人年度累计销售完成比排名 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[2]完成比!$E$1:$E$2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[2]完成比!$A$3:$B$13</c:f>
              <c:multiLvlStrCache>
                <c:ptCount val="11"/>
                <c:lvl>
                  <c:pt idx="0">
                    <c:v>陈辉</c:v>
                  </c:pt>
                  <c:pt idx="1">
                    <c:v>张硕</c:v>
                  </c:pt>
                  <c:pt idx="2">
                    <c:v>韩鸿彪</c:v>
                  </c:pt>
                  <c:pt idx="3">
                    <c:v>陈子凡</c:v>
                  </c:pt>
                  <c:pt idx="4">
                    <c:v>马鹏飞</c:v>
                  </c:pt>
                  <c:pt idx="5">
                    <c:v>王伟乐</c:v>
                  </c:pt>
                  <c:pt idx="6">
                    <c:v>司斌</c:v>
                  </c:pt>
                  <c:pt idx="7">
                    <c:v>王伟超</c:v>
                  </c:pt>
                  <c:pt idx="8">
                    <c:v>苗恒</c:v>
                  </c:pt>
                  <c:pt idx="9">
                    <c:v>尹韬越</c:v>
                  </c:pt>
                  <c:pt idx="10">
                    <c:v>崔阳</c:v>
                  </c:pt>
                </c:lvl>
                <c:lvl>
                  <c:pt idx="0">
                    <c:v>五组</c:v>
                  </c:pt>
                  <c:pt idx="1">
                    <c:v>一组</c:v>
                  </c:pt>
                  <c:pt idx="2">
                    <c:v>六组</c:v>
                  </c:pt>
                  <c:pt idx="3">
                    <c:v>一组</c:v>
                  </c:pt>
                  <c:pt idx="4">
                    <c:v>三组</c:v>
                  </c:pt>
                  <c:pt idx="5">
                    <c:v>三组</c:v>
                  </c:pt>
                  <c:pt idx="6">
                    <c:v>二组</c:v>
                  </c:pt>
                  <c:pt idx="7">
                    <c:v>二组</c:v>
                  </c:pt>
                  <c:pt idx="8">
                    <c:v>六组</c:v>
                  </c:pt>
                  <c:pt idx="9">
                    <c:v>俄语组</c:v>
                  </c:pt>
                  <c:pt idx="10">
                    <c:v>俄语组</c:v>
                  </c:pt>
                </c:lvl>
              </c:multiLvlStrCache>
            </c:multiLvlStrRef>
          </c:cat>
          <c:val>
            <c:numRef>
              <c:f>[2]完成比!$E$3:$E$13</c:f>
              <c:numCache>
                <c:formatCode>General</c:formatCode>
                <c:ptCount val="11"/>
                <c:pt idx="0">
                  <c:v>0.367424242424242</c:v>
                </c:pt>
                <c:pt idx="1">
                  <c:v>0.321872727272727</c:v>
                </c:pt>
                <c:pt idx="2">
                  <c:v>0.261484090909091</c:v>
                </c:pt>
                <c:pt idx="3">
                  <c:v>0.124355555555556</c:v>
                </c:pt>
                <c:pt idx="4">
                  <c:v>0.00912727272727273</c:v>
                </c:pt>
                <c:pt idx="5">
                  <c:v>0.00317575757575758</c:v>
                </c:pt>
                <c:pt idx="6">
                  <c:v>0.000345454545454545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13152002"/>
        <c:axId val="34108717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[2]完成比!$C$1:$C$2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{1212.5,531.09,1150.53,1231.12,20.08,10.48,1.14,0,0,0,0}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1212.5</c:v>
                      </c:pt>
                      <c:pt idx="1">
                        <c:v>531.09</c:v>
                      </c:pt>
                      <c:pt idx="2">
                        <c:v>1150.53</c:v>
                      </c:pt>
                      <c:pt idx="3">
                        <c:v>1231.12</c:v>
                      </c:pt>
                      <c:pt idx="4">
                        <c:v>20.08</c:v>
                      </c:pt>
                      <c:pt idx="5">
                        <c:v>10.48</c:v>
                      </c:pt>
                      <c:pt idx="6">
                        <c:v>1.14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[2]完成比!$D$1:$D$2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[2]完成比!$A$3:$B$13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陈辉</c:v>
                        </c:pt>
                        <c:pt idx="1">
                          <c:v>张硕</c:v>
                        </c:pt>
                        <c:pt idx="2">
                          <c:v>韩鸿彪</c:v>
                        </c:pt>
                        <c:pt idx="3">
                          <c:v>陈子凡</c:v>
                        </c:pt>
                        <c:pt idx="4">
                          <c:v>马鹏飞</c:v>
                        </c:pt>
                        <c:pt idx="5">
                          <c:v>王伟乐</c:v>
                        </c:pt>
                        <c:pt idx="6">
                          <c:v>司斌</c:v>
                        </c:pt>
                        <c:pt idx="7">
                          <c:v>王伟超</c:v>
                        </c:pt>
                        <c:pt idx="8">
                          <c:v>苗恒</c:v>
                        </c:pt>
                        <c:pt idx="9">
                          <c:v>尹韬越</c:v>
                        </c:pt>
                        <c:pt idx="10">
                          <c:v>崔阳</c:v>
                        </c:pt>
                      </c:lvl>
                      <c:lvl>
                        <c:pt idx="0">
                          <c:v>五组</c:v>
                        </c:pt>
                        <c:pt idx="1">
                          <c:v>一组</c:v>
                        </c:pt>
                        <c:pt idx="2">
                          <c:v>六组</c:v>
                        </c:pt>
                        <c:pt idx="3">
                          <c:v>一组</c:v>
                        </c:pt>
                        <c:pt idx="4">
                          <c:v>三组</c:v>
                        </c:pt>
                        <c:pt idx="5">
                          <c:v>三组</c:v>
                        </c:pt>
                        <c:pt idx="6">
                          <c:v>二组</c:v>
                        </c:pt>
                        <c:pt idx="7">
                          <c:v>二组</c:v>
                        </c:pt>
                        <c:pt idx="8">
                          <c:v>六组</c:v>
                        </c:pt>
                        <c:pt idx="9">
                          <c:v>俄语组</c:v>
                        </c:pt>
                        <c:pt idx="10">
                          <c:v>俄语组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{3300,1650,4400,9900,2200,3300,3300,2200,2200,1650,5500}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3300</c:v>
                      </c:pt>
                      <c:pt idx="1">
                        <c:v>1650</c:v>
                      </c:pt>
                      <c:pt idx="2">
                        <c:v>4400</c:v>
                      </c:pt>
                      <c:pt idx="3">
                        <c:v>9900</c:v>
                      </c:pt>
                      <c:pt idx="4">
                        <c:v>2200</c:v>
                      </c:pt>
                      <c:pt idx="5">
                        <c:v>3300</c:v>
                      </c:pt>
                      <c:pt idx="6">
                        <c:v>3300</c:v>
                      </c:pt>
                      <c:pt idx="7">
                        <c:v>2200</c:v>
                      </c:pt>
                      <c:pt idx="8">
                        <c:v>2200</c:v>
                      </c:pt>
                      <c:pt idx="9">
                        <c:v>1650</c:v>
                      </c:pt>
                      <c:pt idx="10">
                        <c:v>5500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131520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087177"/>
        <c:crosses val="autoZero"/>
        <c:auto val="1"/>
        <c:lblAlgn val="ctr"/>
        <c:lblOffset val="100"/>
        <c:noMultiLvlLbl val="0"/>
      </c:catAx>
      <c:valAx>
        <c:axId val="3410871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315200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81012e-e4f3-49b2-8ce8-95a7c71d1b54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小组年度累计销售完成比排名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[2]完成比!$I$2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[2]完成比!$F$3:$F$8</c:f>
              <c:strCache>
                <c:ptCount val="6"/>
                <c:pt idx="0">
                  <c:v>五组</c:v>
                </c:pt>
                <c:pt idx="1">
                  <c:v>六组</c:v>
                </c:pt>
                <c:pt idx="2">
                  <c:v>一组</c:v>
                </c:pt>
                <c:pt idx="3">
                  <c:v>三组</c:v>
                </c:pt>
                <c:pt idx="4">
                  <c:v>二组</c:v>
                </c:pt>
                <c:pt idx="5">
                  <c:v>俄语组</c:v>
                </c:pt>
              </c:strCache>
            </c:strRef>
          </c:cat>
          <c:val>
            <c:numRef>
              <c:f>[2]完成比!$I$3:$I$8</c:f>
              <c:numCache>
                <c:formatCode>General</c:formatCode>
                <c:ptCount val="6"/>
                <c:pt idx="0">
                  <c:v>0.292874396135266</c:v>
                </c:pt>
                <c:pt idx="1">
                  <c:v>0.174322727272727</c:v>
                </c:pt>
                <c:pt idx="2">
                  <c:v>0.152572294372294</c:v>
                </c:pt>
                <c:pt idx="3">
                  <c:v>0.00555636363636364</c:v>
                </c:pt>
                <c:pt idx="4">
                  <c:v>0.000207272727272727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59336227"/>
        <c:axId val="29076596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[2]完成比!$G$2</c15:sqref>
                        </c15:formulaRef>
                      </c:ext>
                    </c:extLst>
                    <c:strCache>
                      <c:ptCount val="1"/>
                      <c:pt idx="0">
                        <c:v>本财年
累计完成销售额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{1212.5,1150.53,1762.21,30.56,1.14,0}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1212.5</c:v>
                      </c:pt>
                      <c:pt idx="1">
                        <c:v>1150.53</c:v>
                      </c:pt>
                      <c:pt idx="2">
                        <c:v>1762.21</c:v>
                      </c:pt>
                      <c:pt idx="3">
                        <c:v>30.56</c:v>
                      </c:pt>
                      <c:pt idx="4">
                        <c:v>1.14</c:v>
                      </c:pt>
                      <c:pt idx="5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[2]完成比!$H$2</c15:sqref>
                        </c15:formulaRef>
                      </c:ext>
                    </c:extLst>
                    <c:strCache>
                      <c:ptCount val="1"/>
                      <c:pt idx="0">
                        <c:v>全年目标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numFmt formatCode="General" sourceLinked="1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0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[2]完成比!$F$3:$F$8</c15:sqref>
                        </c15:formulaRef>
                      </c:ext>
                    </c:extLst>
                    <c:strCache>
                      <c:ptCount val="6"/>
                      <c:pt idx="0">
                        <c:v>五组</c:v>
                      </c:pt>
                      <c:pt idx="1">
                        <c:v>六组</c:v>
                      </c:pt>
                      <c:pt idx="2">
                        <c:v>一组</c:v>
                      </c:pt>
                      <c:pt idx="3">
                        <c:v>三组</c:v>
                      </c:pt>
                      <c:pt idx="4">
                        <c:v>二组</c:v>
                      </c:pt>
                      <c:pt idx="5">
                        <c:v>俄语组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{4140,6600,11550,5500,5500,7150}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4140</c:v>
                      </c:pt>
                      <c:pt idx="1">
                        <c:v>6600</c:v>
                      </c:pt>
                      <c:pt idx="2">
                        <c:v>11550</c:v>
                      </c:pt>
                      <c:pt idx="3">
                        <c:v>5500</c:v>
                      </c:pt>
                      <c:pt idx="4">
                        <c:v>5500</c:v>
                      </c:pt>
                      <c:pt idx="5">
                        <c:v>7150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9593362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0765969"/>
        <c:crosses val="autoZero"/>
        <c:auto val="1"/>
        <c:lblAlgn val="ctr"/>
        <c:lblOffset val="100"/>
        <c:noMultiLvlLbl val="0"/>
      </c:catAx>
      <c:valAx>
        <c:axId val="2907659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93362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d7a049e-1af2-4741-b257-527f24229c25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6.xml"/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0.xml"/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4.xml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428625</xdr:colOff>
      <xdr:row>17</xdr:row>
      <xdr:rowOff>107315</xdr:rowOff>
    </xdr:from>
    <xdr:to>
      <xdr:col>14</xdr:col>
      <xdr:colOff>318135</xdr:colOff>
      <xdr:row>26</xdr:row>
      <xdr:rowOff>99060</xdr:rowOff>
    </xdr:to>
    <xdr:graphicFrame>
      <xdr:nvGraphicFramePr>
        <xdr:cNvPr id="2" name="图表 1"/>
        <xdr:cNvGraphicFramePr/>
      </xdr:nvGraphicFramePr>
      <xdr:xfrm>
        <a:off x="17819370" y="7155815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460375</xdr:colOff>
      <xdr:row>17</xdr:row>
      <xdr:rowOff>98425</xdr:rowOff>
    </xdr:from>
    <xdr:to>
      <xdr:col>17</xdr:col>
      <xdr:colOff>620395</xdr:colOff>
      <xdr:row>26</xdr:row>
      <xdr:rowOff>102235</xdr:rowOff>
    </xdr:to>
    <xdr:graphicFrame>
      <xdr:nvGraphicFramePr>
        <xdr:cNvPr id="3" name="图表 2"/>
        <xdr:cNvGraphicFramePr/>
      </xdr:nvGraphicFramePr>
      <xdr:xfrm>
        <a:off x="24488775" y="7146925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444500</xdr:colOff>
      <xdr:row>27</xdr:row>
      <xdr:rowOff>133350</xdr:rowOff>
    </xdr:from>
    <xdr:to>
      <xdr:col>14</xdr:col>
      <xdr:colOff>240030</xdr:colOff>
      <xdr:row>36</xdr:row>
      <xdr:rowOff>38735</xdr:rowOff>
    </xdr:to>
    <xdr:graphicFrame>
      <xdr:nvGraphicFramePr>
        <xdr:cNvPr id="4" name="图表 3"/>
        <xdr:cNvGraphicFramePr/>
      </xdr:nvGraphicFramePr>
      <xdr:xfrm>
        <a:off x="17835245" y="10746105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443230</xdr:colOff>
      <xdr:row>27</xdr:row>
      <xdr:rowOff>114300</xdr:rowOff>
    </xdr:from>
    <xdr:to>
      <xdr:col>17</xdr:col>
      <xdr:colOff>755015</xdr:colOff>
      <xdr:row>36</xdr:row>
      <xdr:rowOff>44450</xdr:rowOff>
    </xdr:to>
    <xdr:graphicFrame>
      <xdr:nvGraphicFramePr>
        <xdr:cNvPr id="5" name="图表 4"/>
        <xdr:cNvGraphicFramePr/>
      </xdr:nvGraphicFramePr>
      <xdr:xfrm>
        <a:off x="24471630" y="10727055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1061085</xdr:colOff>
      <xdr:row>14</xdr:row>
      <xdr:rowOff>234950</xdr:rowOff>
    </xdr:from>
    <xdr:to>
      <xdr:col>10</xdr:col>
      <xdr:colOff>1934210</xdr:colOff>
      <xdr:row>23</xdr:row>
      <xdr:rowOff>95250</xdr:rowOff>
    </xdr:to>
    <xdr:graphicFrame>
      <xdr:nvGraphicFramePr>
        <xdr:cNvPr id="2" name="图表 1"/>
        <xdr:cNvGraphicFramePr/>
      </xdr:nvGraphicFramePr>
      <xdr:xfrm>
        <a:off x="11967845" y="5988050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88900</xdr:colOff>
      <xdr:row>14</xdr:row>
      <xdr:rowOff>227965</xdr:rowOff>
    </xdr:from>
    <xdr:to>
      <xdr:col>15</xdr:col>
      <xdr:colOff>315595</xdr:colOff>
      <xdr:row>23</xdr:row>
      <xdr:rowOff>100330</xdr:rowOff>
    </xdr:to>
    <xdr:graphicFrame>
      <xdr:nvGraphicFramePr>
        <xdr:cNvPr id="3" name="图表 2"/>
        <xdr:cNvGraphicFramePr/>
      </xdr:nvGraphicFramePr>
      <xdr:xfrm>
        <a:off x="18636615" y="5981065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1076960</xdr:colOff>
      <xdr:row>24</xdr:row>
      <xdr:rowOff>154940</xdr:rowOff>
    </xdr:from>
    <xdr:to>
      <xdr:col>10</xdr:col>
      <xdr:colOff>1856105</xdr:colOff>
      <xdr:row>33</xdr:row>
      <xdr:rowOff>21590</xdr:rowOff>
    </xdr:to>
    <xdr:graphicFrame>
      <xdr:nvGraphicFramePr>
        <xdr:cNvPr id="4" name="图表 3"/>
        <xdr:cNvGraphicFramePr/>
      </xdr:nvGraphicFramePr>
      <xdr:xfrm>
        <a:off x="11983720" y="9578340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230505</xdr:colOff>
      <xdr:row>24</xdr:row>
      <xdr:rowOff>135890</xdr:rowOff>
    </xdr:from>
    <xdr:to>
      <xdr:col>15</xdr:col>
      <xdr:colOff>608965</xdr:colOff>
      <xdr:row>33</xdr:row>
      <xdr:rowOff>27305</xdr:rowOff>
    </xdr:to>
    <xdr:graphicFrame>
      <xdr:nvGraphicFramePr>
        <xdr:cNvPr id="5" name="图表 4"/>
        <xdr:cNvGraphicFramePr/>
      </xdr:nvGraphicFramePr>
      <xdr:xfrm>
        <a:off x="18778220" y="955929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727710</xdr:colOff>
      <xdr:row>6</xdr:row>
      <xdr:rowOff>161290</xdr:rowOff>
    </xdr:from>
    <xdr:to>
      <xdr:col>14</xdr:col>
      <xdr:colOff>1132840</xdr:colOff>
      <xdr:row>14</xdr:row>
      <xdr:rowOff>288290</xdr:rowOff>
    </xdr:to>
    <xdr:graphicFrame>
      <xdr:nvGraphicFramePr>
        <xdr:cNvPr id="2" name="图表 1"/>
        <xdr:cNvGraphicFramePr/>
      </xdr:nvGraphicFramePr>
      <xdr:xfrm>
        <a:off x="15681325" y="2675890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1266190</xdr:colOff>
      <xdr:row>6</xdr:row>
      <xdr:rowOff>152400</xdr:rowOff>
    </xdr:from>
    <xdr:to>
      <xdr:col>18</xdr:col>
      <xdr:colOff>1154430</xdr:colOff>
      <xdr:row>14</xdr:row>
      <xdr:rowOff>291465</xdr:rowOff>
    </xdr:to>
    <xdr:graphicFrame>
      <xdr:nvGraphicFramePr>
        <xdr:cNvPr id="3" name="图表 2"/>
        <xdr:cNvGraphicFramePr/>
      </xdr:nvGraphicFramePr>
      <xdr:xfrm>
        <a:off x="22341840" y="26670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752475</xdr:colOff>
      <xdr:row>15</xdr:row>
      <xdr:rowOff>322580</xdr:rowOff>
    </xdr:from>
    <xdr:to>
      <xdr:col>14</xdr:col>
      <xdr:colOff>1063625</xdr:colOff>
      <xdr:row>24</xdr:row>
      <xdr:rowOff>163830</xdr:rowOff>
    </xdr:to>
    <xdr:graphicFrame>
      <xdr:nvGraphicFramePr>
        <xdr:cNvPr id="4" name="图表 3"/>
        <xdr:cNvGraphicFramePr/>
      </xdr:nvGraphicFramePr>
      <xdr:xfrm>
        <a:off x="15706090" y="6266180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10795</xdr:colOff>
      <xdr:row>15</xdr:row>
      <xdr:rowOff>303530</xdr:rowOff>
    </xdr:from>
    <xdr:to>
      <xdr:col>19</xdr:col>
      <xdr:colOff>50800</xdr:colOff>
      <xdr:row>24</xdr:row>
      <xdr:rowOff>169545</xdr:rowOff>
    </xdr:to>
    <xdr:graphicFrame>
      <xdr:nvGraphicFramePr>
        <xdr:cNvPr id="5" name="图表 4"/>
        <xdr:cNvGraphicFramePr/>
      </xdr:nvGraphicFramePr>
      <xdr:xfrm>
        <a:off x="22492335" y="624713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17</xdr:row>
      <xdr:rowOff>8890</xdr:rowOff>
    </xdr:from>
    <xdr:to>
      <xdr:col>11</xdr:col>
      <xdr:colOff>923925</xdr:colOff>
      <xdr:row>25</xdr:row>
      <xdr:rowOff>292100</xdr:rowOff>
    </xdr:to>
    <xdr:graphicFrame>
      <xdr:nvGraphicFramePr>
        <xdr:cNvPr id="2" name="图表 1"/>
        <xdr:cNvGraphicFramePr/>
      </xdr:nvGraphicFramePr>
      <xdr:xfrm>
        <a:off x="12950825" y="6955790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1066165</xdr:colOff>
      <xdr:row>17</xdr:row>
      <xdr:rowOff>0</xdr:rowOff>
    </xdr:from>
    <xdr:to>
      <xdr:col>15</xdr:col>
      <xdr:colOff>1263650</xdr:colOff>
      <xdr:row>25</xdr:row>
      <xdr:rowOff>295275</xdr:rowOff>
    </xdr:to>
    <xdr:graphicFrame>
      <xdr:nvGraphicFramePr>
        <xdr:cNvPr id="3" name="图表 2"/>
        <xdr:cNvGraphicFramePr/>
      </xdr:nvGraphicFramePr>
      <xdr:xfrm>
        <a:off x="19620230" y="69469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15875</xdr:colOff>
      <xdr:row>26</xdr:row>
      <xdr:rowOff>352425</xdr:rowOff>
    </xdr:from>
    <xdr:to>
      <xdr:col>11</xdr:col>
      <xdr:colOff>845820</xdr:colOff>
      <xdr:row>35</xdr:row>
      <xdr:rowOff>246380</xdr:rowOff>
    </xdr:to>
    <xdr:graphicFrame>
      <xdr:nvGraphicFramePr>
        <xdr:cNvPr id="4" name="图表 3"/>
        <xdr:cNvGraphicFramePr/>
      </xdr:nvGraphicFramePr>
      <xdr:xfrm>
        <a:off x="12966700" y="10546080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1207770</xdr:colOff>
      <xdr:row>26</xdr:row>
      <xdr:rowOff>333375</xdr:rowOff>
    </xdr:from>
    <xdr:to>
      <xdr:col>16</xdr:col>
      <xdr:colOff>151130</xdr:colOff>
      <xdr:row>35</xdr:row>
      <xdr:rowOff>252095</xdr:rowOff>
    </xdr:to>
    <xdr:graphicFrame>
      <xdr:nvGraphicFramePr>
        <xdr:cNvPr id="5" name="图表 4"/>
        <xdr:cNvGraphicFramePr/>
      </xdr:nvGraphicFramePr>
      <xdr:xfrm>
        <a:off x="19761835" y="1052703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549275</xdr:colOff>
      <xdr:row>15</xdr:row>
      <xdr:rowOff>8890</xdr:rowOff>
    </xdr:from>
    <xdr:to>
      <xdr:col>10</xdr:col>
      <xdr:colOff>1341120</xdr:colOff>
      <xdr:row>23</xdr:row>
      <xdr:rowOff>542290</xdr:rowOff>
    </xdr:to>
    <xdr:graphicFrame>
      <xdr:nvGraphicFramePr>
        <xdr:cNvPr id="2" name="图表 1"/>
        <xdr:cNvGraphicFramePr/>
      </xdr:nvGraphicFramePr>
      <xdr:xfrm>
        <a:off x="14597380" y="5952490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1487170</xdr:colOff>
      <xdr:row>15</xdr:row>
      <xdr:rowOff>0</xdr:rowOff>
    </xdr:from>
    <xdr:to>
      <xdr:col>13</xdr:col>
      <xdr:colOff>2971800</xdr:colOff>
      <xdr:row>23</xdr:row>
      <xdr:rowOff>545465</xdr:rowOff>
    </xdr:to>
    <xdr:graphicFrame>
      <xdr:nvGraphicFramePr>
        <xdr:cNvPr id="3" name="图表 2"/>
        <xdr:cNvGraphicFramePr/>
      </xdr:nvGraphicFramePr>
      <xdr:xfrm>
        <a:off x="21270595" y="59436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574675</xdr:colOff>
      <xdr:row>24</xdr:row>
      <xdr:rowOff>386080</xdr:rowOff>
    </xdr:from>
    <xdr:to>
      <xdr:col>10</xdr:col>
      <xdr:colOff>1272540</xdr:colOff>
      <xdr:row>33</xdr:row>
      <xdr:rowOff>49530</xdr:rowOff>
    </xdr:to>
    <xdr:graphicFrame>
      <xdr:nvGraphicFramePr>
        <xdr:cNvPr id="4" name="图表 3"/>
        <xdr:cNvGraphicFramePr/>
      </xdr:nvGraphicFramePr>
      <xdr:xfrm>
        <a:off x="14622780" y="9542780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1628775</xdr:colOff>
      <xdr:row>24</xdr:row>
      <xdr:rowOff>367030</xdr:rowOff>
    </xdr:from>
    <xdr:to>
      <xdr:col>14</xdr:col>
      <xdr:colOff>249555</xdr:colOff>
      <xdr:row>33</xdr:row>
      <xdr:rowOff>55245</xdr:rowOff>
    </xdr:to>
    <xdr:graphicFrame>
      <xdr:nvGraphicFramePr>
        <xdr:cNvPr id="5" name="图表 4"/>
        <xdr:cNvGraphicFramePr/>
      </xdr:nvGraphicFramePr>
      <xdr:xfrm>
        <a:off x="21412200" y="952373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18</xdr:row>
      <xdr:rowOff>8890</xdr:rowOff>
    </xdr:from>
    <xdr:to>
      <xdr:col>11</xdr:col>
      <xdr:colOff>638175</xdr:colOff>
      <xdr:row>25</xdr:row>
      <xdr:rowOff>250190</xdr:rowOff>
    </xdr:to>
    <xdr:graphicFrame>
      <xdr:nvGraphicFramePr>
        <xdr:cNvPr id="2" name="图表 1"/>
        <xdr:cNvGraphicFramePr/>
      </xdr:nvGraphicFramePr>
      <xdr:xfrm>
        <a:off x="15370175" y="7451090"/>
        <a:ext cx="6527165" cy="317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780415</xdr:colOff>
      <xdr:row>18</xdr:row>
      <xdr:rowOff>0</xdr:rowOff>
    </xdr:from>
    <xdr:to>
      <xdr:col>15</xdr:col>
      <xdr:colOff>58420</xdr:colOff>
      <xdr:row>25</xdr:row>
      <xdr:rowOff>253365</xdr:rowOff>
    </xdr:to>
    <xdr:graphicFrame>
      <xdr:nvGraphicFramePr>
        <xdr:cNvPr id="3" name="图表 2"/>
        <xdr:cNvGraphicFramePr/>
      </xdr:nvGraphicFramePr>
      <xdr:xfrm>
        <a:off x="22039580" y="7442200"/>
        <a:ext cx="5511800" cy="3187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15875</xdr:colOff>
      <xdr:row>26</xdr:row>
      <xdr:rowOff>246380</xdr:rowOff>
    </xdr:from>
    <xdr:to>
      <xdr:col>11</xdr:col>
      <xdr:colOff>560070</xdr:colOff>
      <xdr:row>34</xdr:row>
      <xdr:rowOff>252730</xdr:rowOff>
    </xdr:to>
    <xdr:graphicFrame>
      <xdr:nvGraphicFramePr>
        <xdr:cNvPr id="4" name="图表 3"/>
        <xdr:cNvGraphicFramePr/>
      </xdr:nvGraphicFramePr>
      <xdr:xfrm>
        <a:off x="15386050" y="11041380"/>
        <a:ext cx="6433185" cy="324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769620</xdr:colOff>
      <xdr:row>26</xdr:row>
      <xdr:rowOff>227330</xdr:rowOff>
    </xdr:from>
    <xdr:to>
      <xdr:col>15</xdr:col>
      <xdr:colOff>199390</xdr:colOff>
      <xdr:row>34</xdr:row>
      <xdr:rowOff>258445</xdr:rowOff>
    </xdr:to>
    <xdr:graphicFrame>
      <xdr:nvGraphicFramePr>
        <xdr:cNvPr id="5" name="图表 4"/>
        <xdr:cNvGraphicFramePr/>
      </xdr:nvGraphicFramePr>
      <xdr:xfrm>
        <a:off x="22028785" y="11022330"/>
        <a:ext cx="5663565" cy="3269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-4%20&#22269;&#38469;&#19994;&#21153;&#37096;&#26376;&#25253;-&#24635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6-8%20&#22270;&#34920;&#65306;&#38144;&#21806;&#39069;&#19982;&#23436;&#25104;&#2760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1组（陈子凡）"/>
      <sheetName val="2组（司斌）"/>
      <sheetName val="3组（王伟乐）"/>
      <sheetName val="5组（陈辉）"/>
      <sheetName val="6组（韩鸿彪）"/>
      <sheetName val="俄语组（崔阳）"/>
      <sheetName val="明细表1-业务完成指标"/>
      <sheetName val="明细表2-新增客户数量"/>
      <sheetName val="明细表3-销售成本指标"/>
      <sheetName val="明细表4-回款进度指标"/>
    </sheetNames>
    <sheetDataSet>
      <sheetData sheetId="0" refreshError="1">
        <row r="4">
          <cell r="H4">
            <v>2331.87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销售额"/>
      <sheetName val="完成比"/>
    </sheetNames>
    <sheetDataSet>
      <sheetData sheetId="0">
        <row r="4">
          <cell r="A4" t="str">
            <v>一组</v>
          </cell>
          <cell r="B4" t="str">
            <v>陈子凡</v>
          </cell>
          <cell r="C4">
            <v>1231.12</v>
          </cell>
        </row>
        <row r="4">
          <cell r="F4" t="str">
            <v>一组</v>
          </cell>
          <cell r="G4">
            <v>1762.21</v>
          </cell>
        </row>
        <row r="5">
          <cell r="A5" t="str">
            <v>五组</v>
          </cell>
          <cell r="B5" t="str">
            <v>陈辉</v>
          </cell>
          <cell r="C5">
            <v>1212.5</v>
          </cell>
        </row>
        <row r="5">
          <cell r="F5" t="str">
            <v>五组</v>
          </cell>
          <cell r="G5">
            <v>1212.5</v>
          </cell>
        </row>
        <row r="6">
          <cell r="A6" t="str">
            <v>六组</v>
          </cell>
          <cell r="B6" t="str">
            <v>韩鸿彪</v>
          </cell>
          <cell r="C6">
            <v>1150.53</v>
          </cell>
        </row>
        <row r="6">
          <cell r="F6" t="str">
            <v>六组</v>
          </cell>
          <cell r="G6">
            <v>1150.53</v>
          </cell>
        </row>
        <row r="7">
          <cell r="A7" t="str">
            <v>一组</v>
          </cell>
          <cell r="B7" t="str">
            <v>张硕</v>
          </cell>
          <cell r="C7">
            <v>531.09</v>
          </cell>
        </row>
        <row r="7">
          <cell r="F7" t="str">
            <v>三组</v>
          </cell>
          <cell r="G7">
            <v>30.56</v>
          </cell>
        </row>
        <row r="8">
          <cell r="A8" t="str">
            <v>三组</v>
          </cell>
          <cell r="B8" t="str">
            <v>马鹏飞</v>
          </cell>
          <cell r="C8">
            <v>20.08</v>
          </cell>
        </row>
        <row r="8">
          <cell r="F8" t="str">
            <v>二组</v>
          </cell>
          <cell r="G8">
            <v>1.14</v>
          </cell>
        </row>
        <row r="9">
          <cell r="A9" t="str">
            <v>三组</v>
          </cell>
          <cell r="B9" t="str">
            <v>王伟乐</v>
          </cell>
          <cell r="C9">
            <v>10.48</v>
          </cell>
        </row>
        <row r="9">
          <cell r="F9" t="str">
            <v>俄语组</v>
          </cell>
          <cell r="G9">
            <v>0</v>
          </cell>
        </row>
        <row r="10">
          <cell r="A10" t="str">
            <v>二组</v>
          </cell>
          <cell r="B10" t="str">
            <v>司斌</v>
          </cell>
          <cell r="C10">
            <v>1.14</v>
          </cell>
        </row>
        <row r="11">
          <cell r="A11" t="str">
            <v>二组</v>
          </cell>
          <cell r="B11" t="str">
            <v>王伟超</v>
          </cell>
          <cell r="C11">
            <v>0</v>
          </cell>
        </row>
        <row r="12">
          <cell r="A12" t="str">
            <v>六组</v>
          </cell>
          <cell r="B12" t="str">
            <v>苗恒</v>
          </cell>
          <cell r="C12">
            <v>0</v>
          </cell>
        </row>
        <row r="13">
          <cell r="A13" t="str">
            <v>俄语组</v>
          </cell>
          <cell r="B13" t="str">
            <v>尹韬越</v>
          </cell>
          <cell r="C13">
            <v>0</v>
          </cell>
        </row>
        <row r="14">
          <cell r="A14" t="str">
            <v>俄语组</v>
          </cell>
          <cell r="B14" t="str">
            <v>崔阳</v>
          </cell>
          <cell r="C14">
            <v>0</v>
          </cell>
        </row>
        <row r="15">
          <cell r="A15" t="str">
            <v>五组</v>
          </cell>
          <cell r="B15" t="str">
            <v>冯乐</v>
          </cell>
          <cell r="C15">
            <v>0</v>
          </cell>
        </row>
      </sheetData>
      <sheetData sheetId="1">
        <row r="2">
          <cell r="C2" t="str">
            <v>本财年
累计完成销售额</v>
          </cell>
          <cell r="D2" t="str">
            <v>全年目标</v>
          </cell>
          <cell r="E2" t="str">
            <v>完成率</v>
          </cell>
        </row>
        <row r="2">
          <cell r="G2" t="str">
            <v>本财年
累计完成销售额</v>
          </cell>
          <cell r="H2" t="str">
            <v>全年目标</v>
          </cell>
          <cell r="I2" t="str">
            <v>完成率</v>
          </cell>
        </row>
        <row r="3">
          <cell r="A3" t="str">
            <v>五组</v>
          </cell>
          <cell r="B3" t="str">
            <v>陈辉</v>
          </cell>
        </row>
        <row r="3">
          <cell r="E3">
            <v>0.367424242424242</v>
          </cell>
          <cell r="F3" t="str">
            <v>五组</v>
          </cell>
        </row>
        <row r="3">
          <cell r="I3">
            <v>0.292874396135266</v>
          </cell>
        </row>
        <row r="4">
          <cell r="A4" t="str">
            <v>一组</v>
          </cell>
          <cell r="B4" t="str">
            <v>张硕</v>
          </cell>
        </row>
        <row r="4">
          <cell r="E4">
            <v>0.321872727272727</v>
          </cell>
          <cell r="F4" t="str">
            <v>六组</v>
          </cell>
        </row>
        <row r="4">
          <cell r="I4">
            <v>0.174322727272727</v>
          </cell>
        </row>
        <row r="5">
          <cell r="A5" t="str">
            <v>六组</v>
          </cell>
          <cell r="B5" t="str">
            <v>韩鸿彪</v>
          </cell>
        </row>
        <row r="5">
          <cell r="E5">
            <v>0.261484090909091</v>
          </cell>
          <cell r="F5" t="str">
            <v>一组</v>
          </cell>
        </row>
        <row r="5">
          <cell r="I5">
            <v>0.152572294372294</v>
          </cell>
        </row>
        <row r="6">
          <cell r="A6" t="str">
            <v>一组</v>
          </cell>
          <cell r="B6" t="str">
            <v>陈子凡</v>
          </cell>
        </row>
        <row r="6">
          <cell r="E6">
            <v>0.124355555555556</v>
          </cell>
          <cell r="F6" t="str">
            <v>三组</v>
          </cell>
        </row>
        <row r="6">
          <cell r="I6">
            <v>0.00555636363636364</v>
          </cell>
        </row>
        <row r="7">
          <cell r="A7" t="str">
            <v>三组</v>
          </cell>
          <cell r="B7" t="str">
            <v>马鹏飞</v>
          </cell>
        </row>
        <row r="7">
          <cell r="E7">
            <v>0.00912727272727273</v>
          </cell>
          <cell r="F7" t="str">
            <v>二组</v>
          </cell>
        </row>
        <row r="7">
          <cell r="I7">
            <v>0.000207272727272727</v>
          </cell>
        </row>
        <row r="8">
          <cell r="A8" t="str">
            <v>三组</v>
          </cell>
          <cell r="B8" t="str">
            <v>王伟乐</v>
          </cell>
        </row>
        <row r="8">
          <cell r="E8">
            <v>0.00317575757575758</v>
          </cell>
          <cell r="F8" t="str">
            <v>俄语组</v>
          </cell>
        </row>
        <row r="8">
          <cell r="I8">
            <v>0</v>
          </cell>
        </row>
        <row r="9">
          <cell r="A9" t="str">
            <v>二组</v>
          </cell>
          <cell r="B9" t="str">
            <v>司斌</v>
          </cell>
        </row>
        <row r="9">
          <cell r="E9">
            <v>0.000345454545454545</v>
          </cell>
        </row>
        <row r="10">
          <cell r="A10" t="str">
            <v>二组</v>
          </cell>
          <cell r="B10" t="str">
            <v>王伟超</v>
          </cell>
        </row>
        <row r="10">
          <cell r="E10">
            <v>0</v>
          </cell>
        </row>
        <row r="11">
          <cell r="A11" t="str">
            <v>六组</v>
          </cell>
          <cell r="B11" t="str">
            <v>苗恒</v>
          </cell>
        </row>
        <row r="11">
          <cell r="E11">
            <v>0</v>
          </cell>
        </row>
        <row r="12">
          <cell r="A12" t="str">
            <v>俄语组</v>
          </cell>
          <cell r="B12" t="str">
            <v>尹韬越</v>
          </cell>
        </row>
        <row r="12">
          <cell r="E12">
            <v>0</v>
          </cell>
        </row>
        <row r="13">
          <cell r="A13" t="str">
            <v>俄语组</v>
          </cell>
          <cell r="B13" t="str">
            <v>崔阳</v>
          </cell>
        </row>
        <row r="13">
          <cell r="E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1"/>
  <sheetViews>
    <sheetView tabSelected="1" zoomScale="80" zoomScaleNormal="80" workbookViewId="0">
      <selection activeCell="J11" sqref="J11"/>
    </sheetView>
  </sheetViews>
  <sheetFormatPr defaultColWidth="9" defaultRowHeight="27" customHeight="1"/>
  <cols>
    <col min="1" max="1" width="13.6272727272727" style="304" customWidth="1"/>
    <col min="2" max="2" width="20.4545454545455" style="304" customWidth="1"/>
    <col min="3" max="3" width="22.1636363636364" style="298" customWidth="1"/>
    <col min="4" max="4" width="16.8181818181818" style="298" customWidth="1"/>
    <col min="5" max="6" width="13.8727272727273" style="298" customWidth="1"/>
    <col min="7" max="7" width="15.2727272727273" style="298" customWidth="1"/>
    <col min="8" max="8" width="18.0636363636364" style="298" customWidth="1"/>
    <col min="9" max="9" width="26.7" style="298" customWidth="1"/>
    <col min="10" max="10" width="16.3636363636364" style="298" customWidth="1"/>
    <col min="11" max="13" width="16.6363636363636" style="298" customWidth="1"/>
    <col min="14" max="14" width="40.3818181818182" style="298" customWidth="1"/>
    <col min="15" max="16" width="9" style="298"/>
    <col min="17" max="19" width="12.7181818181818" style="298" customWidth="1"/>
    <col min="20" max="20" width="9" style="298"/>
    <col min="21" max="21" width="13.4545454545455" style="298"/>
    <col min="22" max="22" width="14.6363636363636" style="298"/>
    <col min="23" max="16384" width="9" style="298"/>
  </cols>
  <sheetData>
    <row r="1" s="298" customFormat="1" customHeight="1" spans="1:10">
      <c r="A1" s="305" t="s">
        <v>0</v>
      </c>
      <c r="B1" s="305"/>
      <c r="C1" s="305"/>
      <c r="D1" s="305"/>
      <c r="E1" s="305"/>
      <c r="F1" s="305"/>
      <c r="G1" s="305"/>
      <c r="H1" s="305"/>
    </row>
    <row r="2" s="299" customFormat="1" ht="32" customHeight="1" spans="1:10">
      <c r="A2" s="306" t="s">
        <v>1</v>
      </c>
      <c r="B2" s="179" t="s">
        <v>2</v>
      </c>
      <c r="C2" s="179" t="s">
        <v>3</v>
      </c>
      <c r="D2" s="179" t="s">
        <v>4</v>
      </c>
      <c r="E2" s="179" t="s">
        <v>5</v>
      </c>
      <c r="F2" s="179" t="s">
        <v>6</v>
      </c>
      <c r="G2" s="179" t="s">
        <v>7</v>
      </c>
      <c r="H2" s="179" t="s">
        <v>8</v>
      </c>
      <c r="I2" s="307"/>
    </row>
    <row r="3" s="300" customFormat="1" ht="30" customHeight="1" spans="1:10">
      <c r="A3" s="180" t="s">
        <v>9</v>
      </c>
      <c r="B3" s="22" t="s">
        <v>10</v>
      </c>
      <c r="C3" s="308" t="s">
        <v>11</v>
      </c>
      <c r="D3" s="308">
        <v>7920</v>
      </c>
      <c r="E3" s="308">
        <f>40440*0.2</f>
        <v>8088</v>
      </c>
      <c r="F3" s="308">
        <f>40440*0.3</f>
        <v>12132</v>
      </c>
      <c r="G3" s="308">
        <f>40440*0.3</f>
        <v>12132</v>
      </c>
      <c r="H3" s="308">
        <f>39600+840</f>
        <v>40440</v>
      </c>
      <c r="I3" s="309"/>
    </row>
    <row r="4" s="300" customFormat="1" ht="30" customHeight="1" spans="1:10">
      <c r="A4" s="180"/>
      <c r="B4" s="22" t="s">
        <v>12</v>
      </c>
      <c r="C4" s="310">
        <v>20.36</v>
      </c>
      <c r="D4" s="308">
        <v>2331.87</v>
      </c>
      <c r="E4" s="311">
        <v>1395.07</v>
      </c>
      <c r="F4" s="311">
        <f>389.56+20.36+20.08</f>
        <v>430</v>
      </c>
      <c r="G4" s="311">
        <v>0</v>
      </c>
      <c r="H4" s="311">
        <f>D4+E4+F4+G4</f>
        <v>4156.94</v>
      </c>
      <c r="I4" s="309"/>
    </row>
    <row r="5" s="300" customFormat="1" ht="30" customHeight="1" spans="1:10">
      <c r="A5" s="180"/>
      <c r="B5" s="22" t="s">
        <v>13</v>
      </c>
      <c r="C5" s="312" t="s">
        <v>11</v>
      </c>
      <c r="D5" s="313">
        <f>D4/D3</f>
        <v>0.29442803030303</v>
      </c>
      <c r="E5" s="313">
        <f>E4/E3</f>
        <v>0.172486399604352</v>
      </c>
      <c r="F5" s="313">
        <f>F4/F3</f>
        <v>0.035443455324761</v>
      </c>
      <c r="G5" s="313">
        <f>G4/G3</f>
        <v>0</v>
      </c>
      <c r="H5" s="314">
        <f>H4/H3</f>
        <v>0.102792779426311</v>
      </c>
      <c r="I5" s="309"/>
    </row>
    <row r="6" s="300" customFormat="1" ht="30" customHeight="1" spans="1:10">
      <c r="A6" s="180"/>
      <c r="B6" s="22" t="s">
        <v>14</v>
      </c>
      <c r="C6" s="308" t="s">
        <v>11</v>
      </c>
      <c r="D6" s="315">
        <f>D3-D4</f>
        <v>5588.13</v>
      </c>
      <c r="E6" s="315">
        <f>E3-E4</f>
        <v>6692.93</v>
      </c>
      <c r="F6" s="315">
        <f>F3-F4</f>
        <v>11702</v>
      </c>
      <c r="G6" s="315">
        <f>G3-G4</f>
        <v>12132</v>
      </c>
      <c r="H6" s="315">
        <f>H3-H4</f>
        <v>36283.06</v>
      </c>
      <c r="I6" s="309"/>
    </row>
    <row r="7" s="300" customFormat="1" ht="30" customHeight="1" spans="1:10">
      <c r="A7" s="180"/>
      <c r="B7" s="22" t="s">
        <v>15</v>
      </c>
      <c r="C7" s="308" t="s">
        <v>11</v>
      </c>
      <c r="D7" s="308" t="s">
        <v>11</v>
      </c>
      <c r="E7" s="308" t="s">
        <v>11</v>
      </c>
      <c r="F7" s="308" t="s">
        <v>11</v>
      </c>
      <c r="G7" s="308" t="s">
        <v>11</v>
      </c>
      <c r="H7" s="308" t="s">
        <v>11</v>
      </c>
      <c r="I7" s="309"/>
    </row>
    <row r="8" s="301" customFormat="1" customHeight="1" spans="1:10">
      <c r="A8" s="130" t="s">
        <v>16</v>
      </c>
      <c r="B8" s="130" t="s">
        <v>10</v>
      </c>
      <c r="C8" s="308" t="s">
        <v>11</v>
      </c>
      <c r="D8" s="316">
        <v>2310</v>
      </c>
      <c r="E8" s="316">
        <v>2310</v>
      </c>
      <c r="F8" s="316">
        <v>3465</v>
      </c>
      <c r="G8" s="316">
        <v>3465</v>
      </c>
      <c r="H8" s="308">
        <f>SUM(D8:G8)</f>
        <v>11550</v>
      </c>
    </row>
    <row r="9" s="301" customFormat="1" customHeight="1" spans="1:10">
      <c r="A9" s="130"/>
      <c r="B9" s="130" t="s">
        <v>12</v>
      </c>
      <c r="C9" s="317">
        <v>20.36</v>
      </c>
      <c r="D9" s="308">
        <v>117.37</v>
      </c>
      <c r="E9" s="311">
        <v>1238.72</v>
      </c>
      <c r="F9" s="315">
        <f>385.76+20.36</f>
        <v>406.12</v>
      </c>
      <c r="G9" s="79">
        <v>0</v>
      </c>
      <c r="H9" s="318">
        <f>SUM(D9:G9)</f>
        <v>1762.21</v>
      </c>
      <c r="J9" s="301" t="s">
        <v>17</v>
      </c>
    </row>
    <row r="10" s="301" customFormat="1" customHeight="1" spans="1:10">
      <c r="A10" s="130"/>
      <c r="B10" s="130" t="s">
        <v>13</v>
      </c>
      <c r="C10" s="312" t="s">
        <v>11</v>
      </c>
      <c r="D10" s="313">
        <f>D9/D8</f>
        <v>0.0508095238095238</v>
      </c>
      <c r="E10" s="313">
        <f>E9/E8</f>
        <v>0.536242424242424</v>
      </c>
      <c r="F10" s="313">
        <f>F9/F8</f>
        <v>0.117206349206349</v>
      </c>
      <c r="G10" s="313">
        <f>G9/G8</f>
        <v>0</v>
      </c>
      <c r="H10" s="314">
        <f>H9/H8</f>
        <v>0.152572294372294</v>
      </c>
    </row>
    <row r="11" s="301" customFormat="1" customHeight="1" spans="1:10">
      <c r="A11" s="130" t="s">
        <v>18</v>
      </c>
      <c r="B11" s="130" t="s">
        <v>10</v>
      </c>
      <c r="C11" s="308" t="s">
        <v>11</v>
      </c>
      <c r="D11" s="316">
        <v>1100</v>
      </c>
      <c r="E11" s="316">
        <v>1100</v>
      </c>
      <c r="F11" s="316">
        <v>1650</v>
      </c>
      <c r="G11" s="316">
        <v>1650</v>
      </c>
      <c r="H11" s="308">
        <f t="shared" ref="H11:H14" si="0">SUM(D11:G11)</f>
        <v>5500</v>
      </c>
    </row>
    <row r="12" s="301" customFormat="1" customHeight="1" spans="1:10">
      <c r="A12" s="130"/>
      <c r="B12" s="130" t="s">
        <v>12</v>
      </c>
      <c r="C12" s="308" t="s">
        <v>11</v>
      </c>
      <c r="D12" s="315">
        <f>1.14</f>
        <v>1.14</v>
      </c>
      <c r="E12" s="315">
        <v>0</v>
      </c>
      <c r="F12" s="315">
        <v>0</v>
      </c>
      <c r="G12" s="315">
        <v>0</v>
      </c>
      <c r="H12" s="318">
        <f t="shared" si="0"/>
        <v>1.14</v>
      </c>
    </row>
    <row r="13" s="301" customFormat="1" customHeight="1" spans="1:10">
      <c r="A13" s="130"/>
      <c r="B13" s="130" t="s">
        <v>13</v>
      </c>
      <c r="C13" s="312" t="s">
        <v>11</v>
      </c>
      <c r="D13" s="313">
        <f>D12/D11</f>
        <v>0.00103636363636364</v>
      </c>
      <c r="E13" s="313">
        <f>E12/E11</f>
        <v>0</v>
      </c>
      <c r="F13" s="313">
        <f>F12/F11</f>
        <v>0</v>
      </c>
      <c r="G13" s="313">
        <f>G12/G11</f>
        <v>0</v>
      </c>
      <c r="H13" s="319">
        <f>H12/H11</f>
        <v>0.000207272727272727</v>
      </c>
    </row>
    <row r="14" s="301" customFormat="1" customHeight="1" spans="1:10">
      <c r="A14" s="130" t="s">
        <v>19</v>
      </c>
      <c r="B14" s="130" t="s">
        <v>10</v>
      </c>
      <c r="C14" s="308" t="s">
        <v>11</v>
      </c>
      <c r="D14" s="316">
        <v>1100</v>
      </c>
      <c r="E14" s="316">
        <v>1100</v>
      </c>
      <c r="F14" s="316">
        <v>1650</v>
      </c>
      <c r="G14" s="316">
        <v>1650</v>
      </c>
      <c r="H14" s="308">
        <f t="shared" si="0"/>
        <v>5500</v>
      </c>
    </row>
    <row r="15" s="301" customFormat="1" customHeight="1" spans="1:10">
      <c r="A15" s="130"/>
      <c r="B15" s="130" t="s">
        <v>12</v>
      </c>
      <c r="C15" s="308" t="s">
        <v>11</v>
      </c>
      <c r="D15" s="317">
        <f>6.68</f>
        <v>6.68</v>
      </c>
      <c r="E15" s="315">
        <v>0</v>
      </c>
      <c r="F15" s="315">
        <f>3.8+20.08</f>
        <v>23.88</v>
      </c>
      <c r="G15" s="79">
        <v>0</v>
      </c>
      <c r="H15" s="320">
        <f t="shared" ref="H15:H21" si="1">SUM(D15:G15)</f>
        <v>30.56</v>
      </c>
    </row>
    <row r="16" s="301" customFormat="1" customHeight="1" spans="1:10">
      <c r="A16" s="130"/>
      <c r="B16" s="130" t="s">
        <v>13</v>
      </c>
      <c r="C16" s="312" t="s">
        <v>11</v>
      </c>
      <c r="D16" s="313">
        <f>D15/D14</f>
        <v>0.00607272727272727</v>
      </c>
      <c r="E16" s="313">
        <f>E15/E14</f>
        <v>0</v>
      </c>
      <c r="F16" s="313">
        <f>F15/F14</f>
        <v>0.0144727272727273</v>
      </c>
      <c r="G16" s="313">
        <f>G15/G14</f>
        <v>0</v>
      </c>
      <c r="H16" s="319">
        <f>H15/H14</f>
        <v>0.00555636363636364</v>
      </c>
    </row>
    <row r="17" s="301" customFormat="1" customHeight="1" spans="1:19">
      <c r="A17" s="130" t="s">
        <v>20</v>
      </c>
      <c r="B17" s="130" t="s">
        <v>10</v>
      </c>
      <c r="C17" s="308" t="s">
        <v>11</v>
      </c>
      <c r="D17" s="316">
        <v>660</v>
      </c>
      <c r="E17" s="316">
        <f>H17*0.2</f>
        <v>828</v>
      </c>
      <c r="F17" s="316">
        <f>H17*0.3</f>
        <v>1242</v>
      </c>
      <c r="G17" s="316">
        <f>H17*0.3</f>
        <v>1242</v>
      </c>
      <c r="H17" s="308">
        <v>4140</v>
      </c>
    </row>
    <row r="18" s="301" customFormat="1" customHeight="1" spans="1:19">
      <c r="A18" s="130"/>
      <c r="B18" s="130" t="s">
        <v>12</v>
      </c>
      <c r="C18" s="308" t="s">
        <v>11</v>
      </c>
      <c r="D18" s="315">
        <v>1212.5</v>
      </c>
      <c r="E18" s="315">
        <v>0</v>
      </c>
      <c r="F18" s="315">
        <v>0</v>
      </c>
      <c r="G18" s="79">
        <v>0</v>
      </c>
      <c r="H18" s="318">
        <f t="shared" si="1"/>
        <v>1212.5</v>
      </c>
    </row>
    <row r="19" s="301" customFormat="1" customHeight="1" spans="1:19">
      <c r="A19" s="130"/>
      <c r="B19" s="130" t="s">
        <v>13</v>
      </c>
      <c r="C19" s="312" t="s">
        <v>11</v>
      </c>
      <c r="D19" s="313">
        <f t="shared" ref="D19:H19" si="2">D18/D17</f>
        <v>1.83712121212121</v>
      </c>
      <c r="E19" s="313">
        <f t="shared" si="2"/>
        <v>0</v>
      </c>
      <c r="F19" s="313">
        <f t="shared" si="2"/>
        <v>0</v>
      </c>
      <c r="G19" s="313">
        <f t="shared" si="2"/>
        <v>0</v>
      </c>
      <c r="H19" s="314">
        <f t="shared" si="2"/>
        <v>0.292874396135266</v>
      </c>
    </row>
    <row r="20" s="301" customFormat="1" customHeight="1" spans="1:19">
      <c r="A20" s="130" t="s">
        <v>21</v>
      </c>
      <c r="B20" s="130" t="s">
        <v>10</v>
      </c>
      <c r="C20" s="308" t="s">
        <v>11</v>
      </c>
      <c r="D20" s="316">
        <v>1320</v>
      </c>
      <c r="E20" s="316">
        <v>1320</v>
      </c>
      <c r="F20" s="316">
        <v>1980</v>
      </c>
      <c r="G20" s="316">
        <v>1980</v>
      </c>
      <c r="H20" s="308">
        <f t="shared" si="1"/>
        <v>6600</v>
      </c>
    </row>
    <row r="21" s="301" customFormat="1" customHeight="1" spans="1:19">
      <c r="A21" s="130"/>
      <c r="B21" s="130" t="s">
        <v>12</v>
      </c>
      <c r="C21" s="308" t="s">
        <v>11</v>
      </c>
      <c r="D21" s="315">
        <f>994.18</f>
        <v>994.18</v>
      </c>
      <c r="E21" s="311">
        <v>156.35</v>
      </c>
      <c r="F21" s="315">
        <v>0</v>
      </c>
      <c r="G21" s="315">
        <v>0</v>
      </c>
      <c r="H21" s="320">
        <f t="shared" si="1"/>
        <v>1150.53</v>
      </c>
    </row>
    <row r="22" s="301" customFormat="1" customHeight="1" spans="1:19">
      <c r="A22" s="130"/>
      <c r="B22" s="130" t="s">
        <v>13</v>
      </c>
      <c r="C22" s="312" t="s">
        <v>11</v>
      </c>
      <c r="D22" s="313">
        <f>D21/D20</f>
        <v>0.753166666666667</v>
      </c>
      <c r="E22" s="313">
        <f>E21/E20</f>
        <v>0.11844696969697</v>
      </c>
      <c r="F22" s="313">
        <f>F21/F20</f>
        <v>0</v>
      </c>
      <c r="G22" s="313">
        <f>G21/G20</f>
        <v>0</v>
      </c>
      <c r="H22" s="314">
        <f>H21/H20</f>
        <v>0.174322727272727</v>
      </c>
    </row>
    <row r="23" s="301" customFormat="1" customHeight="1" spans="1:19">
      <c r="A23" s="130" t="s">
        <v>22</v>
      </c>
      <c r="B23" s="130" t="s">
        <v>10</v>
      </c>
      <c r="C23" s="308" t="s">
        <v>11</v>
      </c>
      <c r="D23" s="316">
        <v>1430</v>
      </c>
      <c r="E23" s="316">
        <v>1430</v>
      </c>
      <c r="F23" s="316">
        <v>2145</v>
      </c>
      <c r="G23" s="316">
        <v>2145</v>
      </c>
      <c r="H23" s="308">
        <f>SUM(D23:G23)</f>
        <v>7150</v>
      </c>
      <c r="J23" s="298"/>
      <c r="K23" s="298"/>
      <c r="L23" s="298"/>
      <c r="M23" s="298"/>
      <c r="N23" s="298"/>
      <c r="O23" s="298"/>
      <c r="P23" s="298"/>
      <c r="Q23" s="298"/>
      <c r="R23" s="298"/>
      <c r="S23" s="298"/>
    </row>
    <row r="24" s="298" customFormat="1" customHeight="1" spans="1:19">
      <c r="A24" s="130"/>
      <c r="B24" s="130" t="s">
        <v>12</v>
      </c>
      <c r="C24" s="308" t="s">
        <v>11</v>
      </c>
      <c r="D24" s="315">
        <v>0</v>
      </c>
      <c r="E24" s="315">
        <v>0</v>
      </c>
      <c r="F24" s="315">
        <v>0</v>
      </c>
      <c r="G24" s="315">
        <v>0</v>
      </c>
      <c r="H24" s="318">
        <f>SUM(D24:G24)</f>
        <v>0</v>
      </c>
    </row>
    <row r="25" s="298" customFormat="1" customHeight="1" spans="1:19">
      <c r="A25" s="130"/>
      <c r="B25" s="130" t="s">
        <v>13</v>
      </c>
      <c r="C25" s="22" t="s">
        <v>11</v>
      </c>
      <c r="D25" s="313">
        <f>D24/D23</f>
        <v>0</v>
      </c>
      <c r="E25" s="313">
        <f>E24/E23</f>
        <v>0</v>
      </c>
      <c r="F25" s="313">
        <f>F24/F23</f>
        <v>0</v>
      </c>
      <c r="G25" s="313">
        <f>G24/G23</f>
        <v>0</v>
      </c>
      <c r="H25" s="314">
        <f>H24/H23</f>
        <v>0</v>
      </c>
    </row>
    <row r="26" s="298" customFormat="1" customHeight="1" spans="1:19">
      <c r="A26" s="252"/>
      <c r="B26" s="252"/>
      <c r="C26" s="321"/>
      <c r="D26" s="321"/>
      <c r="E26" s="321"/>
      <c r="F26" s="321"/>
      <c r="G26" s="321"/>
      <c r="H26" s="321"/>
    </row>
    <row r="27" s="298" customFormat="1" customHeight="1"/>
    <row r="28" s="298" customFormat="1" ht="26" customHeight="1" spans="1:19">
      <c r="A28" s="305" t="s">
        <v>23</v>
      </c>
      <c r="B28" s="305"/>
      <c r="C28" s="305"/>
      <c r="D28" s="305"/>
      <c r="E28" s="305"/>
      <c r="F28" s="305"/>
      <c r="G28" s="305"/>
      <c r="H28" s="305"/>
      <c r="I28" s="305"/>
      <c r="J28" s="305"/>
    </row>
    <row r="29" s="298" customFormat="1" customHeight="1" spans="1:19">
      <c r="A29" s="306" t="s">
        <v>1</v>
      </c>
      <c r="B29" s="179" t="s">
        <v>2</v>
      </c>
      <c r="C29" s="287" t="s">
        <v>24</v>
      </c>
      <c r="D29" s="287" t="s">
        <v>25</v>
      </c>
      <c r="E29" s="287" t="s">
        <v>26</v>
      </c>
      <c r="F29" s="287" t="s">
        <v>27</v>
      </c>
      <c r="G29" s="287" t="s">
        <v>28</v>
      </c>
      <c r="H29" s="287" t="s">
        <v>29</v>
      </c>
      <c r="I29" s="287" t="s">
        <v>30</v>
      </c>
      <c r="J29" s="179"/>
    </row>
    <row r="30" s="298" customFormat="1" customHeight="1" spans="1:19">
      <c r="A30" s="180" t="s">
        <v>9</v>
      </c>
      <c r="B30" s="130" t="s">
        <v>31</v>
      </c>
      <c r="C30" s="45">
        <f>C32+C34+C36+C38+C40+C42</f>
        <v>186</v>
      </c>
      <c r="D30" s="45">
        <f t="shared" ref="D30:I30" si="3">D32+D34+D36+D38+D40+D42</f>
        <v>19</v>
      </c>
      <c r="E30" s="45">
        <f t="shared" si="3"/>
        <v>5</v>
      </c>
      <c r="F30" s="45">
        <f t="shared" si="3"/>
        <v>3</v>
      </c>
      <c r="G30" s="45">
        <f t="shared" si="3"/>
        <v>0</v>
      </c>
      <c r="H30" s="45">
        <f t="shared" si="3"/>
        <v>0</v>
      </c>
      <c r="I30" s="45">
        <f t="shared" si="3"/>
        <v>2</v>
      </c>
      <c r="J30" s="45"/>
    </row>
    <row r="31" s="298" customFormat="1" customHeight="1" spans="1:19">
      <c r="A31" s="180"/>
      <c r="B31" s="130" t="s">
        <v>32</v>
      </c>
      <c r="C31" s="180">
        <f>C33+C35+C37+C39+C41+C43</f>
        <v>918</v>
      </c>
      <c r="D31" s="180">
        <f t="shared" ref="D31:I31" si="4">D33+D35+D37+D39+D41+D43</f>
        <v>161</v>
      </c>
      <c r="E31" s="180">
        <f t="shared" si="4"/>
        <v>78</v>
      </c>
      <c r="F31" s="180">
        <f t="shared" si="4"/>
        <v>50</v>
      </c>
      <c r="G31" s="180">
        <f t="shared" si="4"/>
        <v>8</v>
      </c>
      <c r="H31" s="180">
        <f t="shared" si="4"/>
        <v>1</v>
      </c>
      <c r="I31" s="180">
        <f t="shared" si="4"/>
        <v>776</v>
      </c>
      <c r="J31" s="180"/>
    </row>
    <row r="32" s="298" customFormat="1" customHeight="1" spans="1:19">
      <c r="A32" s="130" t="s">
        <v>16</v>
      </c>
      <c r="B32" s="130" t="s">
        <v>31</v>
      </c>
      <c r="C32" s="322">
        <v>37</v>
      </c>
      <c r="D32" s="62">
        <v>7</v>
      </c>
      <c r="E32" s="62">
        <v>2</v>
      </c>
      <c r="F32" s="62">
        <v>1</v>
      </c>
      <c r="G32" s="62">
        <v>0</v>
      </c>
      <c r="H32" s="62">
        <v>0</v>
      </c>
      <c r="I32" s="62">
        <v>0</v>
      </c>
      <c r="J32" s="62"/>
    </row>
    <row r="33" s="298" customFormat="1" customHeight="1" spans="1:10">
      <c r="A33" s="130"/>
      <c r="B33" s="130" t="s">
        <v>32</v>
      </c>
      <c r="C33" s="322">
        <v>374</v>
      </c>
      <c r="D33" s="322">
        <v>22</v>
      </c>
      <c r="E33" s="322">
        <v>23</v>
      </c>
      <c r="F33" s="322">
        <v>7</v>
      </c>
      <c r="G33" s="322">
        <v>0</v>
      </c>
      <c r="H33" s="322">
        <v>1</v>
      </c>
      <c r="I33" s="322">
        <v>147</v>
      </c>
      <c r="J33" s="322"/>
    </row>
    <row r="34" s="298" customFormat="1" customHeight="1" spans="1:10">
      <c r="A34" s="130" t="s">
        <v>18</v>
      </c>
      <c r="B34" s="130" t="s">
        <v>31</v>
      </c>
      <c r="C34" s="322">
        <v>38</v>
      </c>
      <c r="D34" s="322">
        <v>1</v>
      </c>
      <c r="E34" s="322">
        <v>0</v>
      </c>
      <c r="F34" s="322">
        <v>0</v>
      </c>
      <c r="G34" s="322">
        <v>0</v>
      </c>
      <c r="H34" s="322">
        <v>0</v>
      </c>
      <c r="I34" s="322">
        <v>0</v>
      </c>
      <c r="J34" s="322"/>
    </row>
    <row r="35" s="298" customFormat="1" customHeight="1" spans="1:10">
      <c r="A35" s="130"/>
      <c r="B35" s="130" t="s">
        <v>32</v>
      </c>
      <c r="C35" s="322">
        <v>110</v>
      </c>
      <c r="D35" s="322">
        <v>24</v>
      </c>
      <c r="E35" s="322">
        <v>4</v>
      </c>
      <c r="F35" s="322">
        <v>8</v>
      </c>
      <c r="G35" s="322">
        <v>0</v>
      </c>
      <c r="H35" s="322">
        <v>0</v>
      </c>
      <c r="I35" s="322">
        <v>123</v>
      </c>
      <c r="J35" s="322"/>
    </row>
    <row r="36" s="298" customFormat="1" customHeight="1" spans="1:10">
      <c r="A36" s="130" t="s">
        <v>19</v>
      </c>
      <c r="B36" s="130" t="s">
        <v>31</v>
      </c>
      <c r="C36" s="322">
        <v>36</v>
      </c>
      <c r="D36" s="322">
        <v>2</v>
      </c>
      <c r="E36" s="322">
        <v>2</v>
      </c>
      <c r="F36" s="322">
        <v>0</v>
      </c>
      <c r="G36" s="322">
        <v>0</v>
      </c>
      <c r="H36" s="322">
        <v>0</v>
      </c>
      <c r="I36" s="322">
        <v>0</v>
      </c>
      <c r="J36" s="322"/>
    </row>
    <row r="37" s="298" customFormat="1" customHeight="1" spans="1:10">
      <c r="A37" s="130"/>
      <c r="B37" s="130" t="s">
        <v>32</v>
      </c>
      <c r="C37" s="322">
        <v>101</v>
      </c>
      <c r="D37" s="322">
        <v>15</v>
      </c>
      <c r="E37" s="322">
        <v>5</v>
      </c>
      <c r="F37" s="322">
        <v>4</v>
      </c>
      <c r="G37" s="322">
        <v>0</v>
      </c>
      <c r="H37" s="322">
        <v>0</v>
      </c>
      <c r="I37" s="322">
        <v>69</v>
      </c>
      <c r="J37" s="180"/>
    </row>
    <row r="38" s="298" customFormat="1" customHeight="1" spans="1:10">
      <c r="A38" s="130" t="s">
        <v>20</v>
      </c>
      <c r="B38" s="130" t="s">
        <v>31</v>
      </c>
      <c r="C38" s="62">
        <v>33</v>
      </c>
      <c r="D38" s="62">
        <v>1</v>
      </c>
      <c r="E38" s="62">
        <v>0</v>
      </c>
      <c r="F38" s="62">
        <v>0</v>
      </c>
      <c r="G38" s="62">
        <v>0</v>
      </c>
      <c r="H38" s="62">
        <v>0</v>
      </c>
      <c r="I38" s="62">
        <v>0</v>
      </c>
      <c r="J38" s="62"/>
    </row>
    <row r="39" s="298" customFormat="1" customHeight="1" spans="1:10">
      <c r="A39" s="130"/>
      <c r="B39" s="130" t="s">
        <v>32</v>
      </c>
      <c r="C39" s="62">
        <v>147</v>
      </c>
      <c r="D39" s="62">
        <v>52</v>
      </c>
      <c r="E39" s="62">
        <v>13</v>
      </c>
      <c r="F39" s="62">
        <v>7</v>
      </c>
      <c r="G39" s="62">
        <v>1</v>
      </c>
      <c r="H39" s="62">
        <v>0</v>
      </c>
      <c r="I39" s="62">
        <v>87</v>
      </c>
      <c r="J39" s="62"/>
    </row>
    <row r="40" s="298" customFormat="1" customHeight="1" spans="1:10">
      <c r="A40" s="130" t="s">
        <v>21</v>
      </c>
      <c r="B40" s="130" t="s">
        <v>31</v>
      </c>
      <c r="C40" s="322">
        <v>39</v>
      </c>
      <c r="D40" s="322">
        <v>8</v>
      </c>
      <c r="E40" s="322">
        <v>1</v>
      </c>
      <c r="F40" s="322">
        <v>2</v>
      </c>
      <c r="G40" s="322">
        <v>0</v>
      </c>
      <c r="H40" s="322">
        <v>0</v>
      </c>
      <c r="I40" s="322">
        <v>2</v>
      </c>
      <c r="J40" s="322"/>
    </row>
    <row r="41" s="298" customFormat="1" customHeight="1" spans="1:10">
      <c r="A41" s="130"/>
      <c r="B41" s="130" t="s">
        <v>32</v>
      </c>
      <c r="C41" s="322">
        <v>127</v>
      </c>
      <c r="D41" s="322">
        <v>32</v>
      </c>
      <c r="E41" s="322">
        <v>20</v>
      </c>
      <c r="F41" s="322">
        <v>18</v>
      </c>
      <c r="G41" s="322">
        <v>6</v>
      </c>
      <c r="H41" s="322">
        <v>0</v>
      </c>
      <c r="I41" s="322">
        <v>91</v>
      </c>
      <c r="J41" s="322"/>
    </row>
    <row r="42" s="298" customFormat="1" customHeight="1" spans="1:10">
      <c r="A42" s="130" t="s">
        <v>22</v>
      </c>
      <c r="B42" s="130" t="s">
        <v>31</v>
      </c>
      <c r="C42" s="322">
        <v>3</v>
      </c>
      <c r="D42" s="322">
        <v>0</v>
      </c>
      <c r="E42" s="322">
        <v>0</v>
      </c>
      <c r="F42" s="322">
        <v>0</v>
      </c>
      <c r="G42" s="322">
        <v>0</v>
      </c>
      <c r="H42" s="322">
        <v>0</v>
      </c>
      <c r="I42" s="322">
        <v>0</v>
      </c>
      <c r="J42" s="322"/>
    </row>
    <row r="43" s="298" customFormat="1" customHeight="1" spans="1:10">
      <c r="A43" s="130"/>
      <c r="B43" s="130" t="s">
        <v>32</v>
      </c>
      <c r="C43" s="322">
        <v>59</v>
      </c>
      <c r="D43" s="322">
        <v>16</v>
      </c>
      <c r="E43" s="322">
        <v>13</v>
      </c>
      <c r="F43" s="322">
        <v>6</v>
      </c>
      <c r="G43" s="322">
        <v>1</v>
      </c>
      <c r="H43" s="322">
        <v>0</v>
      </c>
      <c r="I43" s="322">
        <v>259</v>
      </c>
      <c r="J43" s="322"/>
    </row>
    <row r="44" s="298" customFormat="1" customHeight="1" spans="1:10">
      <c r="A44" s="252"/>
      <c r="B44" s="252"/>
      <c r="C44" s="321"/>
      <c r="D44" s="321"/>
      <c r="E44" s="321"/>
      <c r="F44" s="321"/>
      <c r="G44" s="321"/>
      <c r="H44" s="321"/>
      <c r="I44" s="321"/>
      <c r="J44" s="321"/>
    </row>
    <row r="45" s="298" customFormat="1" customHeight="1"/>
    <row r="46" s="298" customFormat="1" customHeight="1" spans="1:10">
      <c r="A46" s="305" t="s">
        <v>33</v>
      </c>
      <c r="B46" s="305"/>
      <c r="C46" s="305"/>
      <c r="D46" s="305"/>
      <c r="E46" s="305"/>
      <c r="F46" s="305"/>
      <c r="G46" s="305"/>
      <c r="H46" s="305"/>
    </row>
    <row r="47" s="298" customFormat="1" ht="41" customHeight="1" spans="1:10">
      <c r="A47" s="306" t="s">
        <v>1</v>
      </c>
      <c r="B47" s="179" t="s">
        <v>2</v>
      </c>
      <c r="C47" s="179" t="s">
        <v>34</v>
      </c>
      <c r="D47" s="179" t="s">
        <v>35</v>
      </c>
      <c r="E47" s="179" t="s">
        <v>36</v>
      </c>
      <c r="F47" s="179" t="s">
        <v>37</v>
      </c>
      <c r="G47" s="179" t="s">
        <v>38</v>
      </c>
      <c r="H47" s="179" t="s">
        <v>39</v>
      </c>
    </row>
    <row r="48" s="298" customFormat="1" customHeight="1" spans="1:10">
      <c r="A48" s="180" t="s">
        <v>9</v>
      </c>
      <c r="B48" s="180" t="s">
        <v>31</v>
      </c>
      <c r="C48" s="323">
        <f>SUM(C49:C54)</f>
        <v>157045.65</v>
      </c>
      <c r="D48" s="323">
        <v>304210.32</v>
      </c>
      <c r="E48" s="323">
        <v>510357.68</v>
      </c>
      <c r="F48" s="323">
        <f>SUM(F49:F54)</f>
        <v>484215.2</v>
      </c>
      <c r="G48" s="323">
        <f>SUM(G49:G54)</f>
        <v>0</v>
      </c>
      <c r="H48" s="323">
        <f>SUM(D48:G48)</f>
        <v>1298783.2</v>
      </c>
    </row>
    <row r="49" s="298" customFormat="1" customHeight="1" spans="1:22">
      <c r="A49" s="130" t="s">
        <v>16</v>
      </c>
      <c r="B49" s="180" t="s">
        <v>31</v>
      </c>
      <c r="C49" s="323">
        <v>52543.33</v>
      </c>
      <c r="D49" s="323">
        <v>31217.95</v>
      </c>
      <c r="E49" s="323">
        <v>45182.32</v>
      </c>
      <c r="F49" s="323">
        <v>113041.46</v>
      </c>
      <c r="G49" s="323">
        <v>0</v>
      </c>
      <c r="H49" s="323">
        <f>SUM(D49:G49)</f>
        <v>189441.73</v>
      </c>
    </row>
    <row r="50" s="298" customFormat="1" customHeight="1" spans="1:22">
      <c r="A50" s="130" t="s">
        <v>18</v>
      </c>
      <c r="B50" s="180" t="s">
        <v>31</v>
      </c>
      <c r="C50" s="323">
        <v>3441.6</v>
      </c>
      <c r="D50" s="323">
        <v>13337.16</v>
      </c>
      <c r="E50" s="323">
        <v>26504.58</v>
      </c>
      <c r="F50" s="323">
        <v>11053.29</v>
      </c>
      <c r="G50" s="323">
        <v>0</v>
      </c>
      <c r="H50" s="323">
        <f t="shared" ref="H49:H54" si="5">SUM(D50:G50)</f>
        <v>50895.03</v>
      </c>
    </row>
    <row r="51" s="298" customFormat="1" customHeight="1" spans="1:22">
      <c r="A51" s="130" t="s">
        <v>19</v>
      </c>
      <c r="B51" s="180" t="s">
        <v>31</v>
      </c>
      <c r="C51" s="323">
        <v>2108.86</v>
      </c>
      <c r="D51" s="323">
        <v>69227.79</v>
      </c>
      <c r="E51" s="323">
        <v>27948.76</v>
      </c>
      <c r="F51" s="323">
        <v>25195.17</v>
      </c>
      <c r="G51" s="323">
        <v>0</v>
      </c>
      <c r="H51" s="323">
        <f t="shared" si="5"/>
        <v>122371.72</v>
      </c>
    </row>
    <row r="52" s="298" customFormat="1" customHeight="1" spans="1:22">
      <c r="A52" s="130" t="s">
        <v>20</v>
      </c>
      <c r="B52" s="180" t="s">
        <v>31</v>
      </c>
      <c r="C52" s="323">
        <v>11844.59</v>
      </c>
      <c r="D52" s="323">
        <v>61033.79</v>
      </c>
      <c r="E52" s="323">
        <v>104558.42</v>
      </c>
      <c r="F52" s="323">
        <v>43024.96</v>
      </c>
      <c r="G52" s="323">
        <v>0</v>
      </c>
      <c r="H52" s="323">
        <f t="shared" si="5"/>
        <v>208617.17</v>
      </c>
    </row>
    <row r="53" s="298" customFormat="1" customHeight="1" spans="1:22">
      <c r="A53" s="130" t="s">
        <v>21</v>
      </c>
      <c r="B53" s="180" t="s">
        <v>31</v>
      </c>
      <c r="C53" s="323">
        <v>35915.65</v>
      </c>
      <c r="D53" s="323">
        <v>17873.95</v>
      </c>
      <c r="E53" s="323">
        <v>26514.65</v>
      </c>
      <c r="F53" s="323">
        <v>44150.77</v>
      </c>
      <c r="G53" s="323">
        <v>0</v>
      </c>
      <c r="H53" s="323">
        <f t="shared" si="5"/>
        <v>88539.37</v>
      </c>
    </row>
    <row r="54" s="298" customFormat="1" customHeight="1" spans="1:22">
      <c r="A54" s="130" t="s">
        <v>22</v>
      </c>
      <c r="B54" s="180" t="s">
        <v>31</v>
      </c>
      <c r="C54" s="323">
        <v>51191.62</v>
      </c>
      <c r="D54" s="323">
        <v>111519.68</v>
      </c>
      <c r="E54" s="323">
        <v>279648.95</v>
      </c>
      <c r="F54" s="323">
        <v>247749.55</v>
      </c>
      <c r="G54" s="323">
        <v>0</v>
      </c>
      <c r="H54" s="323">
        <f t="shared" si="5"/>
        <v>638918.18</v>
      </c>
    </row>
    <row r="55" s="298" customFormat="1" customHeight="1" spans="1:22">
      <c r="A55" s="304"/>
      <c r="B55" s="304"/>
    </row>
    <row r="56" s="298" customFormat="1" customHeight="1" spans="1:22">
      <c r="A56" s="324" t="s">
        <v>40</v>
      </c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</row>
    <row r="57" s="302" customFormat="1" ht="43.5" spans="1:22">
      <c r="A57" s="179" t="s">
        <v>41</v>
      </c>
      <c r="B57" s="179" t="s">
        <v>42</v>
      </c>
      <c r="C57" s="179" t="s">
        <v>43</v>
      </c>
      <c r="D57" s="179" t="s">
        <v>44</v>
      </c>
      <c r="E57" s="326" t="s">
        <v>45</v>
      </c>
      <c r="F57" s="179" t="s">
        <v>46</v>
      </c>
      <c r="G57" s="179" t="s">
        <v>47</v>
      </c>
      <c r="H57" s="179" t="s">
        <v>48</v>
      </c>
      <c r="I57" s="179" t="s">
        <v>49</v>
      </c>
      <c r="J57" s="179" t="s">
        <v>50</v>
      </c>
      <c r="K57" s="179" t="s">
        <v>51</v>
      </c>
      <c r="L57" s="179" t="s">
        <v>52</v>
      </c>
      <c r="M57" s="179" t="s">
        <v>53</v>
      </c>
      <c r="N57" s="179" t="s">
        <v>54</v>
      </c>
      <c r="O57" s="179" t="s">
        <v>55</v>
      </c>
      <c r="P57" s="179" t="s">
        <v>56</v>
      </c>
      <c r="Q57" s="179" t="s">
        <v>57</v>
      </c>
      <c r="R57" s="179" t="s">
        <v>58</v>
      </c>
      <c r="S57" s="179" t="s">
        <v>59</v>
      </c>
      <c r="T57" s="179" t="s">
        <v>60</v>
      </c>
      <c r="U57" s="179" t="s">
        <v>61</v>
      </c>
      <c r="V57" s="179" t="s">
        <v>62</v>
      </c>
    </row>
    <row r="58" s="298" customFormat="1" ht="18" customHeight="1" spans="1:22">
      <c r="A58" s="327">
        <v>1</v>
      </c>
      <c r="B58" s="328" t="s">
        <v>63</v>
      </c>
      <c r="C58" s="328" t="s">
        <v>64</v>
      </c>
      <c r="D58" s="12" t="s">
        <v>65</v>
      </c>
      <c r="E58" s="13">
        <v>45667</v>
      </c>
      <c r="F58" s="14" t="s">
        <v>66</v>
      </c>
      <c r="G58" s="14" t="s">
        <v>67</v>
      </c>
      <c r="H58" s="15">
        <v>411322</v>
      </c>
      <c r="I58" s="15">
        <v>2956747.06489904</v>
      </c>
      <c r="J58" s="16">
        <v>1</v>
      </c>
      <c r="K58" s="15">
        <v>205661</v>
      </c>
      <c r="L58" s="15">
        <v>1423749.9708</v>
      </c>
      <c r="M58" s="17">
        <v>205661</v>
      </c>
      <c r="N58" s="17">
        <f t="shared" ref="N58:N65" si="6">M58*6.7828</f>
        <v>1394957.4308</v>
      </c>
      <c r="O58" s="18">
        <f t="shared" ref="O58:O108" si="7">K58/H58</f>
        <v>0.5</v>
      </c>
      <c r="P58" s="19" t="s">
        <v>68</v>
      </c>
      <c r="Q58" s="15">
        <v>205661</v>
      </c>
      <c r="R58" s="15"/>
      <c r="S58" s="12"/>
      <c r="T58" s="19"/>
      <c r="U58" s="17"/>
      <c r="V58" s="17"/>
    </row>
    <row r="59" s="298" customFormat="1" ht="18" customHeight="1" spans="1:22">
      <c r="A59" s="327">
        <v>2</v>
      </c>
      <c r="B59" s="328" t="s">
        <v>63</v>
      </c>
      <c r="C59" s="328" t="s">
        <v>64</v>
      </c>
      <c r="D59" s="12" t="s">
        <v>69</v>
      </c>
      <c r="E59" s="13">
        <v>45667</v>
      </c>
      <c r="F59" s="14" t="s">
        <v>66</v>
      </c>
      <c r="G59" s="14" t="s">
        <v>67</v>
      </c>
      <c r="H59" s="15">
        <v>5979154</v>
      </c>
      <c r="I59" s="15">
        <v>42980550.6150397</v>
      </c>
      <c r="J59" s="12" t="s">
        <v>70</v>
      </c>
      <c r="K59" s="15">
        <v>1439127.65</v>
      </c>
      <c r="L59" s="15">
        <v>9861873.53249</v>
      </c>
      <c r="M59" s="17">
        <v>4540026.35</v>
      </c>
      <c r="N59" s="17">
        <f t="shared" si="6"/>
        <v>30794090.72678</v>
      </c>
      <c r="O59" s="18">
        <f t="shared" si="7"/>
        <v>0.240690848571554</v>
      </c>
      <c r="P59" s="19" t="s">
        <v>71</v>
      </c>
      <c r="Q59" s="15"/>
      <c r="R59" s="15">
        <v>4540026.35</v>
      </c>
      <c r="S59" s="12"/>
      <c r="T59" s="19"/>
      <c r="U59" s="17">
        <v>223382.5</v>
      </c>
      <c r="V59" s="17">
        <v>1514913.10025</v>
      </c>
    </row>
    <row r="60" s="303" customFormat="1" ht="18" customHeight="1" spans="1:22">
      <c r="A60" s="327">
        <v>3</v>
      </c>
      <c r="B60" s="328" t="s">
        <v>63</v>
      </c>
      <c r="C60" s="328" t="s">
        <v>64</v>
      </c>
      <c r="D60" s="12" t="s">
        <v>72</v>
      </c>
      <c r="E60" s="13">
        <v>45667</v>
      </c>
      <c r="F60" s="14" t="s">
        <v>66</v>
      </c>
      <c r="G60" s="14" t="s">
        <v>67</v>
      </c>
      <c r="H60" s="15">
        <v>1915844</v>
      </c>
      <c r="I60" s="15">
        <v>13771853.0100613</v>
      </c>
      <c r="J60" s="12" t="s">
        <v>70</v>
      </c>
      <c r="K60" s="15"/>
      <c r="L60" s="15"/>
      <c r="M60" s="17">
        <v>1915844</v>
      </c>
      <c r="N60" s="17">
        <f t="shared" si="6"/>
        <v>12994786.6832</v>
      </c>
      <c r="O60" s="18">
        <f t="shared" si="7"/>
        <v>0</v>
      </c>
      <c r="P60" s="19" t="s">
        <v>73</v>
      </c>
      <c r="Q60" s="15"/>
      <c r="R60" s="15">
        <v>1915844</v>
      </c>
      <c r="S60" s="12"/>
      <c r="T60" s="19"/>
      <c r="U60" s="17"/>
      <c r="V60" s="17"/>
    </row>
    <row r="61" s="298" customFormat="1" ht="18" customHeight="1" spans="1:22">
      <c r="A61" s="327">
        <v>4</v>
      </c>
      <c r="B61" s="328" t="s">
        <v>63</v>
      </c>
      <c r="C61" s="329" t="s">
        <v>64</v>
      </c>
      <c r="D61" s="19" t="s">
        <v>74</v>
      </c>
      <c r="E61" s="21">
        <v>45866</v>
      </c>
      <c r="F61" s="22" t="s">
        <v>66</v>
      </c>
      <c r="G61" s="22" t="s">
        <v>67</v>
      </c>
      <c r="H61" s="23">
        <v>1899932.81</v>
      </c>
      <c r="I61" s="23">
        <v>13578249.813227</v>
      </c>
      <c r="J61" s="19" t="s">
        <v>75</v>
      </c>
      <c r="K61" s="23">
        <v>1709939.53</v>
      </c>
      <c r="L61" s="23">
        <v>1709924.53</v>
      </c>
      <c r="M61" s="24">
        <v>189993.28</v>
      </c>
      <c r="N61" s="17">
        <f t="shared" si="6"/>
        <v>1288686.419584</v>
      </c>
      <c r="O61" s="25">
        <f t="shared" si="7"/>
        <v>0.900000000526334</v>
      </c>
      <c r="P61" s="19" t="s">
        <v>76</v>
      </c>
      <c r="Q61" s="23"/>
      <c r="R61" s="23">
        <v>189993.28</v>
      </c>
      <c r="S61" s="19"/>
      <c r="T61" s="19"/>
      <c r="U61" s="17">
        <v>943258.69</v>
      </c>
      <c r="V61" s="17">
        <v>6396142.851021</v>
      </c>
    </row>
    <row r="62" s="298" customFormat="1" ht="18" customHeight="1" spans="1:22">
      <c r="A62" s="327">
        <v>5</v>
      </c>
      <c r="B62" s="328" t="s">
        <v>63</v>
      </c>
      <c r="C62" s="329" t="s">
        <v>64</v>
      </c>
      <c r="D62" s="19" t="s">
        <v>77</v>
      </c>
      <c r="E62" s="21">
        <v>45866</v>
      </c>
      <c r="F62" s="22" t="s">
        <v>66</v>
      </c>
      <c r="G62" s="22" t="s">
        <v>67</v>
      </c>
      <c r="H62" s="23">
        <v>1498053.02</v>
      </c>
      <c r="I62" s="23">
        <v>10706135.518034</v>
      </c>
      <c r="J62" s="19" t="s">
        <v>78</v>
      </c>
      <c r="K62" s="23">
        <v>449415.91</v>
      </c>
      <c r="L62" s="23">
        <v>3194313.4350762</v>
      </c>
      <c r="M62" s="24">
        <v>1048637.114</v>
      </c>
      <c r="N62" s="17">
        <f t="shared" si="6"/>
        <v>7112695.8168392</v>
      </c>
      <c r="O62" s="25">
        <f t="shared" si="7"/>
        <v>0.300000002670132</v>
      </c>
      <c r="P62" s="19" t="s">
        <v>79</v>
      </c>
      <c r="Q62" s="23"/>
      <c r="R62" s="23">
        <v>1048637.114</v>
      </c>
      <c r="S62" s="19"/>
      <c r="T62" s="19"/>
      <c r="U62" s="17"/>
      <c r="V62" s="17"/>
    </row>
    <row r="63" s="303" customFormat="1" ht="18" customHeight="1" spans="1:22">
      <c r="A63" s="327">
        <v>6</v>
      </c>
      <c r="B63" s="328" t="s">
        <v>63</v>
      </c>
      <c r="C63" s="328" t="s">
        <v>64</v>
      </c>
      <c r="D63" s="19" t="s">
        <v>80</v>
      </c>
      <c r="E63" s="13">
        <v>46042</v>
      </c>
      <c r="F63" s="14" t="s">
        <v>66</v>
      </c>
      <c r="G63" s="14" t="s">
        <v>67</v>
      </c>
      <c r="H63" s="15">
        <v>619431.18</v>
      </c>
      <c r="I63" s="15">
        <v>4217583.018384</v>
      </c>
      <c r="J63" s="12" t="s">
        <v>81</v>
      </c>
      <c r="K63" s="15">
        <v>213286.94</v>
      </c>
      <c r="L63" s="15">
        <v>1449751.717682</v>
      </c>
      <c r="M63" s="17">
        <v>406144.25</v>
      </c>
      <c r="N63" s="17">
        <f t="shared" si="6"/>
        <v>2754795.2189</v>
      </c>
      <c r="O63" s="18">
        <f t="shared" si="7"/>
        <v>0.344327096998895</v>
      </c>
      <c r="P63" s="19" t="s">
        <v>82</v>
      </c>
      <c r="Q63" s="15"/>
      <c r="R63" s="15">
        <v>406144.25</v>
      </c>
      <c r="S63" s="12"/>
      <c r="T63" s="19"/>
      <c r="U63" s="17">
        <v>89400.7</v>
      </c>
      <c r="V63" s="17">
        <v>606235.08677</v>
      </c>
    </row>
    <row r="64" s="303" customFormat="1" ht="18" customHeight="1" spans="1:22">
      <c r="A64" s="327">
        <v>7</v>
      </c>
      <c r="B64" s="328" t="s">
        <v>63</v>
      </c>
      <c r="C64" s="329" t="s">
        <v>64</v>
      </c>
      <c r="D64" s="19" t="s">
        <v>83</v>
      </c>
      <c r="E64" s="21">
        <v>45408</v>
      </c>
      <c r="F64" s="22" t="s">
        <v>66</v>
      </c>
      <c r="G64" s="22" t="s">
        <v>67</v>
      </c>
      <c r="H64" s="23">
        <v>930000</v>
      </c>
      <c r="I64" s="23">
        <v>6608394</v>
      </c>
      <c r="J64" s="19" t="s">
        <v>75</v>
      </c>
      <c r="K64" s="23">
        <v>157873.28</v>
      </c>
      <c r="L64" s="23">
        <v>1122537.47728</v>
      </c>
      <c r="M64" s="24">
        <v>772126.72</v>
      </c>
      <c r="N64" s="17">
        <f t="shared" si="6"/>
        <v>5237181.116416</v>
      </c>
      <c r="O64" s="25">
        <f t="shared" si="7"/>
        <v>0.169756215053763</v>
      </c>
      <c r="P64" s="19" t="s">
        <v>84</v>
      </c>
      <c r="Q64" s="23">
        <v>772126.72</v>
      </c>
      <c r="R64" s="23"/>
      <c r="S64" s="19"/>
      <c r="T64" s="19"/>
      <c r="U64" s="17"/>
      <c r="V64" s="17"/>
    </row>
    <row r="65" s="303" customFormat="1" ht="18" customHeight="1" spans="1:22">
      <c r="A65" s="327">
        <v>8</v>
      </c>
      <c r="B65" s="328" t="s">
        <v>63</v>
      </c>
      <c r="C65" s="329" t="s">
        <v>64</v>
      </c>
      <c r="D65" s="19" t="s">
        <v>83</v>
      </c>
      <c r="E65" s="21">
        <v>45408</v>
      </c>
      <c r="F65" s="22" t="s">
        <v>66</v>
      </c>
      <c r="G65" s="22" t="s">
        <v>67</v>
      </c>
      <c r="H65" s="23">
        <v>336059.69</v>
      </c>
      <c r="I65" s="23">
        <v>2387972.945202</v>
      </c>
      <c r="J65" s="19" t="s">
        <v>85</v>
      </c>
      <c r="K65" s="23"/>
      <c r="L65" s="23"/>
      <c r="M65" s="24">
        <v>336059.69</v>
      </c>
      <c r="N65" s="17">
        <f t="shared" si="6"/>
        <v>2279425.665332</v>
      </c>
      <c r="O65" s="25">
        <f t="shared" si="7"/>
        <v>0</v>
      </c>
      <c r="P65" s="19" t="s">
        <v>84</v>
      </c>
      <c r="Q65" s="23">
        <v>336059.69</v>
      </c>
      <c r="R65" s="23"/>
      <c r="S65" s="19"/>
      <c r="T65" s="19"/>
      <c r="U65" s="17"/>
      <c r="V65" s="17"/>
    </row>
    <row r="66" s="303" customFormat="1" ht="18" customHeight="1" spans="1:22">
      <c r="A66" s="327">
        <v>9</v>
      </c>
      <c r="B66" s="328" t="s">
        <v>63</v>
      </c>
      <c r="C66" s="328" t="s">
        <v>64</v>
      </c>
      <c r="D66" s="19" t="s">
        <v>86</v>
      </c>
      <c r="E66" s="13">
        <v>46226</v>
      </c>
      <c r="F66" s="14" t="s">
        <v>66</v>
      </c>
      <c r="G66" s="14" t="s">
        <v>87</v>
      </c>
      <c r="H66" s="15">
        <v>3857600</v>
      </c>
      <c r="I66" s="15">
        <v>3857600</v>
      </c>
      <c r="J66" s="12" t="s">
        <v>88</v>
      </c>
      <c r="K66" s="15">
        <v>1157280</v>
      </c>
      <c r="L66" s="15">
        <v>1157280</v>
      </c>
      <c r="M66" s="17">
        <v>2700320</v>
      </c>
      <c r="N66" s="17">
        <v>2700320</v>
      </c>
      <c r="O66" s="18">
        <f t="shared" si="7"/>
        <v>0.3</v>
      </c>
      <c r="P66" s="19" t="s">
        <v>89</v>
      </c>
      <c r="Q66" s="15"/>
      <c r="R66" s="15">
        <v>2700320</v>
      </c>
      <c r="S66" s="12"/>
      <c r="T66" s="19"/>
      <c r="U66" s="17"/>
      <c r="V66" s="17"/>
    </row>
    <row r="67" s="303" customFormat="1" ht="18" customHeight="1" spans="1:22">
      <c r="A67" s="327">
        <v>10</v>
      </c>
      <c r="B67" s="328" t="s">
        <v>63</v>
      </c>
      <c r="C67" s="328" t="s">
        <v>64</v>
      </c>
      <c r="D67" s="19" t="s">
        <v>90</v>
      </c>
      <c r="E67" s="13">
        <v>46188</v>
      </c>
      <c r="F67" s="14" t="s">
        <v>66</v>
      </c>
      <c r="G67" s="14" t="s">
        <v>87</v>
      </c>
      <c r="H67" s="15">
        <v>1680000</v>
      </c>
      <c r="I67" s="15">
        <v>1680000</v>
      </c>
      <c r="J67" s="12" t="s">
        <v>91</v>
      </c>
      <c r="K67" s="15">
        <v>504000</v>
      </c>
      <c r="L67" s="15">
        <v>504000</v>
      </c>
      <c r="M67" s="17">
        <v>1176000</v>
      </c>
      <c r="N67" s="17">
        <v>1176000</v>
      </c>
      <c r="O67" s="18">
        <f t="shared" si="7"/>
        <v>0.3</v>
      </c>
      <c r="P67" s="19" t="s">
        <v>92</v>
      </c>
      <c r="Q67" s="15"/>
      <c r="R67" s="15">
        <v>1176000</v>
      </c>
      <c r="S67" s="12"/>
      <c r="T67" s="19"/>
      <c r="U67" s="17"/>
      <c r="V67" s="17"/>
    </row>
    <row r="68" s="303" customFormat="1" ht="18" customHeight="1" spans="1:22">
      <c r="A68" s="327">
        <v>11</v>
      </c>
      <c r="B68" s="328" t="s">
        <v>63</v>
      </c>
      <c r="C68" s="328" t="s">
        <v>64</v>
      </c>
      <c r="D68" s="19" t="s">
        <v>93</v>
      </c>
      <c r="E68" s="13">
        <v>46188</v>
      </c>
      <c r="F68" s="14" t="s">
        <v>66</v>
      </c>
      <c r="G68" s="14" t="s">
        <v>87</v>
      </c>
      <c r="H68" s="15">
        <v>833280</v>
      </c>
      <c r="I68" s="15">
        <v>833280</v>
      </c>
      <c r="J68" s="12" t="s">
        <v>91</v>
      </c>
      <c r="K68" s="15">
        <v>249984</v>
      </c>
      <c r="L68" s="15">
        <v>249984</v>
      </c>
      <c r="M68" s="17">
        <v>583296</v>
      </c>
      <c r="N68" s="17">
        <v>583296</v>
      </c>
      <c r="O68" s="18">
        <f t="shared" si="7"/>
        <v>0.3</v>
      </c>
      <c r="P68" s="19" t="s">
        <v>92</v>
      </c>
      <c r="Q68" s="15"/>
      <c r="R68" s="15">
        <v>583296</v>
      </c>
      <c r="S68" s="12"/>
      <c r="T68" s="19"/>
      <c r="U68" s="17"/>
      <c r="V68" s="17"/>
    </row>
    <row r="69" s="303" customFormat="1" ht="18" customHeight="1" spans="1:22">
      <c r="A69" s="327">
        <v>12</v>
      </c>
      <c r="B69" s="328" t="s">
        <v>63</v>
      </c>
      <c r="C69" s="328" t="s">
        <v>64</v>
      </c>
      <c r="D69" s="19" t="s">
        <v>94</v>
      </c>
      <c r="E69" s="13">
        <v>46174</v>
      </c>
      <c r="F69" s="14" t="s">
        <v>66</v>
      </c>
      <c r="G69" s="14" t="s">
        <v>87</v>
      </c>
      <c r="H69" s="15">
        <v>345400</v>
      </c>
      <c r="I69" s="15">
        <v>345400</v>
      </c>
      <c r="J69" s="12" t="s">
        <v>88</v>
      </c>
      <c r="K69" s="15">
        <v>103620</v>
      </c>
      <c r="L69" s="15">
        <v>103620</v>
      </c>
      <c r="M69" s="17">
        <v>241780</v>
      </c>
      <c r="N69" s="17">
        <v>241780</v>
      </c>
      <c r="O69" s="18">
        <f t="shared" si="7"/>
        <v>0.3</v>
      </c>
      <c r="P69" s="19" t="s">
        <v>95</v>
      </c>
      <c r="Q69" s="15"/>
      <c r="R69" s="15">
        <v>241780</v>
      </c>
      <c r="S69" s="12"/>
      <c r="T69" s="19"/>
      <c r="U69" s="17"/>
      <c r="V69" s="17"/>
    </row>
    <row r="70" s="303" customFormat="1" ht="18" customHeight="1" spans="1:22">
      <c r="A70" s="327">
        <v>13</v>
      </c>
      <c r="B70" s="328" t="s">
        <v>63</v>
      </c>
      <c r="C70" s="328" t="s">
        <v>64</v>
      </c>
      <c r="D70" s="19" t="s">
        <v>96</v>
      </c>
      <c r="E70" s="13">
        <v>46086</v>
      </c>
      <c r="F70" s="14" t="s">
        <v>66</v>
      </c>
      <c r="G70" s="14" t="s">
        <v>67</v>
      </c>
      <c r="H70" s="15">
        <f>169797.68-5481.2</f>
        <v>164316.48</v>
      </c>
      <c r="I70" s="15">
        <v>1135821.236352</v>
      </c>
      <c r="J70" s="12" t="s">
        <v>97</v>
      </c>
      <c r="K70" s="15">
        <v>127348.26</v>
      </c>
      <c r="L70" s="15">
        <v>870234.334184</v>
      </c>
      <c r="M70" s="17">
        <v>36968.21</v>
      </c>
      <c r="N70" s="17">
        <f t="shared" ref="N70:N104" si="8">M70*6.7828</f>
        <v>250747.974788</v>
      </c>
      <c r="O70" s="18">
        <f t="shared" si="7"/>
        <v>0.775018184420698</v>
      </c>
      <c r="P70" s="19" t="s">
        <v>98</v>
      </c>
      <c r="Q70" s="15"/>
      <c r="R70" s="15">
        <v>36968.21</v>
      </c>
      <c r="S70" s="12"/>
      <c r="T70" s="19"/>
      <c r="U70" s="17">
        <v>76408.96</v>
      </c>
      <c r="V70" s="17">
        <v>518121.516864</v>
      </c>
    </row>
    <row r="71" s="303" customFormat="1" ht="18" customHeight="1" spans="1:22">
      <c r="A71" s="327">
        <v>14</v>
      </c>
      <c r="B71" s="328" t="s">
        <v>63</v>
      </c>
      <c r="C71" s="328" t="s">
        <v>64</v>
      </c>
      <c r="D71" s="19" t="s">
        <v>99</v>
      </c>
      <c r="E71" s="13">
        <v>46232</v>
      </c>
      <c r="F71" s="14" t="s">
        <v>66</v>
      </c>
      <c r="G71" s="14" t="s">
        <v>67</v>
      </c>
      <c r="H71" s="15">
        <v>29995.12</v>
      </c>
      <c r="I71" s="15">
        <v>203618.872608</v>
      </c>
      <c r="J71" s="12" t="s">
        <v>100</v>
      </c>
      <c r="K71" s="15">
        <v>8998.54</v>
      </c>
      <c r="L71" s="15">
        <v>61085.688936</v>
      </c>
      <c r="M71" s="17">
        <v>20996.58</v>
      </c>
      <c r="N71" s="17">
        <f t="shared" si="8"/>
        <v>142415.602824</v>
      </c>
      <c r="O71" s="18">
        <f t="shared" si="7"/>
        <v>0.300000133355026</v>
      </c>
      <c r="P71" s="19" t="s">
        <v>101</v>
      </c>
      <c r="Q71" s="15"/>
      <c r="R71" s="15">
        <v>20996.58</v>
      </c>
      <c r="S71" s="12"/>
      <c r="T71" s="19"/>
      <c r="U71" s="17">
        <v>8998.54</v>
      </c>
      <c r="V71" s="17">
        <v>61085.688936</v>
      </c>
    </row>
    <row r="72" s="303" customFormat="1" ht="18" customHeight="1" spans="1:22">
      <c r="A72" s="327">
        <v>15</v>
      </c>
      <c r="B72" s="328" t="s">
        <v>63</v>
      </c>
      <c r="C72" s="328" t="s">
        <v>102</v>
      </c>
      <c r="D72" s="19" t="s">
        <v>103</v>
      </c>
      <c r="E72" s="13">
        <v>45162</v>
      </c>
      <c r="F72" s="14" t="s">
        <v>66</v>
      </c>
      <c r="G72" s="14" t="s">
        <v>67</v>
      </c>
      <c r="H72" s="15">
        <v>2520000</v>
      </c>
      <c r="I72" s="15">
        <v>18090576</v>
      </c>
      <c r="J72" s="12" t="s">
        <v>75</v>
      </c>
      <c r="K72" s="15">
        <v>2268000</v>
      </c>
      <c r="L72" s="15">
        <v>16170386.4</v>
      </c>
      <c r="M72" s="17">
        <v>252000</v>
      </c>
      <c r="N72" s="17">
        <f t="shared" si="8"/>
        <v>1709265.6</v>
      </c>
      <c r="O72" s="18">
        <f t="shared" si="7"/>
        <v>0.9</v>
      </c>
      <c r="P72" s="19" t="s">
        <v>76</v>
      </c>
      <c r="Q72" s="15">
        <v>252000</v>
      </c>
      <c r="R72" s="15"/>
      <c r="S72" s="12" t="s">
        <v>104</v>
      </c>
      <c r="T72" s="19" t="s">
        <v>105</v>
      </c>
      <c r="U72" s="17"/>
      <c r="V72" s="17"/>
    </row>
    <row r="73" s="303" customFormat="1" ht="18" customHeight="1" spans="1:22">
      <c r="A73" s="327">
        <v>16</v>
      </c>
      <c r="B73" s="328" t="s">
        <v>63</v>
      </c>
      <c r="C73" s="328" t="s">
        <v>102</v>
      </c>
      <c r="D73" s="19" t="s">
        <v>106</v>
      </c>
      <c r="E73" s="13">
        <v>44340</v>
      </c>
      <c r="F73" s="14" t="s">
        <v>66</v>
      </c>
      <c r="G73" s="14" t="s">
        <v>67</v>
      </c>
      <c r="H73" s="15">
        <v>2453192.92</v>
      </c>
      <c r="I73" s="15">
        <v>15700434.69</v>
      </c>
      <c r="J73" s="12" t="s">
        <v>107</v>
      </c>
      <c r="K73" s="15">
        <v>2207873.62</v>
      </c>
      <c r="L73" s="15">
        <v>14575797.997495</v>
      </c>
      <c r="M73" s="17">
        <v>245319.3</v>
      </c>
      <c r="N73" s="17">
        <f t="shared" si="8"/>
        <v>1663951.74804</v>
      </c>
      <c r="O73" s="18">
        <f t="shared" si="7"/>
        <v>0.899999996738944</v>
      </c>
      <c r="P73" s="19" t="s">
        <v>76</v>
      </c>
      <c r="Q73" s="15">
        <v>245319.3</v>
      </c>
      <c r="R73" s="15"/>
      <c r="S73" s="12" t="s">
        <v>108</v>
      </c>
      <c r="T73" s="19" t="s">
        <v>109</v>
      </c>
      <c r="U73" s="17"/>
      <c r="V73" s="17"/>
    </row>
    <row r="74" s="303" customFormat="1" ht="18" customHeight="1" spans="1:22">
      <c r="A74" s="327">
        <v>17</v>
      </c>
      <c r="B74" s="328" t="s">
        <v>63</v>
      </c>
      <c r="C74" s="328" t="s">
        <v>102</v>
      </c>
      <c r="D74" s="19" t="s">
        <v>110</v>
      </c>
      <c r="E74" s="13">
        <v>44218</v>
      </c>
      <c r="F74" s="14" t="s">
        <v>66</v>
      </c>
      <c r="G74" s="14" t="s">
        <v>67</v>
      </c>
      <c r="H74" s="15">
        <v>1635000</v>
      </c>
      <c r="I74" s="15">
        <v>10464000</v>
      </c>
      <c r="J74" s="12" t="s">
        <v>107</v>
      </c>
      <c r="K74" s="15">
        <v>1471500</v>
      </c>
      <c r="L74" s="15">
        <v>9453343.349087</v>
      </c>
      <c r="M74" s="17">
        <v>163500</v>
      </c>
      <c r="N74" s="17">
        <f t="shared" si="8"/>
        <v>1108987.8</v>
      </c>
      <c r="O74" s="18">
        <f t="shared" si="7"/>
        <v>0.9</v>
      </c>
      <c r="P74" s="19" t="s">
        <v>76</v>
      </c>
      <c r="Q74" s="15">
        <v>163500</v>
      </c>
      <c r="R74" s="15"/>
      <c r="S74" s="12" t="s">
        <v>111</v>
      </c>
      <c r="T74" s="19" t="s">
        <v>112</v>
      </c>
      <c r="U74" s="17"/>
      <c r="V74" s="17"/>
    </row>
    <row r="75" s="303" customFormat="1" ht="18" customHeight="1" spans="1:22">
      <c r="A75" s="327">
        <v>18</v>
      </c>
      <c r="B75" s="328" t="s">
        <v>63</v>
      </c>
      <c r="C75" s="328" t="s">
        <v>102</v>
      </c>
      <c r="D75" s="12" t="s">
        <v>113</v>
      </c>
      <c r="E75" s="13">
        <v>44788</v>
      </c>
      <c r="F75" s="14" t="s">
        <v>66</v>
      </c>
      <c r="G75" s="14" t="s">
        <v>67</v>
      </c>
      <c r="H75" s="15">
        <v>1465378.78</v>
      </c>
      <c r="I75" s="15">
        <v>10061144.17</v>
      </c>
      <c r="J75" s="12" t="s">
        <v>107</v>
      </c>
      <c r="K75" s="15">
        <v>1318840.9</v>
      </c>
      <c r="L75" s="15">
        <v>9314138.05</v>
      </c>
      <c r="M75" s="17">
        <v>146537.88</v>
      </c>
      <c r="N75" s="17">
        <f t="shared" si="8"/>
        <v>993937.132464</v>
      </c>
      <c r="O75" s="18">
        <f t="shared" si="7"/>
        <v>0.899999998635165</v>
      </c>
      <c r="P75" s="19" t="s">
        <v>76</v>
      </c>
      <c r="Q75" s="15">
        <v>146537.88</v>
      </c>
      <c r="R75" s="15"/>
      <c r="S75" s="12" t="s">
        <v>114</v>
      </c>
      <c r="T75" s="19" t="s">
        <v>115</v>
      </c>
      <c r="U75" s="17"/>
      <c r="V75" s="17"/>
    </row>
    <row r="76" s="303" customFormat="1" ht="18" customHeight="1" spans="1:22">
      <c r="A76" s="327">
        <v>19</v>
      </c>
      <c r="B76" s="328" t="s">
        <v>63</v>
      </c>
      <c r="C76" s="328" t="s">
        <v>102</v>
      </c>
      <c r="D76" s="12" t="s">
        <v>116</v>
      </c>
      <c r="E76" s="13">
        <v>45357</v>
      </c>
      <c r="F76" s="14" t="s">
        <v>66</v>
      </c>
      <c r="G76" s="14" t="s">
        <v>67</v>
      </c>
      <c r="H76" s="15">
        <v>1186373.5</v>
      </c>
      <c r="I76" s="15">
        <v>8420285.92</v>
      </c>
      <c r="J76" s="12" t="s">
        <v>75</v>
      </c>
      <c r="K76" s="15">
        <v>1067736.15</v>
      </c>
      <c r="L76" s="15">
        <v>7589931.239865</v>
      </c>
      <c r="M76" s="17">
        <v>118637.35</v>
      </c>
      <c r="N76" s="17">
        <f t="shared" si="8"/>
        <v>804693.41758</v>
      </c>
      <c r="O76" s="18">
        <f t="shared" si="7"/>
        <v>0.9</v>
      </c>
      <c r="P76" s="19" t="s">
        <v>76</v>
      </c>
      <c r="Q76" s="15"/>
      <c r="R76" s="15">
        <v>118637.35</v>
      </c>
      <c r="S76" s="12" t="s">
        <v>117</v>
      </c>
      <c r="T76" s="19"/>
      <c r="U76" s="17"/>
      <c r="V76" s="17"/>
    </row>
    <row r="77" s="303" customFormat="1" ht="18" customHeight="1" spans="1:22">
      <c r="A77" s="327">
        <v>20</v>
      </c>
      <c r="B77" s="328" t="s">
        <v>63</v>
      </c>
      <c r="C77" s="328" t="s">
        <v>102</v>
      </c>
      <c r="D77" s="12" t="s">
        <v>118</v>
      </c>
      <c r="E77" s="13">
        <v>45237</v>
      </c>
      <c r="F77" s="14" t="s">
        <v>66</v>
      </c>
      <c r="G77" s="14" t="s">
        <v>67</v>
      </c>
      <c r="H77" s="15">
        <v>813800</v>
      </c>
      <c r="I77" s="15">
        <v>5777980</v>
      </c>
      <c r="J77" s="12" t="s">
        <v>88</v>
      </c>
      <c r="K77" s="15">
        <v>732420</v>
      </c>
      <c r="L77" s="15">
        <v>5158824.68</v>
      </c>
      <c r="M77" s="17">
        <v>81380</v>
      </c>
      <c r="N77" s="17">
        <f t="shared" si="8"/>
        <v>551984.264</v>
      </c>
      <c r="O77" s="18">
        <f t="shared" si="7"/>
        <v>0.9</v>
      </c>
      <c r="P77" s="19" t="s">
        <v>76</v>
      </c>
      <c r="Q77" s="15">
        <v>81380</v>
      </c>
      <c r="R77" s="15"/>
      <c r="S77" s="12" t="s">
        <v>114</v>
      </c>
      <c r="T77" s="19" t="s">
        <v>119</v>
      </c>
      <c r="U77" s="17"/>
      <c r="V77" s="17"/>
    </row>
    <row r="78" s="298" customFormat="1" ht="18" customHeight="1" spans="1:22">
      <c r="A78" s="327">
        <v>21</v>
      </c>
      <c r="B78" s="328" t="s">
        <v>63</v>
      </c>
      <c r="C78" s="328" t="s">
        <v>102</v>
      </c>
      <c r="D78" s="12" t="s">
        <v>120</v>
      </c>
      <c r="E78" s="13">
        <v>44748</v>
      </c>
      <c r="F78" s="14" t="s">
        <v>66</v>
      </c>
      <c r="G78" s="14" t="s">
        <v>67</v>
      </c>
      <c r="H78" s="15">
        <v>433075.67</v>
      </c>
      <c r="I78" s="15">
        <v>2944238.46</v>
      </c>
      <c r="J78" s="12" t="s">
        <v>107</v>
      </c>
      <c r="K78" s="15">
        <v>389768.099</v>
      </c>
      <c r="L78" s="15">
        <v>2745518.6689945</v>
      </c>
      <c r="M78" s="17">
        <v>43307.567</v>
      </c>
      <c r="N78" s="17">
        <f t="shared" si="8"/>
        <v>293746.5654476</v>
      </c>
      <c r="O78" s="18">
        <f t="shared" si="7"/>
        <v>0.899999990763739</v>
      </c>
      <c r="P78" s="19" t="s">
        <v>76</v>
      </c>
      <c r="Q78" s="15">
        <v>43307.567</v>
      </c>
      <c r="R78" s="15"/>
      <c r="S78" s="12" t="s">
        <v>121</v>
      </c>
      <c r="T78" s="19" t="s">
        <v>122</v>
      </c>
      <c r="U78" s="17"/>
      <c r="V78" s="17"/>
    </row>
    <row r="79" s="298" customFormat="1" ht="18" customHeight="1" spans="1:22">
      <c r="A79" s="327">
        <v>22</v>
      </c>
      <c r="B79" s="328" t="s">
        <v>63</v>
      </c>
      <c r="C79" s="328" t="s">
        <v>102</v>
      </c>
      <c r="D79" s="12" t="s">
        <v>123</v>
      </c>
      <c r="E79" s="13">
        <v>45008</v>
      </c>
      <c r="F79" s="14" t="s">
        <v>66</v>
      </c>
      <c r="G79" s="14" t="s">
        <v>67</v>
      </c>
      <c r="H79" s="15">
        <v>664339</v>
      </c>
      <c r="I79" s="15">
        <v>4564606.84</v>
      </c>
      <c r="J79" s="12" t="s">
        <v>124</v>
      </c>
      <c r="K79" s="15">
        <v>631122</v>
      </c>
      <c r="L79" s="15">
        <v>4449888.57</v>
      </c>
      <c r="M79" s="17">
        <v>33217</v>
      </c>
      <c r="N79" s="17">
        <f t="shared" si="8"/>
        <v>225304.2676</v>
      </c>
      <c r="O79" s="18">
        <f t="shared" si="7"/>
        <v>0.94999992473722</v>
      </c>
      <c r="P79" s="19" t="s">
        <v>125</v>
      </c>
      <c r="Q79" s="15">
        <v>33217</v>
      </c>
      <c r="R79" s="15"/>
      <c r="S79" s="12" t="s">
        <v>126</v>
      </c>
      <c r="T79" s="19" t="s">
        <v>127</v>
      </c>
      <c r="U79" s="17"/>
      <c r="V79" s="17"/>
    </row>
    <row r="80" s="303" customFormat="1" ht="18" customHeight="1" spans="1:22">
      <c r="A80" s="327">
        <v>23</v>
      </c>
      <c r="B80" s="328" t="s">
        <v>63</v>
      </c>
      <c r="C80" s="328" t="s">
        <v>102</v>
      </c>
      <c r="D80" s="12" t="s">
        <v>128</v>
      </c>
      <c r="E80" s="13">
        <v>44768</v>
      </c>
      <c r="F80" s="14" t="s">
        <v>66</v>
      </c>
      <c r="G80" s="14" t="s">
        <v>67</v>
      </c>
      <c r="H80" s="15">
        <v>306391.91</v>
      </c>
      <c r="I80" s="15">
        <v>2077398.43</v>
      </c>
      <c r="J80" s="12" t="s">
        <v>107</v>
      </c>
      <c r="K80" s="15">
        <v>275752.72</v>
      </c>
      <c r="L80" s="15">
        <v>1924435.3174732</v>
      </c>
      <c r="M80" s="17">
        <v>30639.191</v>
      </c>
      <c r="N80" s="17">
        <f t="shared" si="8"/>
        <v>207819.5047148</v>
      </c>
      <c r="O80" s="18">
        <f t="shared" si="7"/>
        <v>0.900000003263794</v>
      </c>
      <c r="P80" s="19" t="s">
        <v>76</v>
      </c>
      <c r="Q80" s="15">
        <v>30639.191</v>
      </c>
      <c r="R80" s="15"/>
      <c r="S80" s="12" t="s">
        <v>129</v>
      </c>
      <c r="T80" s="19" t="s">
        <v>130</v>
      </c>
      <c r="U80" s="17"/>
      <c r="V80" s="17"/>
    </row>
    <row r="81" s="303" customFormat="1" ht="18" customHeight="1" spans="1:22">
      <c r="A81" s="327">
        <v>24</v>
      </c>
      <c r="B81" s="328" t="s">
        <v>63</v>
      </c>
      <c r="C81" s="328" t="s">
        <v>102</v>
      </c>
      <c r="D81" s="12" t="s">
        <v>131</v>
      </c>
      <c r="E81" s="13">
        <v>45056</v>
      </c>
      <c r="F81" s="14" t="s">
        <v>66</v>
      </c>
      <c r="G81" s="14" t="s">
        <v>67</v>
      </c>
      <c r="H81" s="15">
        <v>68532.25</v>
      </c>
      <c r="I81" s="15">
        <v>474921.64</v>
      </c>
      <c r="J81" s="12" t="s">
        <v>107</v>
      </c>
      <c r="K81" s="15">
        <v>61679.03</v>
      </c>
      <c r="L81" s="15">
        <v>439369.849265</v>
      </c>
      <c r="M81" s="26">
        <v>6853.225</v>
      </c>
      <c r="N81" s="17">
        <f t="shared" si="8"/>
        <v>46484.05453</v>
      </c>
      <c r="O81" s="18">
        <f t="shared" si="7"/>
        <v>0.900000072958352</v>
      </c>
      <c r="P81" s="19" t="s">
        <v>76</v>
      </c>
      <c r="Q81" s="15">
        <v>6853.225</v>
      </c>
      <c r="R81" s="15"/>
      <c r="S81" s="12" t="s">
        <v>132</v>
      </c>
      <c r="T81" s="19" t="s">
        <v>115</v>
      </c>
      <c r="U81" s="17"/>
      <c r="V81" s="17"/>
    </row>
    <row r="82" s="303" customFormat="1" ht="18" customHeight="1" spans="1:22">
      <c r="A82" s="327">
        <v>25</v>
      </c>
      <c r="B82" s="328" t="s">
        <v>63</v>
      </c>
      <c r="C82" s="328" t="s">
        <v>102</v>
      </c>
      <c r="D82" s="12" t="s">
        <v>133</v>
      </c>
      <c r="E82" s="13">
        <v>45495</v>
      </c>
      <c r="F82" s="14" t="s">
        <v>66</v>
      </c>
      <c r="G82" s="14" t="s">
        <v>67</v>
      </c>
      <c r="H82" s="15">
        <v>63763.87</v>
      </c>
      <c r="I82" s="15">
        <v>449599.05</v>
      </c>
      <c r="J82" s="12" t="s">
        <v>88</v>
      </c>
      <c r="K82" s="15">
        <v>57387.481</v>
      </c>
      <c r="L82" s="15">
        <v>410087.1276858</v>
      </c>
      <c r="M82" s="17">
        <v>6376.387</v>
      </c>
      <c r="N82" s="17">
        <f t="shared" si="8"/>
        <v>43249.7577436</v>
      </c>
      <c r="O82" s="18">
        <f t="shared" si="7"/>
        <v>0.899999968634275</v>
      </c>
      <c r="P82" s="19" t="s">
        <v>76</v>
      </c>
      <c r="Q82" s="15">
        <v>6376.387</v>
      </c>
      <c r="R82" s="15"/>
      <c r="S82" s="12" t="s">
        <v>134</v>
      </c>
      <c r="T82" s="19" t="s">
        <v>135</v>
      </c>
      <c r="U82" s="17"/>
      <c r="V82" s="17"/>
    </row>
    <row r="83" s="303" customFormat="1" ht="18" customHeight="1" spans="1:22">
      <c r="A83" s="327">
        <v>26</v>
      </c>
      <c r="B83" s="328" t="s">
        <v>63</v>
      </c>
      <c r="C83" s="328" t="s">
        <v>102</v>
      </c>
      <c r="D83" s="12" t="s">
        <v>136</v>
      </c>
      <c r="E83" s="13">
        <v>45318</v>
      </c>
      <c r="F83" s="14" t="s">
        <v>66</v>
      </c>
      <c r="G83" s="14" t="s">
        <v>67</v>
      </c>
      <c r="H83" s="15">
        <v>5587426.22</v>
      </c>
      <c r="I83" s="15">
        <v>39716543.057004</v>
      </c>
      <c r="J83" s="12" t="s">
        <v>75</v>
      </c>
      <c r="K83" s="15">
        <v>5028683.598</v>
      </c>
      <c r="L83" s="15">
        <v>36031517.9986244</v>
      </c>
      <c r="M83" s="17">
        <v>558742.622</v>
      </c>
      <c r="N83" s="17">
        <f t="shared" si="8"/>
        <v>3789839.4565016</v>
      </c>
      <c r="O83" s="18">
        <f t="shared" si="7"/>
        <v>0.9</v>
      </c>
      <c r="P83" s="19" t="s">
        <v>76</v>
      </c>
      <c r="Q83" s="15"/>
      <c r="R83" s="15">
        <v>558742.622</v>
      </c>
      <c r="S83" s="12" t="s">
        <v>137</v>
      </c>
      <c r="T83" s="19"/>
      <c r="U83" s="17"/>
      <c r="V83" s="17"/>
    </row>
    <row r="84" s="303" customFormat="1" ht="18" customHeight="1" spans="1:22">
      <c r="A84" s="327">
        <v>27</v>
      </c>
      <c r="B84" s="328" t="s">
        <v>63</v>
      </c>
      <c r="C84" s="328" t="s">
        <v>102</v>
      </c>
      <c r="D84" s="12" t="s">
        <v>138</v>
      </c>
      <c r="E84" s="13">
        <v>45318</v>
      </c>
      <c r="F84" s="14" t="s">
        <v>66</v>
      </c>
      <c r="G84" s="14" t="s">
        <v>67</v>
      </c>
      <c r="H84" s="15">
        <v>2994267.34</v>
      </c>
      <c r="I84" s="15">
        <v>21283851.106188</v>
      </c>
      <c r="J84" s="12" t="s">
        <v>139</v>
      </c>
      <c r="K84" s="15">
        <v>2694840.61</v>
      </c>
      <c r="L84" s="15">
        <v>18947673.385716</v>
      </c>
      <c r="M84" s="17">
        <v>299426.73</v>
      </c>
      <c r="N84" s="17">
        <f t="shared" si="8"/>
        <v>2030951.624244</v>
      </c>
      <c r="O84" s="18">
        <f t="shared" si="7"/>
        <v>0.900000001335886</v>
      </c>
      <c r="P84" s="19" t="s">
        <v>76</v>
      </c>
      <c r="Q84" s="15"/>
      <c r="R84" s="15">
        <v>299426.73</v>
      </c>
      <c r="S84" s="12" t="s">
        <v>137</v>
      </c>
      <c r="T84" s="19"/>
      <c r="U84" s="17"/>
      <c r="V84" s="17"/>
    </row>
    <row r="85" s="303" customFormat="1" ht="18" customHeight="1" spans="1:22">
      <c r="A85" s="327">
        <v>28</v>
      </c>
      <c r="B85" s="328" t="s">
        <v>63</v>
      </c>
      <c r="C85" s="328" t="s">
        <v>102</v>
      </c>
      <c r="D85" s="12" t="s">
        <v>140</v>
      </c>
      <c r="E85" s="13">
        <v>45595</v>
      </c>
      <c r="F85" s="14" t="s">
        <v>66</v>
      </c>
      <c r="G85" s="14" t="s">
        <v>67</v>
      </c>
      <c r="H85" s="15">
        <v>1147958.8</v>
      </c>
      <c r="I85" s="15">
        <v>8261400.3</v>
      </c>
      <c r="J85" s="12" t="s">
        <v>88</v>
      </c>
      <c r="K85" s="15">
        <v>1033162.92</v>
      </c>
      <c r="L85" s="15">
        <v>7372306.20948</v>
      </c>
      <c r="M85" s="17">
        <v>114795.88</v>
      </c>
      <c r="N85" s="17">
        <f t="shared" si="8"/>
        <v>778637.494864</v>
      </c>
      <c r="O85" s="18">
        <f t="shared" si="7"/>
        <v>0.9</v>
      </c>
      <c r="P85" s="19" t="s">
        <v>76</v>
      </c>
      <c r="Q85" s="15"/>
      <c r="R85" s="15">
        <v>114795.88</v>
      </c>
      <c r="S85" s="12"/>
      <c r="T85" s="19" t="s">
        <v>141</v>
      </c>
      <c r="U85" s="17"/>
      <c r="V85" s="17"/>
    </row>
    <row r="86" s="303" customFormat="1" ht="18" customHeight="1" spans="1:22">
      <c r="A86" s="327">
        <v>29</v>
      </c>
      <c r="B86" s="328" t="s">
        <v>63</v>
      </c>
      <c r="C86" s="328" t="s">
        <v>102</v>
      </c>
      <c r="D86" s="12" t="s">
        <v>142</v>
      </c>
      <c r="E86" s="13">
        <v>45502</v>
      </c>
      <c r="F86" s="14" t="s">
        <v>66</v>
      </c>
      <c r="G86" s="14" t="s">
        <v>67</v>
      </c>
      <c r="H86" s="15">
        <v>176377.59</v>
      </c>
      <c r="I86" s="15">
        <v>1263851.26</v>
      </c>
      <c r="J86" s="12" t="s">
        <v>88</v>
      </c>
      <c r="K86" s="15">
        <v>158739.83</v>
      </c>
      <c r="L86" s="15">
        <v>1135275.516092</v>
      </c>
      <c r="M86" s="17">
        <v>17637.76</v>
      </c>
      <c r="N86" s="17">
        <f t="shared" si="8"/>
        <v>119633.398528</v>
      </c>
      <c r="O86" s="18">
        <f t="shared" si="7"/>
        <v>0.899999994330345</v>
      </c>
      <c r="P86" s="19" t="s">
        <v>76</v>
      </c>
      <c r="Q86" s="15"/>
      <c r="R86" s="15">
        <v>17637.76</v>
      </c>
      <c r="S86" s="12" t="s">
        <v>143</v>
      </c>
      <c r="T86" s="19" t="s">
        <v>144</v>
      </c>
      <c r="U86" s="17"/>
      <c r="V86" s="17"/>
    </row>
    <row r="87" s="303" customFormat="1" ht="18" customHeight="1" spans="1:22">
      <c r="A87" s="327">
        <v>30</v>
      </c>
      <c r="B87" s="328" t="s">
        <v>63</v>
      </c>
      <c r="C87" s="328" t="s">
        <v>64</v>
      </c>
      <c r="D87" s="19" t="s">
        <v>145</v>
      </c>
      <c r="E87" s="13">
        <v>46042</v>
      </c>
      <c r="F87" s="14" t="s">
        <v>146</v>
      </c>
      <c r="G87" s="14" t="s">
        <v>67</v>
      </c>
      <c r="H87" s="15">
        <v>780000</v>
      </c>
      <c r="I87" s="15">
        <v>5310864</v>
      </c>
      <c r="J87" s="12" t="s">
        <v>81</v>
      </c>
      <c r="K87" s="15">
        <v>156000</v>
      </c>
      <c r="L87" s="15">
        <v>1062172.8</v>
      </c>
      <c r="M87" s="17">
        <v>624000</v>
      </c>
      <c r="N87" s="17">
        <f t="shared" si="8"/>
        <v>4232467.2</v>
      </c>
      <c r="O87" s="18">
        <f t="shared" si="7"/>
        <v>0.2</v>
      </c>
      <c r="P87" s="19" t="s">
        <v>147</v>
      </c>
      <c r="Q87" s="15"/>
      <c r="R87" s="15">
        <v>624000</v>
      </c>
      <c r="S87" s="12"/>
      <c r="T87" s="19"/>
      <c r="U87" s="17"/>
      <c r="V87" s="17"/>
    </row>
    <row r="88" s="303" customFormat="1" ht="18" customHeight="1" spans="1:22">
      <c r="A88" s="327">
        <v>31</v>
      </c>
      <c r="B88" s="328" t="s">
        <v>63</v>
      </c>
      <c r="C88" s="328" t="s">
        <v>64</v>
      </c>
      <c r="D88" s="19" t="s">
        <v>148</v>
      </c>
      <c r="E88" s="13">
        <v>46174</v>
      </c>
      <c r="F88" s="14" t="s">
        <v>146</v>
      </c>
      <c r="G88" s="14" t="s">
        <v>67</v>
      </c>
      <c r="H88" s="15">
        <v>100600</v>
      </c>
      <c r="I88" s="15">
        <v>686071.88</v>
      </c>
      <c r="J88" s="12" t="s">
        <v>149</v>
      </c>
      <c r="K88" s="15">
        <v>5000</v>
      </c>
      <c r="L88" s="15">
        <v>34078.5</v>
      </c>
      <c r="M88" s="17">
        <v>95600</v>
      </c>
      <c r="N88" s="17">
        <f t="shared" si="8"/>
        <v>648435.68</v>
      </c>
      <c r="O88" s="18">
        <f t="shared" si="7"/>
        <v>0.0497017892644135</v>
      </c>
      <c r="P88" s="19" t="s">
        <v>150</v>
      </c>
      <c r="Q88" s="15"/>
      <c r="R88" s="15">
        <v>95600</v>
      </c>
      <c r="S88" s="12"/>
      <c r="T88" s="19"/>
      <c r="U88" s="17"/>
      <c r="V88" s="17"/>
    </row>
    <row r="89" s="303" customFormat="1" ht="18" customHeight="1" spans="1:22">
      <c r="A89" s="327">
        <v>32</v>
      </c>
      <c r="B89" s="328" t="s">
        <v>151</v>
      </c>
      <c r="C89" s="328" t="s">
        <v>102</v>
      </c>
      <c r="D89" s="12" t="s">
        <v>152</v>
      </c>
      <c r="E89" s="13">
        <v>45231</v>
      </c>
      <c r="F89" s="14" t="s">
        <v>153</v>
      </c>
      <c r="G89" s="14" t="s">
        <v>67</v>
      </c>
      <c r="H89" s="15">
        <v>480000</v>
      </c>
      <c r="I89" s="15">
        <v>3409488</v>
      </c>
      <c r="J89" s="12" t="s">
        <v>154</v>
      </c>
      <c r="K89" s="15">
        <v>426549.24</v>
      </c>
      <c r="L89" s="15">
        <v>2727895.2</v>
      </c>
      <c r="M89" s="17">
        <v>53450.76</v>
      </c>
      <c r="N89" s="17">
        <f t="shared" si="8"/>
        <v>362545.814928</v>
      </c>
      <c r="O89" s="18">
        <f t="shared" si="7"/>
        <v>0.88864425</v>
      </c>
      <c r="P89" s="19" t="s">
        <v>155</v>
      </c>
      <c r="Q89" s="15">
        <v>53450.76</v>
      </c>
      <c r="R89" s="15"/>
      <c r="S89" s="12" t="s">
        <v>134</v>
      </c>
      <c r="T89" s="19" t="s">
        <v>156</v>
      </c>
      <c r="U89" s="17"/>
      <c r="V89" s="17"/>
    </row>
    <row r="90" s="303" customFormat="1" ht="18" customHeight="1" spans="1:22">
      <c r="A90" s="327">
        <v>33</v>
      </c>
      <c r="B90" s="328" t="s">
        <v>151</v>
      </c>
      <c r="C90" s="328" t="s">
        <v>64</v>
      </c>
      <c r="D90" s="19" t="s">
        <v>157</v>
      </c>
      <c r="E90" s="13">
        <v>45883</v>
      </c>
      <c r="F90" s="14" t="s">
        <v>158</v>
      </c>
      <c r="G90" s="14" t="s">
        <v>67</v>
      </c>
      <c r="H90" s="15">
        <v>2750000</v>
      </c>
      <c r="I90" s="15">
        <v>19617675</v>
      </c>
      <c r="J90" s="12" t="s">
        <v>159</v>
      </c>
      <c r="K90" s="15">
        <v>825000</v>
      </c>
      <c r="L90" s="15">
        <v>5854131.25</v>
      </c>
      <c r="M90" s="17">
        <v>1925000</v>
      </c>
      <c r="N90" s="17">
        <f t="shared" si="8"/>
        <v>13056890</v>
      </c>
      <c r="O90" s="18">
        <f t="shared" si="7"/>
        <v>0.3</v>
      </c>
      <c r="P90" s="19" t="s">
        <v>160</v>
      </c>
      <c r="Q90" s="15"/>
      <c r="R90" s="15">
        <v>1925000</v>
      </c>
      <c r="S90" s="12"/>
      <c r="T90" s="19"/>
      <c r="U90" s="17"/>
      <c r="V90" s="17"/>
    </row>
    <row r="91" s="303" customFormat="1" ht="18" customHeight="1" spans="1:22">
      <c r="A91" s="327">
        <v>34</v>
      </c>
      <c r="B91" s="328" t="s">
        <v>161</v>
      </c>
      <c r="C91" s="328" t="s">
        <v>64</v>
      </c>
      <c r="D91" s="19" t="s">
        <v>162</v>
      </c>
      <c r="E91" s="13">
        <v>46129</v>
      </c>
      <c r="F91" s="14" t="s">
        <v>163</v>
      </c>
      <c r="G91" s="14" t="s">
        <v>67</v>
      </c>
      <c r="H91" s="15">
        <v>29588</v>
      </c>
      <c r="I91" s="15">
        <v>201458.7744</v>
      </c>
      <c r="J91" s="16">
        <v>1</v>
      </c>
      <c r="K91" s="15">
        <v>29588</v>
      </c>
      <c r="L91" s="27">
        <v>200837.43</v>
      </c>
      <c r="M91" s="17">
        <v>0</v>
      </c>
      <c r="N91" s="17">
        <f t="shared" si="8"/>
        <v>0</v>
      </c>
      <c r="O91" s="18">
        <f t="shared" si="7"/>
        <v>1</v>
      </c>
      <c r="P91" s="19"/>
      <c r="Q91" s="15"/>
      <c r="R91" s="15"/>
      <c r="S91" s="12"/>
      <c r="T91" s="19"/>
      <c r="U91" s="17">
        <v>29588</v>
      </c>
      <c r="V91" s="17">
        <v>200837.43</v>
      </c>
    </row>
    <row r="92" s="303" customFormat="1" ht="18" customHeight="1" spans="1:22">
      <c r="A92" s="327">
        <v>35</v>
      </c>
      <c r="B92" s="328" t="s">
        <v>161</v>
      </c>
      <c r="C92" s="328" t="s">
        <v>64</v>
      </c>
      <c r="D92" s="19" t="s">
        <v>164</v>
      </c>
      <c r="E92" s="13">
        <v>45954</v>
      </c>
      <c r="F92" s="14" t="s">
        <v>165</v>
      </c>
      <c r="G92" s="14" t="s">
        <v>67</v>
      </c>
      <c r="H92" s="15">
        <v>508000</v>
      </c>
      <c r="I92" s="15">
        <v>3603142.4</v>
      </c>
      <c r="J92" s="12" t="s">
        <v>100</v>
      </c>
      <c r="K92" s="15">
        <v>152400</v>
      </c>
      <c r="L92" s="15">
        <v>1080013.08</v>
      </c>
      <c r="M92" s="17">
        <v>355600</v>
      </c>
      <c r="N92" s="17">
        <f t="shared" si="8"/>
        <v>2411963.68</v>
      </c>
      <c r="O92" s="18">
        <f t="shared" si="7"/>
        <v>0.3</v>
      </c>
      <c r="P92" s="19" t="s">
        <v>101</v>
      </c>
      <c r="Q92" s="15"/>
      <c r="R92" s="15">
        <v>355600</v>
      </c>
      <c r="S92" s="12"/>
      <c r="T92" s="19"/>
      <c r="U92" s="17"/>
      <c r="V92" s="17"/>
    </row>
    <row r="93" s="303" customFormat="1" ht="18" customHeight="1" spans="1:22">
      <c r="A93" s="327">
        <v>36</v>
      </c>
      <c r="B93" s="328" t="s">
        <v>161</v>
      </c>
      <c r="C93" s="328" t="s">
        <v>64</v>
      </c>
      <c r="D93" s="19" t="s">
        <v>166</v>
      </c>
      <c r="E93" s="13">
        <v>45660</v>
      </c>
      <c r="F93" s="14" t="s">
        <v>165</v>
      </c>
      <c r="G93" s="14" t="s">
        <v>67</v>
      </c>
      <c r="H93" s="15">
        <v>5586000</v>
      </c>
      <c r="I93" s="15">
        <v>40154402.4</v>
      </c>
      <c r="J93" s="12" t="s">
        <v>167</v>
      </c>
      <c r="K93" s="15">
        <v>4468800</v>
      </c>
      <c r="L93" s="15">
        <v>31649047.08</v>
      </c>
      <c r="M93" s="17">
        <v>1117200</v>
      </c>
      <c r="N93" s="17">
        <f t="shared" si="8"/>
        <v>7577744.16</v>
      </c>
      <c r="O93" s="18">
        <f t="shared" si="7"/>
        <v>0.8</v>
      </c>
      <c r="P93" s="19" t="s">
        <v>168</v>
      </c>
      <c r="Q93" s="15"/>
      <c r="R93" s="15">
        <v>1117200</v>
      </c>
      <c r="S93" s="12"/>
      <c r="T93" s="19"/>
      <c r="U93" s="17"/>
      <c r="V93" s="17"/>
    </row>
    <row r="94" s="303" customFormat="1" ht="18" customHeight="1" spans="1:22">
      <c r="A94" s="327">
        <v>37</v>
      </c>
      <c r="B94" s="328" t="s">
        <v>161</v>
      </c>
      <c r="C94" s="328" t="s">
        <v>64</v>
      </c>
      <c r="D94" s="19" t="s">
        <v>169</v>
      </c>
      <c r="E94" s="13">
        <v>45510</v>
      </c>
      <c r="F94" s="14" t="s">
        <v>165</v>
      </c>
      <c r="G94" s="14" t="s">
        <v>67</v>
      </c>
      <c r="H94" s="15">
        <v>2700000</v>
      </c>
      <c r="I94" s="15">
        <v>19209960</v>
      </c>
      <c r="J94" s="12" t="s">
        <v>170</v>
      </c>
      <c r="K94" s="15">
        <v>2295000</v>
      </c>
      <c r="L94" s="15">
        <v>16400731.5</v>
      </c>
      <c r="M94" s="17">
        <v>405000</v>
      </c>
      <c r="N94" s="17">
        <f t="shared" si="8"/>
        <v>2747034</v>
      </c>
      <c r="O94" s="18">
        <f t="shared" si="7"/>
        <v>0.85</v>
      </c>
      <c r="P94" s="19" t="s">
        <v>171</v>
      </c>
      <c r="Q94" s="15"/>
      <c r="R94" s="15">
        <v>405000</v>
      </c>
      <c r="S94" s="12"/>
      <c r="T94" s="19"/>
      <c r="U94" s="17"/>
      <c r="V94" s="17"/>
    </row>
    <row r="95" s="303" customFormat="1" ht="18" customHeight="1" spans="1:22">
      <c r="A95" s="327">
        <v>38</v>
      </c>
      <c r="B95" s="328" t="s">
        <v>161</v>
      </c>
      <c r="C95" s="328" t="s">
        <v>64</v>
      </c>
      <c r="D95" s="19" t="s">
        <v>172</v>
      </c>
      <c r="E95" s="13">
        <v>46031</v>
      </c>
      <c r="F95" s="14" t="s">
        <v>165</v>
      </c>
      <c r="G95" s="14" t="s">
        <v>67</v>
      </c>
      <c r="H95" s="15">
        <v>9600</v>
      </c>
      <c r="I95" s="15">
        <v>66806.4</v>
      </c>
      <c r="J95" s="12" t="s">
        <v>85</v>
      </c>
      <c r="K95" s="15">
        <v>4800</v>
      </c>
      <c r="L95" s="15">
        <v>33393.6</v>
      </c>
      <c r="M95" s="17">
        <v>4800</v>
      </c>
      <c r="N95" s="17">
        <f t="shared" si="8"/>
        <v>32557.44</v>
      </c>
      <c r="O95" s="18">
        <f t="shared" si="7"/>
        <v>0.5</v>
      </c>
      <c r="P95" s="19" t="s">
        <v>173</v>
      </c>
      <c r="Q95" s="15"/>
      <c r="R95" s="15">
        <v>4800</v>
      </c>
      <c r="S95" s="12"/>
      <c r="T95" s="19"/>
      <c r="U95" s="17"/>
      <c r="V95" s="17"/>
    </row>
    <row r="96" s="303" customFormat="1" ht="18" customHeight="1" spans="1:22">
      <c r="A96" s="327">
        <v>39</v>
      </c>
      <c r="B96" s="328" t="s">
        <v>161</v>
      </c>
      <c r="C96" s="328" t="s">
        <v>102</v>
      </c>
      <c r="D96" s="12" t="s">
        <v>174</v>
      </c>
      <c r="E96" s="13">
        <v>45355</v>
      </c>
      <c r="F96" s="14" t="s">
        <v>165</v>
      </c>
      <c r="G96" s="14" t="s">
        <v>67</v>
      </c>
      <c r="H96" s="15">
        <v>9600</v>
      </c>
      <c r="I96" s="15">
        <v>68124.48</v>
      </c>
      <c r="J96" s="12" t="s">
        <v>100</v>
      </c>
      <c r="K96" s="15">
        <v>6000</v>
      </c>
      <c r="L96" s="15">
        <v>41933.7</v>
      </c>
      <c r="M96" s="17">
        <v>3600</v>
      </c>
      <c r="N96" s="17">
        <f t="shared" si="8"/>
        <v>24418.08</v>
      </c>
      <c r="O96" s="18">
        <f t="shared" si="7"/>
        <v>0.625</v>
      </c>
      <c r="P96" s="19" t="s">
        <v>175</v>
      </c>
      <c r="Q96" s="15">
        <v>3600</v>
      </c>
      <c r="R96" s="15"/>
      <c r="S96" s="12" t="s">
        <v>176</v>
      </c>
      <c r="T96" s="19" t="s">
        <v>177</v>
      </c>
      <c r="U96" s="17"/>
      <c r="V96" s="17"/>
    </row>
    <row r="97" s="303" customFormat="1" ht="18" customHeight="1" spans="1:22">
      <c r="A97" s="327">
        <v>40</v>
      </c>
      <c r="B97" s="328" t="s">
        <v>178</v>
      </c>
      <c r="C97" s="328" t="s">
        <v>64</v>
      </c>
      <c r="D97" s="12" t="s">
        <v>179</v>
      </c>
      <c r="E97" s="13">
        <v>45986</v>
      </c>
      <c r="F97" s="14" t="s">
        <v>180</v>
      </c>
      <c r="G97" s="14" t="s">
        <v>67</v>
      </c>
      <c r="H97" s="15">
        <v>1723000</v>
      </c>
      <c r="I97" s="15">
        <v>12203319.8</v>
      </c>
      <c r="J97" s="12" t="s">
        <v>88</v>
      </c>
      <c r="K97" s="15">
        <v>516900</v>
      </c>
      <c r="L97" s="15">
        <v>3594160.77</v>
      </c>
      <c r="M97" s="17">
        <v>1206100</v>
      </c>
      <c r="N97" s="17">
        <f t="shared" si="8"/>
        <v>8180735.08</v>
      </c>
      <c r="O97" s="18">
        <f t="shared" si="7"/>
        <v>0.3</v>
      </c>
      <c r="P97" s="19" t="s">
        <v>181</v>
      </c>
      <c r="Q97" s="15"/>
      <c r="R97" s="15">
        <v>1206100</v>
      </c>
      <c r="S97" s="12"/>
      <c r="T97" s="19"/>
      <c r="U97" s="17"/>
      <c r="V97" s="17"/>
    </row>
    <row r="98" s="303" customFormat="1" ht="18" customHeight="1" spans="1:22">
      <c r="A98" s="327">
        <v>41</v>
      </c>
      <c r="B98" s="328" t="s">
        <v>178</v>
      </c>
      <c r="C98" s="329" t="s">
        <v>64</v>
      </c>
      <c r="D98" s="19" t="s">
        <v>182</v>
      </c>
      <c r="E98" s="21">
        <v>45320</v>
      </c>
      <c r="F98" s="22" t="s">
        <v>180</v>
      </c>
      <c r="G98" s="22" t="s">
        <v>67</v>
      </c>
      <c r="H98" s="23">
        <v>3376779.1</v>
      </c>
      <c r="I98" s="23">
        <v>23964558.4</v>
      </c>
      <c r="J98" s="19" t="s">
        <v>183</v>
      </c>
      <c r="K98" s="23">
        <v>3209729.25</v>
      </c>
      <c r="L98" s="23">
        <v>22870229.139667</v>
      </c>
      <c r="M98" s="24">
        <v>167049.85</v>
      </c>
      <c r="N98" s="17">
        <f t="shared" si="8"/>
        <v>1133065.72258</v>
      </c>
      <c r="O98" s="25">
        <f t="shared" si="7"/>
        <v>0.950529825892372</v>
      </c>
      <c r="P98" s="19" t="s">
        <v>125</v>
      </c>
      <c r="Q98" s="23"/>
      <c r="R98" s="23">
        <v>167049.85</v>
      </c>
      <c r="S98" s="19"/>
      <c r="T98" s="19"/>
      <c r="U98" s="17"/>
      <c r="V98" s="17"/>
    </row>
    <row r="99" s="303" customFormat="1" ht="18" customHeight="1" spans="1:22">
      <c r="A99" s="327">
        <v>42</v>
      </c>
      <c r="B99" s="328" t="s">
        <v>178</v>
      </c>
      <c r="C99" s="329" t="s">
        <v>64</v>
      </c>
      <c r="D99" s="19" t="s">
        <v>184</v>
      </c>
      <c r="E99" s="21">
        <v>45320</v>
      </c>
      <c r="F99" s="22" t="s">
        <v>180</v>
      </c>
      <c r="G99" s="22" t="s">
        <v>67</v>
      </c>
      <c r="H99" s="23">
        <v>281820</v>
      </c>
      <c r="I99" s="23">
        <v>1974825.47</v>
      </c>
      <c r="J99" s="19" t="s">
        <v>185</v>
      </c>
      <c r="K99" s="23">
        <v>211638</v>
      </c>
      <c r="L99" s="23">
        <v>1494169.6476</v>
      </c>
      <c r="M99" s="24">
        <v>70182</v>
      </c>
      <c r="N99" s="17">
        <f t="shared" si="8"/>
        <v>476030.4696</v>
      </c>
      <c r="O99" s="25">
        <f t="shared" si="7"/>
        <v>0.75096870342772</v>
      </c>
      <c r="P99" s="19" t="s">
        <v>186</v>
      </c>
      <c r="Q99" s="23"/>
      <c r="R99" s="23">
        <v>70182</v>
      </c>
      <c r="S99" s="19"/>
      <c r="T99" s="19"/>
      <c r="U99" s="17"/>
      <c r="V99" s="17"/>
    </row>
    <row r="100" s="303" customFormat="1" ht="18" customHeight="1" spans="1:22">
      <c r="A100" s="327">
        <v>43</v>
      </c>
      <c r="B100" s="328" t="s">
        <v>178</v>
      </c>
      <c r="C100" s="328" t="s">
        <v>64</v>
      </c>
      <c r="D100" s="12" t="s">
        <v>187</v>
      </c>
      <c r="E100" s="13">
        <v>45884</v>
      </c>
      <c r="F100" s="14" t="s">
        <v>180</v>
      </c>
      <c r="G100" s="14" t="s">
        <v>67</v>
      </c>
      <c r="H100" s="15">
        <v>14000</v>
      </c>
      <c r="I100" s="15">
        <v>99919.4</v>
      </c>
      <c r="J100" s="12" t="s">
        <v>100</v>
      </c>
      <c r="K100" s="15">
        <v>4200</v>
      </c>
      <c r="L100" s="27">
        <v>29975.82</v>
      </c>
      <c r="M100" s="17">
        <v>9800</v>
      </c>
      <c r="N100" s="17">
        <f t="shared" si="8"/>
        <v>66471.44</v>
      </c>
      <c r="O100" s="18">
        <f t="shared" si="7"/>
        <v>0.3</v>
      </c>
      <c r="P100" s="19" t="s">
        <v>101</v>
      </c>
      <c r="Q100" s="15"/>
      <c r="R100" s="15">
        <v>9800</v>
      </c>
      <c r="S100" s="12" t="s">
        <v>143</v>
      </c>
      <c r="T100" s="19"/>
      <c r="U100" s="17"/>
      <c r="V100" s="17"/>
    </row>
    <row r="101" s="303" customFormat="1" ht="18" customHeight="1" spans="1:22">
      <c r="A101" s="327">
        <v>44</v>
      </c>
      <c r="B101" s="328" t="s">
        <v>178</v>
      </c>
      <c r="C101" s="328" t="s">
        <v>102</v>
      </c>
      <c r="D101" s="12" t="s">
        <v>188</v>
      </c>
      <c r="E101" s="13">
        <v>45777</v>
      </c>
      <c r="F101" s="14" t="s">
        <v>180</v>
      </c>
      <c r="G101" s="14" t="s">
        <v>67</v>
      </c>
      <c r="H101" s="15">
        <v>1741000</v>
      </c>
      <c r="I101" s="15">
        <v>12497246.2</v>
      </c>
      <c r="J101" s="12" t="s">
        <v>189</v>
      </c>
      <c r="K101" s="15">
        <v>1654750</v>
      </c>
      <c r="L101" s="15">
        <v>11692966.91</v>
      </c>
      <c r="M101" s="17">
        <v>86250</v>
      </c>
      <c r="N101" s="17">
        <f t="shared" si="8"/>
        <v>585016.5</v>
      </c>
      <c r="O101" s="18">
        <f t="shared" si="7"/>
        <v>0.950459506031017</v>
      </c>
      <c r="P101" s="19" t="s">
        <v>125</v>
      </c>
      <c r="Q101" s="15"/>
      <c r="R101" s="15">
        <v>86250</v>
      </c>
      <c r="S101" s="12"/>
      <c r="T101" s="19" t="s">
        <v>190</v>
      </c>
      <c r="U101" s="17"/>
      <c r="V101" s="17"/>
    </row>
    <row r="102" s="303" customFormat="1" ht="18" customHeight="1" spans="1:22">
      <c r="A102" s="327">
        <v>45</v>
      </c>
      <c r="B102" s="328" t="s">
        <v>191</v>
      </c>
      <c r="C102" s="328" t="s">
        <v>64</v>
      </c>
      <c r="D102" s="19" t="s">
        <v>192</v>
      </c>
      <c r="E102" s="13">
        <v>46051</v>
      </c>
      <c r="F102" s="14" t="s">
        <v>193</v>
      </c>
      <c r="G102" s="14" t="s">
        <v>67</v>
      </c>
      <c r="H102" s="15">
        <v>1338000</v>
      </c>
      <c r="I102" s="15">
        <v>9303515.4</v>
      </c>
      <c r="J102" s="12" t="s">
        <v>100</v>
      </c>
      <c r="K102" s="15">
        <v>1338000</v>
      </c>
      <c r="L102" s="15">
        <v>9161014.417327</v>
      </c>
      <c r="M102" s="26">
        <v>0</v>
      </c>
      <c r="N102" s="17">
        <f t="shared" si="8"/>
        <v>0</v>
      </c>
      <c r="O102" s="18">
        <f t="shared" si="7"/>
        <v>1</v>
      </c>
      <c r="P102" s="19"/>
      <c r="Q102" s="15"/>
      <c r="R102" s="27"/>
      <c r="S102" s="12"/>
      <c r="T102" s="19"/>
      <c r="U102" s="17">
        <v>482008.15</v>
      </c>
      <c r="V102" s="17">
        <v>3272052.717132</v>
      </c>
    </row>
    <row r="103" s="303" customFormat="1" ht="18" customHeight="1" spans="1:22">
      <c r="A103" s="327">
        <v>46</v>
      </c>
      <c r="B103" s="328" t="s">
        <v>191</v>
      </c>
      <c r="C103" s="328" t="s">
        <v>64</v>
      </c>
      <c r="D103" s="19" t="s">
        <v>194</v>
      </c>
      <c r="E103" s="13">
        <v>46051</v>
      </c>
      <c r="F103" s="14" t="s">
        <v>193</v>
      </c>
      <c r="G103" s="14" t="s">
        <v>67</v>
      </c>
      <c r="H103" s="15">
        <v>91800</v>
      </c>
      <c r="I103" s="15">
        <v>638312.94</v>
      </c>
      <c r="J103" s="12" t="s">
        <v>195</v>
      </c>
      <c r="K103" s="15">
        <v>0</v>
      </c>
      <c r="L103" s="15">
        <v>0</v>
      </c>
      <c r="M103" s="17">
        <v>91800</v>
      </c>
      <c r="N103" s="17">
        <f t="shared" si="8"/>
        <v>622661.04</v>
      </c>
      <c r="O103" s="18">
        <f t="shared" si="7"/>
        <v>0</v>
      </c>
      <c r="P103" s="19" t="s">
        <v>196</v>
      </c>
      <c r="Q103" s="15"/>
      <c r="R103" s="15">
        <v>91800</v>
      </c>
      <c r="S103" s="12"/>
      <c r="T103" s="19"/>
      <c r="U103" s="17"/>
      <c r="V103" s="17"/>
    </row>
    <row r="104" s="303" customFormat="1" ht="18" customHeight="1" spans="1:22">
      <c r="A104" s="327">
        <v>47</v>
      </c>
      <c r="B104" s="328" t="s">
        <v>191</v>
      </c>
      <c r="C104" s="328" t="s">
        <v>64</v>
      </c>
      <c r="D104" s="19" t="s">
        <v>197</v>
      </c>
      <c r="E104" s="13">
        <v>46136</v>
      </c>
      <c r="F104" s="14" t="s">
        <v>193</v>
      </c>
      <c r="G104" s="14" t="s">
        <v>67</v>
      </c>
      <c r="H104" s="15">
        <v>228036</v>
      </c>
      <c r="I104" s="15">
        <v>1563460.42</v>
      </c>
      <c r="J104" s="12" t="s">
        <v>100</v>
      </c>
      <c r="K104" s="15">
        <v>68410.8</v>
      </c>
      <c r="L104" s="27">
        <v>469038.12696</v>
      </c>
      <c r="M104" s="17">
        <v>159625.2</v>
      </c>
      <c r="N104" s="17">
        <f t="shared" si="8"/>
        <v>1082705.80656</v>
      </c>
      <c r="O104" s="18">
        <f t="shared" si="7"/>
        <v>0.3</v>
      </c>
      <c r="P104" s="19" t="s">
        <v>198</v>
      </c>
      <c r="Q104" s="15"/>
      <c r="R104" s="15">
        <v>159625.2</v>
      </c>
      <c r="S104" s="12"/>
      <c r="T104" s="19" t="s">
        <v>199</v>
      </c>
      <c r="U104" s="17"/>
      <c r="V104" s="17"/>
    </row>
    <row r="105" s="303" customFormat="1" ht="18" customHeight="1" spans="1:22">
      <c r="A105" s="327">
        <v>48</v>
      </c>
      <c r="B105" s="328" t="s">
        <v>22</v>
      </c>
      <c r="C105" s="328" t="s">
        <v>64</v>
      </c>
      <c r="D105" s="12" t="s">
        <v>200</v>
      </c>
      <c r="E105" s="13">
        <v>45503</v>
      </c>
      <c r="F105" s="14" t="s">
        <v>201</v>
      </c>
      <c r="G105" s="14" t="s">
        <v>87</v>
      </c>
      <c r="H105" s="15">
        <v>1081482</v>
      </c>
      <c r="I105" s="15">
        <v>1081482</v>
      </c>
      <c r="J105" s="16">
        <v>1</v>
      </c>
      <c r="K105" s="15"/>
      <c r="L105" s="15"/>
      <c r="M105" s="17">
        <v>1081482</v>
      </c>
      <c r="N105" s="17">
        <v>1081482</v>
      </c>
      <c r="O105" s="18">
        <f t="shared" si="7"/>
        <v>0</v>
      </c>
      <c r="P105" s="19" t="s">
        <v>202</v>
      </c>
      <c r="Q105" s="15"/>
      <c r="R105" s="15">
        <v>1081482</v>
      </c>
      <c r="S105" s="12"/>
      <c r="T105" s="19"/>
      <c r="U105" s="17"/>
      <c r="V105" s="17"/>
    </row>
    <row r="106" s="303" customFormat="1" ht="18" customHeight="1" spans="1:22">
      <c r="A106" s="327">
        <v>49</v>
      </c>
      <c r="B106" s="328" t="s">
        <v>22</v>
      </c>
      <c r="C106" s="328" t="s">
        <v>102</v>
      </c>
      <c r="D106" s="19" t="s">
        <v>203</v>
      </c>
      <c r="E106" s="13">
        <v>45328</v>
      </c>
      <c r="F106" s="14" t="s">
        <v>201</v>
      </c>
      <c r="G106" s="14" t="s">
        <v>87</v>
      </c>
      <c r="H106" s="15">
        <v>46400000</v>
      </c>
      <c r="I106" s="15">
        <v>46400000</v>
      </c>
      <c r="J106" s="12" t="s">
        <v>88</v>
      </c>
      <c r="K106" s="15">
        <v>44080000</v>
      </c>
      <c r="L106" s="15">
        <v>44080000</v>
      </c>
      <c r="M106" s="17">
        <v>2320000</v>
      </c>
      <c r="N106" s="17">
        <v>2320000</v>
      </c>
      <c r="O106" s="18">
        <f t="shared" si="7"/>
        <v>0.95</v>
      </c>
      <c r="P106" s="19" t="s">
        <v>204</v>
      </c>
      <c r="Q106" s="15">
        <v>2320000</v>
      </c>
      <c r="R106" s="15"/>
      <c r="S106" s="12" t="s">
        <v>205</v>
      </c>
      <c r="T106" s="19" t="s">
        <v>206</v>
      </c>
      <c r="U106" s="17"/>
      <c r="V106" s="17"/>
    </row>
    <row r="107" s="303" customFormat="1" ht="18" customHeight="1" spans="1:22">
      <c r="A107" s="327">
        <v>50</v>
      </c>
      <c r="B107" s="328" t="s">
        <v>22</v>
      </c>
      <c r="C107" s="328" t="s">
        <v>102</v>
      </c>
      <c r="D107" s="19" t="s">
        <v>200</v>
      </c>
      <c r="E107" s="13">
        <v>45503</v>
      </c>
      <c r="F107" s="14" t="s">
        <v>201</v>
      </c>
      <c r="G107" s="14" t="s">
        <v>87</v>
      </c>
      <c r="H107" s="15">
        <v>3232595</v>
      </c>
      <c r="I107" s="15">
        <v>3232595</v>
      </c>
      <c r="J107" s="12" t="s">
        <v>107</v>
      </c>
      <c r="K107" s="15">
        <v>2909335.5</v>
      </c>
      <c r="L107" s="15">
        <v>2909335.5</v>
      </c>
      <c r="M107" s="17">
        <v>323259.5</v>
      </c>
      <c r="N107" s="17">
        <v>323259.5</v>
      </c>
      <c r="O107" s="18">
        <f t="shared" si="7"/>
        <v>0.9</v>
      </c>
      <c r="P107" s="19" t="s">
        <v>76</v>
      </c>
      <c r="Q107" s="15"/>
      <c r="R107" s="15">
        <v>323259.5</v>
      </c>
      <c r="S107" s="12"/>
      <c r="T107" s="19" t="s">
        <v>207</v>
      </c>
      <c r="U107" s="17"/>
      <c r="V107" s="17"/>
    </row>
    <row r="108" s="303" customFormat="1" ht="18" customHeight="1" spans="1:22">
      <c r="A108" s="327">
        <v>51</v>
      </c>
      <c r="B108" s="328" t="s">
        <v>22</v>
      </c>
      <c r="C108" s="328" t="s">
        <v>102</v>
      </c>
      <c r="D108" s="19" t="s">
        <v>208</v>
      </c>
      <c r="E108" s="13">
        <v>45642</v>
      </c>
      <c r="F108" s="14" t="s">
        <v>201</v>
      </c>
      <c r="G108" s="14" t="s">
        <v>87</v>
      </c>
      <c r="H108" s="15">
        <v>673002</v>
      </c>
      <c r="I108" s="15">
        <v>673002</v>
      </c>
      <c r="J108" s="12" t="s">
        <v>107</v>
      </c>
      <c r="K108" s="15">
        <v>605701.8</v>
      </c>
      <c r="L108" s="15">
        <v>605701.8</v>
      </c>
      <c r="M108" s="17">
        <v>67300.2</v>
      </c>
      <c r="N108" s="17">
        <v>67300.2</v>
      </c>
      <c r="O108" s="18">
        <f t="shared" si="7"/>
        <v>0.9</v>
      </c>
      <c r="P108" s="19" t="s">
        <v>76</v>
      </c>
      <c r="Q108" s="15"/>
      <c r="R108" s="15">
        <v>67300.2</v>
      </c>
      <c r="S108" s="12"/>
      <c r="T108" s="19" t="s">
        <v>207</v>
      </c>
      <c r="U108" s="17"/>
      <c r="V108" s="17"/>
    </row>
    <row r="109" s="2" customFormat="1" ht="25" customHeight="1" spans="1:22">
      <c r="A109" s="28"/>
      <c r="B109" s="28"/>
      <c r="C109" s="28"/>
      <c r="D109" s="29" t="s">
        <v>209</v>
      </c>
      <c r="E109" s="13"/>
      <c r="F109" s="28"/>
      <c r="G109" s="28"/>
      <c r="H109" s="30">
        <f>SUMIF(G:G,"美元",H:H)</f>
        <v>57047809.25</v>
      </c>
      <c r="I109" s="30">
        <f>SUMIF(G:G,"美元",I:I)</f>
        <v>402670908.381399</v>
      </c>
      <c r="J109" s="28"/>
      <c r="K109" s="30">
        <f>SUMIF(G:G,"美元",K:K)</f>
        <v>39081923.358</v>
      </c>
      <c r="L109" s="30">
        <f>SUMIF(G:G,"美元",L:L)</f>
        <v>263807754.01778</v>
      </c>
      <c r="M109" s="30">
        <f>SUMIF(G:G,"美元",M:M)</f>
        <v>17965885.896</v>
      </c>
      <c r="N109" s="31">
        <f>SUMIF(G:G,"美元",N:N)</f>
        <v>121859010.855389</v>
      </c>
      <c r="O109" s="32"/>
      <c r="P109" s="28"/>
      <c r="Q109" s="30">
        <f>SUMIF(G:G,"美元",Q:Q)</f>
        <v>2380028.72</v>
      </c>
      <c r="R109" s="30">
        <f>SUMIF(G:G,"美元",R:R)</f>
        <v>15585857.176</v>
      </c>
      <c r="S109" s="28"/>
      <c r="T109" s="33"/>
      <c r="U109" s="30">
        <f>SUMIF(G:G,"美元",U:U)</f>
        <v>1853045.54</v>
      </c>
      <c r="V109" s="31">
        <f>SUMIF(G:G,"美元",V:V)</f>
        <v>12569388.390973</v>
      </c>
    </row>
    <row r="110" s="2" customFormat="1" ht="25" customHeight="1" spans="1:22">
      <c r="A110" s="28"/>
      <c r="B110" s="28"/>
      <c r="C110" s="28"/>
      <c r="D110" s="29" t="s">
        <v>210</v>
      </c>
      <c r="E110" s="13"/>
      <c r="F110" s="28"/>
      <c r="G110" s="28"/>
      <c r="H110" s="30">
        <f>SUMIF(G:G,"人民币",H:H)</f>
        <v>58103359</v>
      </c>
      <c r="I110" s="30">
        <f>SUMIF(G:G,"人民币",I:I)</f>
        <v>58103359</v>
      </c>
      <c r="J110" s="28"/>
      <c r="K110" s="30">
        <f>SUMIF(G:G,"人民币",K:K)</f>
        <v>49609921.3</v>
      </c>
      <c r="L110" s="30">
        <f>SUMIF(G:G,"人民币",L:L)</f>
        <v>49609921.3</v>
      </c>
      <c r="M110" s="30">
        <f>SUMIF(G:G,"人民币",M:M)</f>
        <v>8493437.7</v>
      </c>
      <c r="N110" s="31">
        <f>SUMIF(G:G,"人民币",N:N)</f>
        <v>8493437.7</v>
      </c>
      <c r="O110" s="32"/>
      <c r="P110" s="28"/>
      <c r="Q110" s="30">
        <f>SUMIF(G:G,"人民币",Q:Q)</f>
        <v>2320000</v>
      </c>
      <c r="R110" s="30">
        <f>SUMIF(G:G,"人民币",R:R)</f>
        <v>6173437.7</v>
      </c>
      <c r="S110" s="28"/>
      <c r="T110" s="33"/>
      <c r="U110" s="30">
        <f>SUMIF(G:G,"人民币",U:U)</f>
        <v>0</v>
      </c>
      <c r="V110" s="31">
        <f>SUMIF(G:G,"人民币",V:V)</f>
        <v>0</v>
      </c>
    </row>
    <row r="111" s="2" customFormat="1" ht="25" customHeight="1" spans="1:22">
      <c r="A111" s="28"/>
      <c r="B111" s="28"/>
      <c r="C111" s="28"/>
      <c r="D111" s="29" t="s">
        <v>211</v>
      </c>
      <c r="E111" s="34"/>
      <c r="F111" s="28"/>
      <c r="G111" s="14"/>
      <c r="H111" s="28"/>
      <c r="I111" s="30">
        <f t="shared" ref="I111:N111" si="9">I109+I110</f>
        <v>460774267.381399</v>
      </c>
      <c r="J111" s="28"/>
      <c r="K111" s="30"/>
      <c r="L111" s="30">
        <f t="shared" si="9"/>
        <v>313417675.31778</v>
      </c>
      <c r="M111" s="30">
        <f t="shared" si="9"/>
        <v>26459323.596</v>
      </c>
      <c r="N111" s="31">
        <f t="shared" si="9"/>
        <v>130352448.555389</v>
      </c>
      <c r="O111" s="28"/>
      <c r="P111" s="28"/>
      <c r="Q111" s="28"/>
      <c r="R111" s="28"/>
      <c r="S111" s="28"/>
      <c r="T111" s="33"/>
      <c r="U111" s="30">
        <f>U109+U110</f>
        <v>1853045.54</v>
      </c>
      <c r="V111" s="31">
        <f>V109+V110</f>
        <v>12569388.390973</v>
      </c>
    </row>
  </sheetData>
  <mergeCells count="18">
    <mergeCell ref="A1:H1"/>
    <mergeCell ref="A28:J28"/>
    <mergeCell ref="A46:H46"/>
    <mergeCell ref="A56:V56"/>
    <mergeCell ref="A3:A7"/>
    <mergeCell ref="A8:A10"/>
    <mergeCell ref="A11:A13"/>
    <mergeCell ref="A14:A16"/>
    <mergeCell ref="A17:A19"/>
    <mergeCell ref="A20:A22"/>
    <mergeCell ref="A23:A25"/>
    <mergeCell ref="A30:A31"/>
    <mergeCell ref="A32:A33"/>
    <mergeCell ref="A34:A35"/>
    <mergeCell ref="A36:A37"/>
    <mergeCell ref="A38:A39"/>
    <mergeCell ref="A40:A41"/>
    <mergeCell ref="A42:A43"/>
  </mergeCells>
  <pageMargins left="0.75" right="0.75" top="1" bottom="1" header="0.5" footer="0.5"/>
  <pageSetup paperSize="9" orientation="portrait"/>
  <headerFooter/>
  <ignoredErrors>
    <ignoredError sqref="H49:H54 H24 H18" formulaRange="1"/>
    <ignoredError sqref="H22 H13 H16 H10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H89"/>
  <sheetViews>
    <sheetView zoomScale="60" zoomScaleNormal="60" workbookViewId="0">
      <selection activeCell="C58" sqref="C58"/>
    </sheetView>
  </sheetViews>
  <sheetFormatPr defaultColWidth="20.1272727272727" defaultRowHeight="30" customHeight="1"/>
  <cols>
    <col min="1" max="1" width="9.37272727272727" style="252" customWidth="1"/>
    <col min="2" max="2" width="10.7545454545455" style="252" customWidth="1"/>
    <col min="3" max="3" width="30.9090909090909" style="252" customWidth="1"/>
    <col min="4" max="4" width="31.4727272727273" style="252" customWidth="1"/>
    <col min="5" max="5" width="17.8363636363636" style="252" customWidth="1"/>
    <col min="6" max="6" width="68.8636363636364" style="252" customWidth="1"/>
    <col min="7" max="9" width="15.5" style="252" customWidth="1"/>
    <col min="10" max="10" width="33.2636363636364" style="252" customWidth="1"/>
    <col min="11" max="11" width="23.7636363636364" style="252" customWidth="1"/>
    <col min="12" max="13" width="20.3727272727273" style="252" customWidth="1"/>
    <col min="14" max="14" width="30.5181818181818" style="252" customWidth="1"/>
    <col min="15" max="15" width="36.3636363636364" style="252" customWidth="1"/>
    <col min="16" max="16358" width="20.1272727272727" style="252" customWidth="1"/>
    <col min="16359" max="16384" width="20.1272727272727" style="252"/>
  </cols>
  <sheetData>
    <row r="1" s="252" customFormat="1" customHeight="1" spans="1:1024 1025:16362">
      <c r="A1" s="182" t="s">
        <v>212</v>
      </c>
      <c r="B1" s="182"/>
      <c r="C1" s="279"/>
      <c r="D1" s="279"/>
      <c r="E1" s="279"/>
      <c r="F1" s="279"/>
      <c r="G1" s="279"/>
      <c r="H1" s="279"/>
      <c r="I1" s="279"/>
      <c r="J1" s="279"/>
      <c r="K1" s="279"/>
    </row>
    <row r="2" s="252" customFormat="1" ht="48" customHeight="1" spans="1:1024 1025:16362">
      <c r="A2" s="177" t="s">
        <v>213</v>
      </c>
      <c r="B2" s="177" t="s">
        <v>214</v>
      </c>
      <c r="C2" s="280" t="s">
        <v>215</v>
      </c>
      <c r="D2" s="280" t="s">
        <v>216</v>
      </c>
      <c r="E2" s="280" t="s">
        <v>217</v>
      </c>
      <c r="F2" s="280" t="s">
        <v>218</v>
      </c>
      <c r="G2" s="280" t="s">
        <v>219</v>
      </c>
      <c r="H2" s="280" t="s">
        <v>220</v>
      </c>
      <c r="I2" s="280" t="s">
        <v>221</v>
      </c>
      <c r="J2" s="280" t="s">
        <v>222</v>
      </c>
      <c r="K2" s="280" t="s">
        <v>223</v>
      </c>
    </row>
    <row r="3" s="252" customFormat="1" customHeight="1" spans="1:1024 1025:16362">
      <c r="A3" s="129" t="s">
        <v>16</v>
      </c>
      <c r="B3" s="129" t="s">
        <v>66</v>
      </c>
      <c r="C3" s="130">
        <v>9900</v>
      </c>
      <c r="D3" s="281">
        <f>C3*0.3</f>
        <v>2970</v>
      </c>
      <c r="E3" s="79">
        <v>20.36</v>
      </c>
      <c r="F3" s="80">
        <f>E3/C3</f>
        <v>0.00205656565656566</v>
      </c>
      <c r="G3" s="79">
        <f>1210.76+20.36</f>
        <v>1231.12</v>
      </c>
      <c r="H3" s="282">
        <f>G3/C3</f>
        <v>0.124355555555556</v>
      </c>
      <c r="I3" s="281">
        <f>C3-G3</f>
        <v>8668.88</v>
      </c>
      <c r="J3" s="282">
        <f>1-H3</f>
        <v>0.875644444444444</v>
      </c>
      <c r="K3" s="281">
        <v>7330</v>
      </c>
    </row>
    <row r="4" s="252" customFormat="1" customHeight="1" spans="1:1024 1025:16362">
      <c r="A4" s="129" t="s">
        <v>16</v>
      </c>
      <c r="B4" s="129" t="s">
        <v>146</v>
      </c>
      <c r="C4" s="130">
        <v>1650</v>
      </c>
      <c r="D4" s="281">
        <v>495</v>
      </c>
      <c r="E4" s="79">
        <v>0</v>
      </c>
      <c r="F4" s="80">
        <f>E4/C4</f>
        <v>0</v>
      </c>
      <c r="G4" s="281">
        <v>531.09</v>
      </c>
      <c r="H4" s="282">
        <f>G4/C4</f>
        <v>0.321872727272727</v>
      </c>
      <c r="I4" s="281">
        <v>2700</v>
      </c>
      <c r="J4" s="282">
        <f>1-H4</f>
        <v>0.678127272727273</v>
      </c>
      <c r="K4" s="281">
        <v>69</v>
      </c>
    </row>
    <row r="5" s="277" customFormat="1" customHeight="1" spans="1:1024 1025:16362">
      <c r="A5" s="129" t="s">
        <v>16</v>
      </c>
      <c r="B5" s="129" t="s">
        <v>224</v>
      </c>
      <c r="C5" s="283" t="s">
        <v>11</v>
      </c>
      <c r="D5" s="283" t="s">
        <v>11</v>
      </c>
      <c r="E5" s="79">
        <v>0</v>
      </c>
      <c r="F5" s="283" t="s">
        <v>11</v>
      </c>
      <c r="G5" s="79">
        <v>0</v>
      </c>
      <c r="H5" s="283" t="s">
        <v>11</v>
      </c>
      <c r="I5" s="283" t="s">
        <v>11</v>
      </c>
      <c r="J5" s="283" t="s">
        <v>11</v>
      </c>
      <c r="K5" s="283"/>
    </row>
    <row r="6" s="277" customFormat="1" customHeight="1" spans="1:1024 1025:16362">
      <c r="A6" s="177" t="s">
        <v>225</v>
      </c>
      <c r="B6" s="177"/>
      <c r="C6" s="283">
        <f t="shared" ref="C6:G6" si="0">SUM(C3:C4)</f>
        <v>11550</v>
      </c>
      <c r="D6" s="283">
        <f t="shared" si="0"/>
        <v>3465</v>
      </c>
      <c r="E6" s="283">
        <f t="shared" si="0"/>
        <v>20.36</v>
      </c>
      <c r="F6" s="80">
        <f>E6/C6</f>
        <v>0.00176277056277056</v>
      </c>
      <c r="G6" s="283">
        <f t="shared" si="0"/>
        <v>1762.21</v>
      </c>
      <c r="H6" s="282">
        <f>G6/C6</f>
        <v>0.152572294372294</v>
      </c>
      <c r="I6" s="281">
        <f>C6-G6</f>
        <v>9787.79</v>
      </c>
      <c r="J6" s="282">
        <f>1-H6</f>
        <v>0.847427705627706</v>
      </c>
      <c r="K6" s="283">
        <f>K3+K4</f>
        <v>7399</v>
      </c>
    </row>
    <row r="7" s="278" customFormat="1" customHeight="1" spans="1:1024 1025:16362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4"/>
      <c r="AG7" s="254"/>
      <c r="AH7" s="254"/>
      <c r="AI7" s="254"/>
      <c r="AJ7" s="254"/>
      <c r="AK7" s="254"/>
      <c r="AL7" s="254"/>
      <c r="AM7" s="254"/>
      <c r="AN7" s="254"/>
      <c r="AO7" s="254"/>
      <c r="AP7" s="254"/>
      <c r="AQ7" s="254"/>
      <c r="AR7" s="254"/>
      <c r="AS7" s="254"/>
      <c r="AT7" s="254"/>
      <c r="AU7" s="254"/>
      <c r="AV7" s="254"/>
      <c r="AW7" s="254"/>
      <c r="AX7" s="254"/>
      <c r="AY7" s="254"/>
      <c r="AZ7" s="254"/>
      <c r="BA7" s="254"/>
      <c r="BB7" s="254"/>
      <c r="BC7" s="254"/>
      <c r="BD7" s="254"/>
      <c r="BE7" s="254"/>
      <c r="BF7" s="254"/>
      <c r="BG7" s="254"/>
      <c r="BH7" s="254"/>
      <c r="BI7" s="254"/>
      <c r="BJ7" s="254"/>
      <c r="BK7" s="254"/>
      <c r="BL7" s="254"/>
      <c r="BM7" s="254"/>
      <c r="BN7" s="254"/>
      <c r="BO7" s="254"/>
      <c r="BP7" s="254"/>
      <c r="BQ7" s="254"/>
      <c r="BR7" s="254"/>
      <c r="BS7" s="254"/>
      <c r="BT7" s="254"/>
      <c r="BU7" s="254"/>
      <c r="BV7" s="254"/>
      <c r="BW7" s="254"/>
      <c r="BX7" s="254"/>
      <c r="BY7" s="254"/>
      <c r="BZ7" s="254"/>
      <c r="CA7" s="254"/>
      <c r="CB7" s="254"/>
      <c r="CC7" s="254"/>
      <c r="CD7" s="254"/>
      <c r="CE7" s="254"/>
      <c r="CF7" s="254"/>
      <c r="CG7" s="254"/>
      <c r="CH7" s="254"/>
      <c r="CI7" s="254"/>
      <c r="CJ7" s="254"/>
      <c r="CK7" s="254"/>
      <c r="CL7" s="254"/>
      <c r="CM7" s="254"/>
      <c r="CN7" s="254"/>
      <c r="CO7" s="254"/>
      <c r="CP7" s="254"/>
      <c r="CQ7" s="254"/>
      <c r="CR7" s="254"/>
      <c r="CS7" s="254"/>
      <c r="CT7" s="254"/>
      <c r="CU7" s="254"/>
      <c r="CV7" s="254"/>
      <c r="CW7" s="254"/>
      <c r="CX7" s="254"/>
      <c r="CY7" s="254"/>
      <c r="CZ7" s="254"/>
      <c r="DA7" s="254"/>
      <c r="DB7" s="254"/>
      <c r="DC7" s="254"/>
      <c r="DD7" s="254"/>
      <c r="DE7" s="254"/>
      <c r="DF7" s="254"/>
      <c r="DG7" s="254"/>
      <c r="DH7" s="254"/>
      <c r="DI7" s="254"/>
      <c r="DJ7" s="254"/>
      <c r="DK7" s="254"/>
      <c r="DL7" s="254"/>
      <c r="DM7" s="254"/>
      <c r="DN7" s="254"/>
      <c r="DO7" s="254"/>
      <c r="DP7" s="254"/>
      <c r="DQ7" s="254"/>
      <c r="DR7" s="254"/>
      <c r="DS7" s="254"/>
      <c r="DT7" s="254"/>
      <c r="DU7" s="254"/>
      <c r="DV7" s="254"/>
      <c r="DW7" s="254"/>
      <c r="DX7" s="254"/>
      <c r="DY7" s="254"/>
      <c r="DZ7" s="254"/>
      <c r="EA7" s="254"/>
      <c r="EB7" s="254"/>
      <c r="EC7" s="254"/>
      <c r="ED7" s="254"/>
      <c r="EE7" s="254"/>
      <c r="EF7" s="254"/>
      <c r="EG7" s="254"/>
      <c r="EH7" s="254"/>
      <c r="EI7" s="254"/>
      <c r="EJ7" s="254"/>
      <c r="EK7" s="254"/>
      <c r="EL7" s="254"/>
      <c r="EM7" s="254"/>
      <c r="EN7" s="254"/>
      <c r="EO7" s="254"/>
      <c r="EP7" s="254"/>
      <c r="EQ7" s="254"/>
      <c r="ER7" s="254"/>
      <c r="ES7" s="254"/>
      <c r="ET7" s="254"/>
      <c r="EU7" s="254"/>
      <c r="EV7" s="254"/>
      <c r="EW7" s="254"/>
      <c r="EX7" s="254"/>
      <c r="EY7" s="254"/>
      <c r="EZ7" s="254"/>
      <c r="FA7" s="254"/>
      <c r="FB7" s="254"/>
      <c r="FC7" s="254"/>
      <c r="FD7" s="254"/>
      <c r="FE7" s="254"/>
      <c r="FF7" s="254"/>
      <c r="FG7" s="254"/>
      <c r="FH7" s="254"/>
      <c r="FI7" s="254"/>
      <c r="FJ7" s="254"/>
      <c r="FK7" s="254"/>
      <c r="FL7" s="254"/>
      <c r="FM7" s="254"/>
      <c r="FN7" s="254"/>
      <c r="FO7" s="254"/>
      <c r="FP7" s="254"/>
      <c r="FQ7" s="254"/>
      <c r="FR7" s="254"/>
      <c r="FS7" s="254"/>
      <c r="FT7" s="254"/>
      <c r="FU7" s="254"/>
      <c r="FV7" s="254"/>
      <c r="FW7" s="254"/>
      <c r="FX7" s="254"/>
      <c r="FY7" s="254"/>
      <c r="FZ7" s="254"/>
      <c r="GA7" s="254"/>
      <c r="GB7" s="254"/>
      <c r="GC7" s="254"/>
      <c r="GD7" s="254"/>
      <c r="GE7" s="254"/>
      <c r="GF7" s="254"/>
      <c r="GG7" s="254"/>
      <c r="GH7" s="254"/>
      <c r="GI7" s="254"/>
      <c r="GJ7" s="254"/>
      <c r="GK7" s="254"/>
      <c r="GL7" s="254"/>
      <c r="GM7" s="254"/>
      <c r="GN7" s="254"/>
      <c r="GO7" s="254"/>
      <c r="GP7" s="254"/>
      <c r="GQ7" s="254"/>
      <c r="GR7" s="254"/>
      <c r="GS7" s="254"/>
      <c r="GT7" s="254"/>
      <c r="GU7" s="254"/>
      <c r="GV7" s="254"/>
      <c r="GW7" s="254"/>
      <c r="GX7" s="254"/>
      <c r="GY7" s="254"/>
      <c r="GZ7" s="254"/>
      <c r="HA7" s="254"/>
      <c r="HB7" s="254"/>
      <c r="HC7" s="254"/>
      <c r="HD7" s="254"/>
      <c r="HE7" s="254"/>
      <c r="HF7" s="254"/>
      <c r="HG7" s="254"/>
      <c r="HH7" s="254"/>
      <c r="HI7" s="254"/>
      <c r="HJ7" s="254"/>
      <c r="HK7" s="254"/>
      <c r="HL7" s="254"/>
      <c r="HM7" s="254"/>
      <c r="HN7" s="254"/>
      <c r="HO7" s="254"/>
      <c r="HP7" s="254"/>
      <c r="HQ7" s="254"/>
      <c r="HR7" s="254"/>
      <c r="HS7" s="254"/>
      <c r="HT7" s="254"/>
      <c r="HU7" s="254"/>
      <c r="HV7" s="254"/>
      <c r="HW7" s="254"/>
      <c r="HX7" s="254"/>
      <c r="HY7" s="254"/>
      <c r="HZ7" s="254"/>
      <c r="IA7" s="254"/>
      <c r="IB7" s="254"/>
      <c r="IC7" s="254"/>
      <c r="ID7" s="254"/>
      <c r="IE7" s="254"/>
      <c r="IF7" s="254"/>
      <c r="IG7" s="254"/>
      <c r="IH7" s="254"/>
      <c r="II7" s="254"/>
      <c r="IJ7" s="254"/>
      <c r="IK7" s="254"/>
      <c r="IL7" s="254"/>
      <c r="IM7" s="254"/>
      <c r="IN7" s="254"/>
      <c r="IO7" s="254"/>
      <c r="IP7" s="254"/>
      <c r="IQ7" s="254"/>
      <c r="IR7" s="254"/>
      <c r="IS7" s="254"/>
      <c r="IT7" s="254"/>
      <c r="IU7" s="254"/>
      <c r="IV7" s="254"/>
      <c r="IW7" s="254"/>
      <c r="IX7" s="254"/>
      <c r="IY7" s="254"/>
      <c r="IZ7" s="254"/>
      <c r="JA7" s="254"/>
      <c r="JB7" s="254"/>
      <c r="JC7" s="254"/>
      <c r="JD7" s="254"/>
      <c r="JE7" s="254"/>
      <c r="JF7" s="254"/>
      <c r="JG7" s="254"/>
      <c r="JH7" s="254"/>
      <c r="JI7" s="254"/>
      <c r="JJ7" s="254"/>
      <c r="JK7" s="254"/>
      <c r="JL7" s="254"/>
      <c r="JM7" s="254"/>
      <c r="JN7" s="254"/>
      <c r="JO7" s="254"/>
      <c r="JP7" s="254"/>
      <c r="JQ7" s="254"/>
      <c r="JR7" s="254"/>
      <c r="JS7" s="254"/>
      <c r="JT7" s="254"/>
      <c r="JU7" s="254"/>
      <c r="JV7" s="254"/>
      <c r="JW7" s="254"/>
      <c r="JX7" s="254"/>
      <c r="JY7" s="254"/>
      <c r="JZ7" s="254"/>
      <c r="KA7" s="254"/>
      <c r="KB7" s="254"/>
      <c r="KC7" s="254"/>
      <c r="KD7" s="254"/>
      <c r="KE7" s="254"/>
      <c r="KF7" s="254"/>
      <c r="KG7" s="254"/>
      <c r="KH7" s="254"/>
      <c r="KI7" s="254"/>
      <c r="KJ7" s="254"/>
      <c r="KK7" s="254"/>
      <c r="KL7" s="254"/>
      <c r="KM7" s="254"/>
      <c r="KN7" s="254"/>
      <c r="KO7" s="254"/>
      <c r="KP7" s="254"/>
      <c r="KQ7" s="254"/>
      <c r="KR7" s="254"/>
      <c r="KS7" s="254"/>
      <c r="KT7" s="254"/>
      <c r="KU7" s="254"/>
      <c r="KV7" s="254"/>
      <c r="KW7" s="254"/>
      <c r="KX7" s="254"/>
      <c r="KY7" s="254"/>
      <c r="KZ7" s="254"/>
      <c r="LA7" s="254"/>
      <c r="LB7" s="254"/>
      <c r="LC7" s="254"/>
      <c r="LD7" s="254"/>
      <c r="LE7" s="254"/>
      <c r="LF7" s="254"/>
      <c r="LG7" s="254"/>
      <c r="LH7" s="254"/>
      <c r="LI7" s="254"/>
      <c r="LJ7" s="254"/>
      <c r="LK7" s="254"/>
      <c r="LL7" s="254"/>
      <c r="LM7" s="254"/>
      <c r="LN7" s="254"/>
      <c r="LO7" s="254"/>
      <c r="LP7" s="254"/>
      <c r="LQ7" s="254"/>
      <c r="LR7" s="254"/>
      <c r="LS7" s="254"/>
      <c r="LT7" s="254"/>
      <c r="LU7" s="254"/>
      <c r="LV7" s="254"/>
      <c r="LW7" s="254"/>
      <c r="LX7" s="254"/>
      <c r="LY7" s="254"/>
      <c r="LZ7" s="254"/>
      <c r="MA7" s="254"/>
      <c r="MB7" s="254"/>
      <c r="MC7" s="254"/>
      <c r="MD7" s="254"/>
      <c r="ME7" s="254"/>
      <c r="MF7" s="254"/>
      <c r="MG7" s="254"/>
      <c r="MH7" s="254"/>
      <c r="MI7" s="254"/>
      <c r="MJ7" s="254"/>
      <c r="MK7" s="254"/>
      <c r="ML7" s="254"/>
      <c r="MM7" s="254"/>
      <c r="MN7" s="254"/>
      <c r="MO7" s="254"/>
      <c r="MP7" s="254"/>
      <c r="MQ7" s="254"/>
      <c r="MR7" s="254"/>
      <c r="MS7" s="254"/>
      <c r="MT7" s="254"/>
      <c r="MU7" s="254"/>
      <c r="MV7" s="254"/>
      <c r="MW7" s="254"/>
      <c r="MX7" s="254"/>
      <c r="MY7" s="254"/>
      <c r="MZ7" s="254"/>
      <c r="NA7" s="254"/>
      <c r="NB7" s="254"/>
      <c r="NC7" s="254"/>
      <c r="ND7" s="254"/>
      <c r="NE7" s="254"/>
      <c r="NF7" s="254"/>
      <c r="NG7" s="254"/>
      <c r="NH7" s="254"/>
      <c r="NI7" s="254"/>
      <c r="NJ7" s="254"/>
      <c r="NK7" s="254"/>
      <c r="NL7" s="254"/>
      <c r="NM7" s="254"/>
      <c r="NN7" s="254"/>
      <c r="NO7" s="254"/>
      <c r="NP7" s="254"/>
      <c r="NQ7" s="254"/>
      <c r="NR7" s="254"/>
      <c r="NS7" s="254"/>
      <c r="NT7" s="254"/>
      <c r="NU7" s="254"/>
      <c r="NV7" s="254"/>
      <c r="NW7" s="254"/>
      <c r="NX7" s="254"/>
      <c r="NY7" s="254"/>
      <c r="NZ7" s="254"/>
      <c r="OA7" s="254"/>
      <c r="OB7" s="254"/>
      <c r="OC7" s="254"/>
      <c r="OD7" s="254"/>
      <c r="OE7" s="254"/>
      <c r="OF7" s="254"/>
      <c r="OG7" s="254"/>
      <c r="OH7" s="254"/>
      <c r="OI7" s="254"/>
      <c r="OJ7" s="254"/>
      <c r="OK7" s="254"/>
      <c r="OL7" s="254"/>
      <c r="OM7" s="254"/>
      <c r="ON7" s="254"/>
      <c r="OO7" s="254"/>
      <c r="OP7" s="254"/>
      <c r="OQ7" s="254"/>
      <c r="OR7" s="254"/>
      <c r="OS7" s="254"/>
      <c r="OT7" s="254"/>
      <c r="OU7" s="254"/>
      <c r="OV7" s="254"/>
      <c r="OW7" s="254"/>
      <c r="OX7" s="254"/>
      <c r="OY7" s="254"/>
      <c r="OZ7" s="254"/>
      <c r="PA7" s="254"/>
      <c r="PB7" s="254"/>
      <c r="PC7" s="254"/>
      <c r="PD7" s="254"/>
      <c r="PE7" s="254"/>
      <c r="PF7" s="254"/>
      <c r="PG7" s="254"/>
      <c r="PH7" s="254"/>
      <c r="PI7" s="254"/>
      <c r="PJ7" s="254"/>
      <c r="PK7" s="254"/>
      <c r="PL7" s="254"/>
      <c r="PM7" s="254"/>
      <c r="PN7" s="254"/>
      <c r="PO7" s="254"/>
      <c r="PP7" s="254"/>
      <c r="PQ7" s="254"/>
      <c r="PR7" s="254"/>
      <c r="PS7" s="254"/>
      <c r="PT7" s="254"/>
      <c r="PU7" s="254"/>
      <c r="PV7" s="254"/>
      <c r="PW7" s="254"/>
      <c r="PX7" s="254"/>
      <c r="PY7" s="254"/>
      <c r="PZ7" s="254"/>
      <c r="QA7" s="254"/>
      <c r="QB7" s="254"/>
      <c r="QC7" s="254"/>
      <c r="QD7" s="254"/>
      <c r="QE7" s="254"/>
      <c r="QF7" s="254"/>
      <c r="QG7" s="254"/>
      <c r="QH7" s="254"/>
      <c r="QI7" s="254"/>
      <c r="QJ7" s="254"/>
      <c r="QK7" s="254"/>
      <c r="QL7" s="254"/>
      <c r="QM7" s="254"/>
      <c r="QN7" s="254"/>
      <c r="QO7" s="254"/>
      <c r="QP7" s="254"/>
      <c r="QQ7" s="254"/>
      <c r="QR7" s="254"/>
      <c r="QS7" s="254"/>
      <c r="QT7" s="254"/>
      <c r="QU7" s="254"/>
      <c r="QV7" s="254"/>
      <c r="QW7" s="254"/>
      <c r="QX7" s="254"/>
      <c r="QY7" s="254"/>
      <c r="QZ7" s="254"/>
      <c r="RA7" s="254"/>
      <c r="RB7" s="254"/>
      <c r="RC7" s="254"/>
      <c r="RD7" s="254"/>
      <c r="RE7" s="254"/>
      <c r="RF7" s="254"/>
      <c r="RG7" s="254"/>
      <c r="RH7" s="254"/>
      <c r="RI7" s="254"/>
      <c r="RJ7" s="254"/>
      <c r="RK7" s="254"/>
      <c r="RL7" s="254"/>
      <c r="RM7" s="254"/>
      <c r="RN7" s="254"/>
      <c r="RO7" s="254"/>
      <c r="RP7" s="254"/>
      <c r="RQ7" s="254"/>
      <c r="RR7" s="254"/>
      <c r="RS7" s="254"/>
      <c r="RT7" s="254"/>
      <c r="RU7" s="254"/>
      <c r="RV7" s="254"/>
      <c r="RW7" s="254"/>
      <c r="RX7" s="254"/>
      <c r="RY7" s="254"/>
      <c r="RZ7" s="254"/>
      <c r="SA7" s="254"/>
      <c r="SB7" s="254"/>
      <c r="SC7" s="254"/>
      <c r="SD7" s="254"/>
      <c r="SE7" s="254"/>
      <c r="SF7" s="254"/>
      <c r="SG7" s="254"/>
      <c r="SH7" s="254"/>
      <c r="SI7" s="254"/>
      <c r="SJ7" s="254"/>
      <c r="SK7" s="254"/>
      <c r="SL7" s="254"/>
      <c r="SM7" s="254"/>
      <c r="SN7" s="254"/>
      <c r="SO7" s="254"/>
      <c r="SP7" s="254"/>
      <c r="SQ7" s="254"/>
      <c r="SR7" s="254"/>
      <c r="SS7" s="254"/>
      <c r="ST7" s="254"/>
      <c r="SU7" s="254"/>
      <c r="SV7" s="254"/>
      <c r="SW7" s="254"/>
      <c r="SX7" s="254"/>
      <c r="SY7" s="254"/>
      <c r="SZ7" s="254"/>
      <c r="TA7" s="254"/>
      <c r="TB7" s="254"/>
      <c r="TC7" s="254"/>
      <c r="TD7" s="254"/>
      <c r="TE7" s="254"/>
      <c r="TF7" s="254"/>
      <c r="TG7" s="254"/>
      <c r="TH7" s="254"/>
      <c r="TI7" s="254"/>
      <c r="TJ7" s="254"/>
      <c r="TK7" s="254"/>
      <c r="TL7" s="254"/>
      <c r="TM7" s="254"/>
      <c r="TN7" s="254"/>
      <c r="TO7" s="254"/>
      <c r="TP7" s="254"/>
      <c r="TQ7" s="254"/>
      <c r="TR7" s="254"/>
      <c r="TS7" s="254"/>
      <c r="TT7" s="254"/>
      <c r="TU7" s="254"/>
      <c r="TV7" s="254"/>
      <c r="TW7" s="254"/>
      <c r="TX7" s="254"/>
      <c r="TY7" s="254"/>
      <c r="TZ7" s="254"/>
      <c r="UA7" s="254"/>
      <c r="UB7" s="254"/>
      <c r="UC7" s="254"/>
      <c r="UD7" s="254"/>
      <c r="UE7" s="254"/>
      <c r="UF7" s="254"/>
      <c r="UG7" s="254"/>
      <c r="UH7" s="254"/>
      <c r="UI7" s="254"/>
      <c r="UJ7" s="254"/>
      <c r="UK7" s="254"/>
      <c r="UL7" s="254"/>
      <c r="UM7" s="254"/>
      <c r="UN7" s="254"/>
      <c r="UO7" s="254"/>
      <c r="UP7" s="254"/>
      <c r="UQ7" s="254"/>
      <c r="UR7" s="254"/>
      <c r="US7" s="254"/>
      <c r="UT7" s="254"/>
      <c r="UU7" s="254"/>
      <c r="UV7" s="254"/>
      <c r="UW7" s="254"/>
      <c r="UX7" s="254"/>
      <c r="UY7" s="254"/>
      <c r="UZ7" s="254"/>
      <c r="VA7" s="254"/>
      <c r="VB7" s="254"/>
      <c r="VC7" s="254"/>
      <c r="VD7" s="254"/>
      <c r="VE7" s="254"/>
      <c r="VF7" s="254"/>
      <c r="VG7" s="254"/>
      <c r="VH7" s="254"/>
      <c r="VI7" s="254"/>
      <c r="VJ7" s="254"/>
      <c r="VK7" s="254"/>
      <c r="VL7" s="254"/>
      <c r="VM7" s="254"/>
      <c r="VN7" s="254"/>
      <c r="VO7" s="254"/>
      <c r="VP7" s="254"/>
      <c r="VQ7" s="254"/>
      <c r="VR7" s="254"/>
      <c r="VS7" s="254"/>
      <c r="VT7" s="254"/>
      <c r="VU7" s="254"/>
      <c r="VV7" s="254"/>
      <c r="VW7" s="254"/>
      <c r="VX7" s="254"/>
      <c r="VY7" s="254"/>
      <c r="VZ7" s="254"/>
      <c r="WA7" s="254"/>
      <c r="WB7" s="254"/>
      <c r="WC7" s="254"/>
      <c r="WD7" s="254"/>
      <c r="WE7" s="254"/>
      <c r="WF7" s="254"/>
      <c r="WG7" s="254"/>
      <c r="WH7" s="254"/>
      <c r="WI7" s="254"/>
      <c r="WJ7" s="254"/>
      <c r="WK7" s="254"/>
      <c r="WL7" s="254"/>
      <c r="WM7" s="254"/>
      <c r="WN7" s="254"/>
      <c r="WO7" s="254"/>
      <c r="WP7" s="254"/>
      <c r="WQ7" s="254"/>
      <c r="WR7" s="254"/>
      <c r="WS7" s="254"/>
      <c r="WT7" s="254"/>
      <c r="WU7" s="254"/>
      <c r="WV7" s="254"/>
      <c r="WW7" s="254"/>
      <c r="WX7" s="254"/>
      <c r="WY7" s="254"/>
      <c r="WZ7" s="254"/>
      <c r="XA7" s="254"/>
      <c r="XB7" s="254"/>
      <c r="XC7" s="254"/>
      <c r="XD7" s="254"/>
      <c r="XE7" s="254"/>
      <c r="XF7" s="254"/>
      <c r="XG7" s="254"/>
      <c r="XH7" s="254"/>
      <c r="XI7" s="254"/>
      <c r="XJ7" s="254"/>
      <c r="XK7" s="254"/>
      <c r="XL7" s="254"/>
      <c r="XM7" s="254"/>
      <c r="XN7" s="254"/>
      <c r="XO7" s="254"/>
      <c r="XP7" s="254"/>
      <c r="XQ7" s="254"/>
      <c r="XR7" s="254"/>
      <c r="XS7" s="254"/>
      <c r="XT7" s="254"/>
      <c r="XU7" s="254"/>
      <c r="XV7" s="254"/>
      <c r="XW7" s="254"/>
      <c r="XX7" s="254"/>
      <c r="XY7" s="254"/>
      <c r="XZ7" s="254"/>
      <c r="YA7" s="254"/>
      <c r="YB7" s="254"/>
      <c r="YC7" s="254"/>
      <c r="YD7" s="254"/>
      <c r="YE7" s="254"/>
      <c r="YF7" s="254"/>
      <c r="YG7" s="254"/>
      <c r="YH7" s="254"/>
      <c r="YI7" s="254"/>
      <c r="YJ7" s="254"/>
      <c r="YK7" s="254"/>
      <c r="YL7" s="254"/>
      <c r="YM7" s="254"/>
      <c r="YN7" s="254"/>
      <c r="YO7" s="254"/>
      <c r="YP7" s="254"/>
      <c r="YQ7" s="254"/>
      <c r="YR7" s="254"/>
      <c r="YS7" s="254"/>
      <c r="YT7" s="254"/>
      <c r="YU7" s="254"/>
      <c r="YV7" s="254"/>
      <c r="YW7" s="254"/>
      <c r="YX7" s="254"/>
      <c r="YY7" s="254"/>
      <c r="YZ7" s="254"/>
      <c r="ZA7" s="254"/>
      <c r="ZB7" s="254"/>
      <c r="ZC7" s="254"/>
      <c r="ZD7" s="254"/>
      <c r="ZE7" s="254"/>
      <c r="ZF7" s="254"/>
      <c r="ZG7" s="254"/>
      <c r="ZH7" s="254"/>
      <c r="ZI7" s="254"/>
      <c r="ZJ7" s="254"/>
      <c r="ZK7" s="254"/>
      <c r="ZL7" s="254"/>
      <c r="ZM7" s="254"/>
      <c r="ZN7" s="254"/>
      <c r="ZO7" s="254"/>
      <c r="ZP7" s="254"/>
      <c r="ZQ7" s="254"/>
      <c r="ZR7" s="254"/>
      <c r="ZS7" s="254"/>
      <c r="ZT7" s="254"/>
      <c r="ZU7" s="254"/>
      <c r="ZV7" s="254"/>
      <c r="ZW7" s="254"/>
      <c r="ZX7" s="254"/>
      <c r="ZY7" s="254"/>
      <c r="ZZ7" s="254"/>
      <c r="AAA7" s="254"/>
      <c r="AAB7" s="254"/>
      <c r="AAC7" s="254"/>
      <c r="AAD7" s="254"/>
      <c r="AAE7" s="254"/>
      <c r="AAF7" s="254"/>
      <c r="AAG7" s="254"/>
      <c r="AAH7" s="254"/>
      <c r="AAI7" s="254"/>
      <c r="AAJ7" s="254"/>
      <c r="AAK7" s="254"/>
      <c r="AAL7" s="254"/>
      <c r="AAM7" s="254"/>
      <c r="AAN7" s="254"/>
      <c r="AAO7" s="254"/>
      <c r="AAP7" s="254"/>
      <c r="AAQ7" s="254"/>
      <c r="AAR7" s="254"/>
      <c r="AAS7" s="254"/>
      <c r="AAT7" s="254"/>
      <c r="AAU7" s="254"/>
      <c r="AAV7" s="254"/>
      <c r="AAW7" s="254"/>
      <c r="AAX7" s="254"/>
      <c r="AAY7" s="254"/>
      <c r="AAZ7" s="254"/>
      <c r="ABA7" s="254"/>
      <c r="ABB7" s="254"/>
      <c r="ABC7" s="254"/>
      <c r="ABD7" s="254"/>
      <c r="ABE7" s="254"/>
      <c r="ABF7" s="254"/>
      <c r="ABG7" s="254"/>
      <c r="ABH7" s="254"/>
      <c r="ABI7" s="254"/>
      <c r="ABJ7" s="254"/>
      <c r="ABK7" s="254"/>
      <c r="ABL7" s="254"/>
      <c r="ABM7" s="254"/>
      <c r="ABN7" s="254"/>
      <c r="ABO7" s="254"/>
      <c r="ABP7" s="254"/>
      <c r="ABQ7" s="254"/>
      <c r="ABR7" s="254"/>
      <c r="ABS7" s="254"/>
      <c r="ABT7" s="254"/>
      <c r="ABU7" s="254"/>
      <c r="ABV7" s="254"/>
      <c r="ABW7" s="254"/>
      <c r="ABX7" s="254"/>
      <c r="ABY7" s="254"/>
      <c r="ABZ7" s="254"/>
      <c r="ACA7" s="254"/>
      <c r="ACB7" s="254"/>
      <c r="ACC7" s="254"/>
      <c r="ACD7" s="254"/>
      <c r="ACE7" s="254"/>
      <c r="ACF7" s="254"/>
      <c r="ACG7" s="254"/>
      <c r="ACH7" s="254"/>
      <c r="ACI7" s="254"/>
      <c r="ACJ7" s="254"/>
      <c r="ACK7" s="254"/>
      <c r="ACL7" s="254"/>
      <c r="ACM7" s="254"/>
      <c r="ACN7" s="254"/>
      <c r="ACO7" s="254"/>
      <c r="ACP7" s="254"/>
      <c r="ACQ7" s="254"/>
      <c r="ACR7" s="254"/>
      <c r="ACS7" s="254"/>
      <c r="ACT7" s="254"/>
      <c r="ACU7" s="254"/>
      <c r="ACV7" s="254"/>
      <c r="ACW7" s="254"/>
      <c r="ACX7" s="254"/>
      <c r="ACY7" s="254"/>
      <c r="ACZ7" s="254"/>
      <c r="ADA7" s="254"/>
      <c r="ADB7" s="254"/>
      <c r="ADC7" s="254"/>
      <c r="ADD7" s="254"/>
      <c r="ADE7" s="254"/>
      <c r="ADF7" s="254"/>
      <c r="ADG7" s="254"/>
      <c r="ADH7" s="254"/>
      <c r="ADI7" s="254"/>
      <c r="ADJ7" s="254"/>
      <c r="ADK7" s="254"/>
      <c r="ADL7" s="254"/>
      <c r="ADM7" s="254"/>
      <c r="ADN7" s="254"/>
      <c r="ADO7" s="254"/>
      <c r="ADP7" s="254"/>
      <c r="ADQ7" s="254"/>
      <c r="ADR7" s="254"/>
      <c r="ADS7" s="254"/>
      <c r="ADT7" s="254"/>
      <c r="ADU7" s="254"/>
      <c r="ADV7" s="254"/>
      <c r="ADW7" s="254"/>
      <c r="ADX7" s="254"/>
      <c r="ADY7" s="254"/>
      <c r="ADZ7" s="254"/>
      <c r="AEA7" s="254"/>
      <c r="AEB7" s="254"/>
      <c r="AEC7" s="254"/>
      <c r="AED7" s="254"/>
      <c r="AEE7" s="254"/>
      <c r="AEF7" s="254"/>
      <c r="AEG7" s="254"/>
      <c r="AEH7" s="254"/>
      <c r="AEI7" s="254"/>
      <c r="AEJ7" s="254"/>
      <c r="AEK7" s="254"/>
      <c r="AEL7" s="254"/>
      <c r="AEM7" s="254"/>
      <c r="AEN7" s="254"/>
      <c r="AEO7" s="254"/>
      <c r="AEP7" s="254"/>
      <c r="AEQ7" s="254"/>
      <c r="AER7" s="254"/>
      <c r="AES7" s="254"/>
      <c r="AET7" s="254"/>
      <c r="AEU7" s="254"/>
      <c r="AEV7" s="254"/>
      <c r="AEW7" s="254"/>
      <c r="AEX7" s="254"/>
      <c r="AEY7" s="254"/>
      <c r="AEZ7" s="254"/>
      <c r="AFA7" s="254"/>
      <c r="AFB7" s="254"/>
      <c r="AFC7" s="254"/>
      <c r="AFD7" s="254"/>
      <c r="AFE7" s="254"/>
      <c r="AFF7" s="254"/>
      <c r="AFG7" s="254"/>
      <c r="AFH7" s="254"/>
      <c r="AFI7" s="254"/>
      <c r="AFJ7" s="254"/>
      <c r="AFK7" s="254"/>
      <c r="AFL7" s="254"/>
      <c r="AFM7" s="254"/>
      <c r="AFN7" s="254"/>
      <c r="AFO7" s="254"/>
      <c r="AFP7" s="254"/>
      <c r="AFQ7" s="254"/>
      <c r="AFR7" s="254"/>
      <c r="AFS7" s="254"/>
      <c r="AFT7" s="254"/>
      <c r="AFU7" s="254"/>
      <c r="AFV7" s="254"/>
      <c r="AFW7" s="254"/>
      <c r="AFX7" s="254"/>
      <c r="AFY7" s="254"/>
      <c r="AFZ7" s="254"/>
      <c r="AGA7" s="254"/>
      <c r="AGB7" s="254"/>
      <c r="AGC7" s="254"/>
      <c r="AGD7" s="254"/>
      <c r="AGE7" s="254"/>
      <c r="AGF7" s="254"/>
      <c r="AGG7" s="254"/>
      <c r="AGH7" s="254"/>
      <c r="AGI7" s="254"/>
      <c r="AGJ7" s="254"/>
      <c r="AGK7" s="254"/>
      <c r="AGL7" s="254"/>
      <c r="AGM7" s="254"/>
      <c r="AGN7" s="254"/>
      <c r="AGO7" s="254"/>
      <c r="AGP7" s="254"/>
      <c r="AGQ7" s="254"/>
      <c r="AGR7" s="254"/>
      <c r="AGS7" s="254"/>
      <c r="AGT7" s="254"/>
      <c r="AGU7" s="254"/>
      <c r="AGV7" s="254"/>
      <c r="AGW7" s="254"/>
      <c r="AGX7" s="254"/>
      <c r="AGY7" s="254"/>
      <c r="AGZ7" s="254"/>
      <c r="AHA7" s="254"/>
      <c r="AHB7" s="254"/>
      <c r="AHC7" s="254"/>
      <c r="AHD7" s="254"/>
      <c r="AHE7" s="254"/>
      <c r="AHF7" s="254"/>
      <c r="AHG7" s="254"/>
      <c r="AHH7" s="254"/>
      <c r="AHI7" s="254"/>
      <c r="AHJ7" s="254"/>
      <c r="AHK7" s="254"/>
      <c r="AHL7" s="254"/>
      <c r="AHM7" s="254"/>
      <c r="AHN7" s="254"/>
      <c r="AHO7" s="254"/>
      <c r="AHP7" s="254"/>
      <c r="AHQ7" s="254"/>
      <c r="AHR7" s="254"/>
      <c r="AHS7" s="254"/>
      <c r="AHT7" s="254"/>
      <c r="AHU7" s="254"/>
      <c r="AHV7" s="254"/>
      <c r="AHW7" s="254"/>
      <c r="AHX7" s="254"/>
      <c r="AHY7" s="254"/>
      <c r="AHZ7" s="254"/>
      <c r="AIA7" s="254"/>
      <c r="AIB7" s="254"/>
      <c r="AIC7" s="254"/>
      <c r="AID7" s="254"/>
      <c r="AIE7" s="254"/>
      <c r="AIF7" s="254"/>
      <c r="AIG7" s="254"/>
      <c r="AIH7" s="254"/>
      <c r="AII7" s="254"/>
      <c r="AIJ7" s="254"/>
      <c r="AIK7" s="254"/>
      <c r="AIL7" s="254"/>
      <c r="AIM7" s="254"/>
      <c r="AIN7" s="254"/>
      <c r="AIO7" s="254"/>
      <c r="AIP7" s="254"/>
      <c r="AIQ7" s="254"/>
      <c r="AIR7" s="254"/>
      <c r="AIS7" s="254"/>
      <c r="AIT7" s="254"/>
      <c r="AIU7" s="254"/>
      <c r="AIV7" s="254"/>
      <c r="AIW7" s="254"/>
      <c r="AIX7" s="254"/>
      <c r="AIY7" s="254"/>
      <c r="AIZ7" s="254"/>
      <c r="AJA7" s="254"/>
      <c r="AJB7" s="254"/>
      <c r="AJC7" s="254"/>
      <c r="AJD7" s="254"/>
      <c r="AJE7" s="254"/>
      <c r="AJF7" s="254"/>
      <c r="AJG7" s="254"/>
      <c r="AJH7" s="254"/>
      <c r="AJI7" s="254"/>
      <c r="AJJ7" s="254"/>
      <c r="AJK7" s="254"/>
      <c r="AJL7" s="254"/>
      <c r="AJM7" s="254"/>
      <c r="AJN7" s="254"/>
      <c r="AJO7" s="254"/>
      <c r="AJP7" s="254"/>
      <c r="AJQ7" s="254"/>
      <c r="AJR7" s="254"/>
      <c r="AJS7" s="254"/>
      <c r="AJT7" s="254"/>
      <c r="AJU7" s="254"/>
      <c r="AJV7" s="254"/>
      <c r="AJW7" s="254"/>
      <c r="AJX7" s="254"/>
      <c r="AJY7" s="254"/>
      <c r="AJZ7" s="254"/>
      <c r="AKA7" s="254"/>
      <c r="AKB7" s="254"/>
      <c r="AKC7" s="254"/>
      <c r="AKD7" s="254"/>
      <c r="AKE7" s="254"/>
      <c r="AKF7" s="254"/>
      <c r="AKG7" s="254"/>
      <c r="AKH7" s="254"/>
      <c r="AKI7" s="254"/>
      <c r="AKJ7" s="254"/>
      <c r="AKK7" s="254"/>
      <c r="AKL7" s="254"/>
      <c r="AKM7" s="254"/>
      <c r="AKN7" s="254"/>
      <c r="AKO7" s="254"/>
      <c r="AKP7" s="254"/>
      <c r="AKQ7" s="254"/>
      <c r="AKR7" s="254"/>
      <c r="AKS7" s="254"/>
      <c r="AKT7" s="254"/>
      <c r="AKU7" s="254"/>
      <c r="AKV7" s="254"/>
      <c r="AKW7" s="254"/>
      <c r="AKX7" s="254"/>
      <c r="AKY7" s="254"/>
      <c r="AKZ7" s="254"/>
      <c r="ALA7" s="254"/>
      <c r="ALB7" s="254"/>
      <c r="ALC7" s="254"/>
      <c r="ALD7" s="254"/>
      <c r="ALE7" s="254"/>
      <c r="ALF7" s="254"/>
      <c r="ALG7" s="254"/>
      <c r="ALH7" s="254"/>
      <c r="ALI7" s="254"/>
      <c r="ALJ7" s="254"/>
      <c r="ALK7" s="254"/>
      <c r="ALL7" s="254"/>
      <c r="ALM7" s="254"/>
      <c r="ALN7" s="254"/>
      <c r="ALO7" s="254"/>
      <c r="ALP7" s="254"/>
      <c r="ALQ7" s="254"/>
      <c r="ALR7" s="254"/>
      <c r="ALS7" s="254"/>
      <c r="ALT7" s="254"/>
      <c r="ALU7" s="254"/>
      <c r="ALV7" s="254"/>
      <c r="ALW7" s="254"/>
      <c r="ALX7" s="254"/>
      <c r="ALY7" s="254"/>
      <c r="ALZ7" s="254"/>
      <c r="AMA7" s="254"/>
      <c r="AMB7" s="254"/>
      <c r="AMC7" s="254"/>
      <c r="AMD7" s="254"/>
      <c r="AME7" s="254"/>
      <c r="AMF7" s="254"/>
      <c r="AMG7" s="254"/>
      <c r="AMH7" s="254"/>
      <c r="AMI7" s="254"/>
      <c r="AMJ7" s="254"/>
      <c r="AMK7" s="254"/>
      <c r="AML7" s="254"/>
      <c r="AMM7" s="254"/>
      <c r="AMN7" s="254"/>
      <c r="AMO7" s="254"/>
      <c r="AMP7" s="254"/>
      <c r="AMQ7" s="254"/>
      <c r="AMR7" s="254"/>
      <c r="AMS7" s="254"/>
      <c r="AMT7" s="254"/>
      <c r="AMU7" s="254"/>
      <c r="AMV7" s="254"/>
      <c r="AMW7" s="254"/>
      <c r="AMX7" s="254"/>
      <c r="AMY7" s="254"/>
      <c r="AMZ7" s="254"/>
      <c r="ANA7" s="254"/>
      <c r="ANB7" s="254"/>
      <c r="ANC7" s="254"/>
      <c r="AND7" s="254"/>
      <c r="ANE7" s="254"/>
      <c r="ANF7" s="254"/>
      <c r="ANG7" s="254"/>
      <c r="ANH7" s="254"/>
      <c r="ANI7" s="254"/>
      <c r="ANJ7" s="254"/>
      <c r="ANK7" s="254"/>
      <c r="ANL7" s="254"/>
      <c r="ANM7" s="254"/>
      <c r="ANN7" s="254"/>
      <c r="ANO7" s="254"/>
      <c r="ANP7" s="254"/>
      <c r="ANQ7" s="254"/>
      <c r="ANR7" s="254"/>
      <c r="ANS7" s="254"/>
      <c r="ANT7" s="254"/>
      <c r="ANU7" s="254"/>
      <c r="ANV7" s="254"/>
      <c r="ANW7" s="254"/>
      <c r="ANX7" s="254"/>
      <c r="ANY7" s="254"/>
      <c r="ANZ7" s="254"/>
      <c r="AOA7" s="254"/>
      <c r="AOB7" s="254"/>
      <c r="AOC7" s="254"/>
      <c r="AOD7" s="254"/>
      <c r="AOE7" s="254"/>
      <c r="AOF7" s="254"/>
      <c r="AOG7" s="254"/>
      <c r="AOH7" s="254"/>
      <c r="AOI7" s="254"/>
      <c r="AOJ7" s="254"/>
      <c r="AOK7" s="254"/>
      <c r="AOL7" s="254"/>
      <c r="AOM7" s="254"/>
      <c r="AON7" s="254"/>
      <c r="AOO7" s="254"/>
      <c r="AOP7" s="254"/>
      <c r="AOQ7" s="254"/>
      <c r="AOR7" s="254"/>
      <c r="AOS7" s="254"/>
      <c r="AOT7" s="254"/>
      <c r="AOU7" s="254"/>
      <c r="AOV7" s="254"/>
      <c r="AOW7" s="254"/>
      <c r="AOX7" s="254"/>
      <c r="AOY7" s="254"/>
      <c r="AOZ7" s="254"/>
      <c r="APA7" s="254"/>
      <c r="APB7" s="254"/>
      <c r="APC7" s="254"/>
      <c r="APD7" s="254"/>
      <c r="APE7" s="254"/>
      <c r="APF7" s="254"/>
      <c r="APG7" s="254"/>
      <c r="APH7" s="254"/>
      <c r="API7" s="254"/>
      <c r="APJ7" s="254"/>
      <c r="APK7" s="254"/>
      <c r="APL7" s="254"/>
      <c r="APM7" s="254"/>
      <c r="APN7" s="254"/>
      <c r="APO7" s="254"/>
      <c r="APP7" s="254"/>
      <c r="APQ7" s="254"/>
      <c r="APR7" s="254"/>
      <c r="APS7" s="254"/>
      <c r="APT7" s="254"/>
      <c r="APU7" s="254"/>
      <c r="APV7" s="254"/>
      <c r="APW7" s="254"/>
      <c r="APX7" s="254"/>
      <c r="APY7" s="254"/>
      <c r="APZ7" s="254"/>
      <c r="AQA7" s="254"/>
      <c r="AQB7" s="254"/>
      <c r="AQC7" s="254"/>
      <c r="AQD7" s="254"/>
      <c r="AQE7" s="254"/>
      <c r="AQF7" s="254"/>
      <c r="AQG7" s="254"/>
      <c r="AQH7" s="254"/>
      <c r="AQI7" s="254"/>
      <c r="AQJ7" s="254"/>
      <c r="AQK7" s="254"/>
      <c r="AQL7" s="254"/>
      <c r="AQM7" s="254"/>
      <c r="AQN7" s="254"/>
      <c r="AQO7" s="254"/>
      <c r="AQP7" s="254"/>
      <c r="AQQ7" s="254"/>
      <c r="AQR7" s="254"/>
      <c r="AQS7" s="254"/>
      <c r="AQT7" s="254"/>
      <c r="AQU7" s="254"/>
      <c r="AQV7" s="254"/>
      <c r="AQW7" s="254"/>
      <c r="AQX7" s="254"/>
      <c r="AQY7" s="254"/>
      <c r="AQZ7" s="254"/>
      <c r="ARA7" s="254"/>
      <c r="ARB7" s="254"/>
      <c r="ARC7" s="254"/>
      <c r="ARD7" s="254"/>
      <c r="ARE7" s="254"/>
      <c r="ARF7" s="254"/>
      <c r="ARG7" s="254"/>
      <c r="ARH7" s="254"/>
      <c r="ARI7" s="254"/>
      <c r="ARJ7" s="254"/>
      <c r="ARK7" s="254"/>
      <c r="ARL7" s="254"/>
      <c r="ARM7" s="254"/>
      <c r="ARN7" s="254"/>
      <c r="ARO7" s="254"/>
      <c r="ARP7" s="254"/>
      <c r="ARQ7" s="254"/>
      <c r="ARR7" s="254"/>
      <c r="ARS7" s="254"/>
      <c r="ART7" s="254"/>
      <c r="ARU7" s="254"/>
      <c r="ARV7" s="254"/>
      <c r="ARW7" s="254"/>
      <c r="ARX7" s="254"/>
      <c r="ARY7" s="254"/>
      <c r="ARZ7" s="254"/>
      <c r="ASA7" s="254"/>
      <c r="ASB7" s="254"/>
      <c r="ASC7" s="254"/>
      <c r="ASD7" s="254"/>
      <c r="ASE7" s="254"/>
      <c r="ASF7" s="254"/>
      <c r="ASG7" s="254"/>
      <c r="ASH7" s="254"/>
      <c r="ASI7" s="254"/>
      <c r="ASJ7" s="254"/>
      <c r="ASK7" s="254"/>
      <c r="ASL7" s="254"/>
      <c r="ASM7" s="254"/>
      <c r="ASN7" s="254"/>
      <c r="ASO7" s="254"/>
      <c r="ASP7" s="254"/>
      <c r="ASQ7" s="254"/>
      <c r="ASR7" s="254"/>
      <c r="ASS7" s="254"/>
      <c r="AST7" s="254"/>
      <c r="ASU7" s="254"/>
      <c r="ASV7" s="254"/>
      <c r="ASW7" s="254"/>
      <c r="ASX7" s="254"/>
      <c r="ASY7" s="254"/>
      <c r="ASZ7" s="254"/>
      <c r="ATA7" s="254"/>
      <c r="ATB7" s="254"/>
      <c r="ATC7" s="254"/>
      <c r="ATD7" s="254"/>
      <c r="ATE7" s="254"/>
      <c r="ATF7" s="254"/>
      <c r="ATG7" s="254"/>
      <c r="ATH7" s="254"/>
      <c r="ATI7" s="254"/>
      <c r="ATJ7" s="254"/>
      <c r="ATK7" s="254"/>
      <c r="ATL7" s="254"/>
      <c r="ATM7" s="254"/>
      <c r="ATN7" s="254"/>
      <c r="ATO7" s="254"/>
      <c r="ATP7" s="254"/>
      <c r="ATQ7" s="254"/>
      <c r="ATR7" s="254"/>
      <c r="ATS7" s="254"/>
      <c r="ATT7" s="254"/>
      <c r="ATU7" s="254"/>
      <c r="ATV7" s="254"/>
      <c r="ATW7" s="254"/>
      <c r="ATX7" s="254"/>
      <c r="ATY7" s="254"/>
      <c r="ATZ7" s="254"/>
      <c r="AUA7" s="254"/>
      <c r="AUB7" s="254"/>
      <c r="AUC7" s="254"/>
      <c r="AUD7" s="254"/>
      <c r="AUE7" s="254"/>
      <c r="AUF7" s="254"/>
      <c r="AUG7" s="254"/>
      <c r="AUH7" s="254"/>
      <c r="AUI7" s="254"/>
      <c r="AUJ7" s="254"/>
      <c r="AUK7" s="254"/>
      <c r="AUL7" s="254"/>
      <c r="AUM7" s="254"/>
      <c r="AUN7" s="254"/>
      <c r="AUO7" s="254"/>
      <c r="AUP7" s="254"/>
      <c r="AUQ7" s="254"/>
      <c r="AUR7" s="254"/>
      <c r="AUS7" s="254"/>
      <c r="AUT7" s="254"/>
      <c r="AUU7" s="254"/>
      <c r="AUV7" s="254"/>
      <c r="AUW7" s="254"/>
      <c r="AUX7" s="254"/>
      <c r="AUY7" s="254"/>
      <c r="AUZ7" s="254"/>
      <c r="AVA7" s="254"/>
      <c r="AVB7" s="254"/>
      <c r="AVC7" s="254"/>
      <c r="AVD7" s="254"/>
      <c r="AVE7" s="254"/>
      <c r="AVF7" s="254"/>
      <c r="AVG7" s="254"/>
      <c r="AVH7" s="254"/>
      <c r="AVI7" s="254"/>
      <c r="AVJ7" s="254"/>
      <c r="AVK7" s="254"/>
      <c r="AVL7" s="254"/>
      <c r="AVM7" s="254"/>
      <c r="AVN7" s="254"/>
      <c r="AVO7" s="254"/>
      <c r="AVP7" s="254"/>
      <c r="AVQ7" s="254"/>
      <c r="AVR7" s="254"/>
      <c r="AVS7" s="254"/>
      <c r="AVT7" s="254"/>
      <c r="AVU7" s="254"/>
      <c r="AVV7" s="254"/>
      <c r="AVW7" s="254"/>
      <c r="AVX7" s="254"/>
      <c r="AVY7" s="254"/>
      <c r="AVZ7" s="254"/>
      <c r="AWA7" s="254"/>
      <c r="AWB7" s="254"/>
      <c r="AWC7" s="254"/>
      <c r="AWD7" s="254"/>
      <c r="AWE7" s="254"/>
      <c r="AWF7" s="254"/>
      <c r="AWG7" s="254"/>
      <c r="AWH7" s="254"/>
      <c r="AWI7" s="254"/>
      <c r="AWJ7" s="254"/>
      <c r="AWK7" s="254"/>
      <c r="AWL7" s="254"/>
      <c r="AWM7" s="254"/>
      <c r="AWN7" s="254"/>
      <c r="AWO7" s="254"/>
      <c r="AWP7" s="254"/>
      <c r="AWQ7" s="254"/>
      <c r="AWR7" s="254"/>
      <c r="AWS7" s="254"/>
      <c r="AWT7" s="254"/>
      <c r="AWU7" s="254"/>
      <c r="AWV7" s="254"/>
      <c r="AWW7" s="254"/>
      <c r="AWX7" s="254"/>
      <c r="AWY7" s="254"/>
      <c r="AWZ7" s="254"/>
      <c r="AXA7" s="254"/>
      <c r="AXB7" s="254"/>
      <c r="AXC7" s="254"/>
      <c r="AXD7" s="254"/>
      <c r="AXE7" s="254"/>
      <c r="AXF7" s="254"/>
      <c r="AXG7" s="254"/>
      <c r="AXH7" s="254"/>
      <c r="AXI7" s="254"/>
      <c r="AXJ7" s="254"/>
      <c r="AXK7" s="254"/>
      <c r="AXL7" s="254"/>
      <c r="AXM7" s="254"/>
      <c r="AXN7" s="254"/>
      <c r="AXO7" s="254"/>
      <c r="AXP7" s="254"/>
      <c r="AXQ7" s="254"/>
      <c r="AXR7" s="254"/>
      <c r="AXS7" s="254"/>
      <c r="AXT7" s="254"/>
      <c r="AXU7" s="254"/>
      <c r="AXV7" s="254"/>
      <c r="AXW7" s="254"/>
      <c r="AXX7" s="254"/>
      <c r="AXY7" s="254"/>
      <c r="AXZ7" s="254"/>
      <c r="AYA7" s="254"/>
      <c r="AYB7" s="254"/>
      <c r="AYC7" s="254"/>
      <c r="AYD7" s="254"/>
      <c r="AYE7" s="254"/>
      <c r="AYF7" s="254"/>
      <c r="AYG7" s="254"/>
      <c r="AYH7" s="254"/>
      <c r="AYI7" s="254"/>
      <c r="AYJ7" s="254"/>
      <c r="AYK7" s="254"/>
      <c r="AYL7" s="254"/>
      <c r="AYM7" s="254"/>
      <c r="AYN7" s="254"/>
      <c r="AYO7" s="254"/>
      <c r="AYP7" s="254"/>
      <c r="AYQ7" s="254"/>
      <c r="AYR7" s="254"/>
      <c r="AYS7" s="254"/>
      <c r="AYT7" s="254"/>
      <c r="AYU7" s="254"/>
      <c r="AYV7" s="254"/>
      <c r="AYW7" s="254"/>
      <c r="AYX7" s="254"/>
      <c r="AYY7" s="254"/>
      <c r="AYZ7" s="254"/>
      <c r="AZA7" s="254"/>
      <c r="AZB7" s="254"/>
      <c r="AZC7" s="254"/>
      <c r="AZD7" s="254"/>
      <c r="AZE7" s="254"/>
      <c r="AZF7" s="254"/>
      <c r="AZG7" s="254"/>
      <c r="AZH7" s="254"/>
      <c r="AZI7" s="254"/>
      <c r="AZJ7" s="254"/>
      <c r="AZK7" s="254"/>
      <c r="AZL7" s="254"/>
      <c r="AZM7" s="254"/>
      <c r="AZN7" s="254"/>
      <c r="AZO7" s="254"/>
      <c r="AZP7" s="254"/>
      <c r="AZQ7" s="254"/>
      <c r="AZR7" s="254"/>
      <c r="AZS7" s="254"/>
      <c r="AZT7" s="254"/>
      <c r="AZU7" s="254"/>
      <c r="AZV7" s="254"/>
      <c r="AZW7" s="254"/>
      <c r="AZX7" s="254"/>
      <c r="AZY7" s="254"/>
      <c r="AZZ7" s="254"/>
      <c r="BAA7" s="254"/>
      <c r="BAB7" s="254"/>
      <c r="BAC7" s="254"/>
      <c r="BAD7" s="254"/>
      <c r="BAE7" s="254"/>
      <c r="BAF7" s="254"/>
      <c r="BAG7" s="254"/>
      <c r="BAH7" s="254"/>
      <c r="BAI7" s="254"/>
      <c r="BAJ7" s="254"/>
      <c r="BAK7" s="254"/>
      <c r="BAL7" s="254"/>
      <c r="BAM7" s="254"/>
      <c r="BAN7" s="254"/>
      <c r="BAO7" s="254"/>
      <c r="BAP7" s="254"/>
      <c r="BAQ7" s="254"/>
      <c r="BAR7" s="254"/>
      <c r="BAS7" s="254"/>
      <c r="BAT7" s="254"/>
      <c r="BAU7" s="254"/>
      <c r="BAV7" s="254"/>
      <c r="BAW7" s="254"/>
      <c r="BAX7" s="254"/>
      <c r="BAY7" s="254"/>
      <c r="BAZ7" s="254"/>
      <c r="BBA7" s="254"/>
      <c r="BBB7" s="254"/>
      <c r="BBC7" s="254"/>
      <c r="BBD7" s="254"/>
      <c r="BBE7" s="254"/>
      <c r="BBF7" s="254"/>
      <c r="BBG7" s="254"/>
      <c r="BBH7" s="254"/>
      <c r="BBI7" s="254"/>
      <c r="BBJ7" s="254"/>
      <c r="BBK7" s="254"/>
      <c r="BBL7" s="254"/>
      <c r="BBM7" s="254"/>
      <c r="BBN7" s="254"/>
      <c r="BBO7" s="254"/>
      <c r="BBP7" s="254"/>
      <c r="BBQ7" s="254"/>
      <c r="BBR7" s="254"/>
      <c r="BBS7" s="254"/>
      <c r="BBT7" s="254"/>
      <c r="BBU7" s="254"/>
      <c r="BBV7" s="254"/>
      <c r="BBW7" s="254"/>
      <c r="BBX7" s="254"/>
      <c r="BBY7" s="254"/>
      <c r="BBZ7" s="254"/>
      <c r="BCA7" s="254"/>
      <c r="BCB7" s="254"/>
      <c r="BCC7" s="254"/>
      <c r="BCD7" s="254"/>
      <c r="BCE7" s="254"/>
      <c r="BCF7" s="254"/>
      <c r="BCG7" s="254"/>
      <c r="BCH7" s="254"/>
      <c r="BCI7" s="254"/>
      <c r="BCJ7" s="254"/>
      <c r="BCK7" s="254"/>
      <c r="BCL7" s="254"/>
      <c r="BCM7" s="254"/>
      <c r="BCN7" s="254"/>
      <c r="BCO7" s="254"/>
      <c r="BCP7" s="254"/>
      <c r="BCQ7" s="254"/>
      <c r="BCR7" s="254"/>
      <c r="BCS7" s="254"/>
      <c r="BCT7" s="254"/>
      <c r="BCU7" s="254"/>
      <c r="BCV7" s="254"/>
      <c r="BCW7" s="254"/>
      <c r="BCX7" s="254"/>
      <c r="BCY7" s="254"/>
      <c r="BCZ7" s="254"/>
      <c r="BDA7" s="254"/>
      <c r="BDB7" s="254"/>
      <c r="BDC7" s="254"/>
      <c r="BDD7" s="254"/>
      <c r="BDE7" s="254"/>
      <c r="BDF7" s="254"/>
      <c r="BDG7" s="254"/>
      <c r="BDH7" s="254"/>
      <c r="BDI7" s="254"/>
      <c r="BDJ7" s="254"/>
      <c r="BDK7" s="254"/>
      <c r="BDL7" s="254"/>
      <c r="BDM7" s="254"/>
      <c r="BDN7" s="254"/>
      <c r="BDO7" s="254"/>
      <c r="BDP7" s="254"/>
      <c r="BDQ7" s="254"/>
      <c r="BDR7" s="254"/>
      <c r="BDS7" s="254"/>
      <c r="BDT7" s="254"/>
      <c r="BDU7" s="254"/>
      <c r="BDV7" s="254"/>
      <c r="BDW7" s="254"/>
      <c r="BDX7" s="254"/>
      <c r="BDY7" s="254"/>
      <c r="BDZ7" s="254"/>
      <c r="BEA7" s="254"/>
      <c r="BEB7" s="254"/>
      <c r="BEC7" s="254"/>
      <c r="BED7" s="254"/>
      <c r="BEE7" s="254"/>
      <c r="BEF7" s="254"/>
      <c r="BEG7" s="254"/>
      <c r="BEH7" s="254"/>
      <c r="BEI7" s="254"/>
      <c r="BEJ7" s="254"/>
      <c r="BEK7" s="254"/>
      <c r="BEL7" s="254"/>
      <c r="BEM7" s="254"/>
      <c r="BEN7" s="254"/>
      <c r="BEO7" s="254"/>
      <c r="BEP7" s="254"/>
      <c r="BEQ7" s="254"/>
      <c r="BER7" s="254"/>
      <c r="BES7" s="254"/>
      <c r="BET7" s="254"/>
      <c r="BEU7" s="254"/>
      <c r="BEV7" s="254"/>
      <c r="BEW7" s="254"/>
      <c r="BEX7" s="254"/>
      <c r="BEY7" s="254"/>
      <c r="BEZ7" s="254"/>
      <c r="BFA7" s="254"/>
      <c r="BFB7" s="254"/>
      <c r="BFC7" s="254"/>
      <c r="BFD7" s="254"/>
      <c r="BFE7" s="254"/>
      <c r="BFF7" s="254"/>
      <c r="BFG7" s="254"/>
      <c r="BFH7" s="254"/>
      <c r="BFI7" s="254"/>
      <c r="BFJ7" s="254"/>
      <c r="BFK7" s="254"/>
      <c r="BFL7" s="254"/>
      <c r="BFM7" s="254"/>
      <c r="BFN7" s="254"/>
      <c r="BFO7" s="254"/>
      <c r="BFP7" s="254"/>
      <c r="BFQ7" s="254"/>
      <c r="BFR7" s="254"/>
      <c r="BFS7" s="254"/>
      <c r="BFT7" s="254"/>
      <c r="BFU7" s="254"/>
      <c r="BFV7" s="254"/>
      <c r="BFW7" s="254"/>
      <c r="BFX7" s="254"/>
      <c r="BFY7" s="254"/>
      <c r="BFZ7" s="254"/>
      <c r="BGA7" s="254"/>
      <c r="BGB7" s="254"/>
      <c r="BGC7" s="254"/>
      <c r="BGD7" s="254"/>
      <c r="BGE7" s="254"/>
      <c r="BGF7" s="254"/>
      <c r="BGG7" s="254"/>
      <c r="BGH7" s="254"/>
      <c r="BGI7" s="254"/>
      <c r="BGJ7" s="254"/>
      <c r="BGK7" s="254"/>
      <c r="BGL7" s="254"/>
      <c r="BGM7" s="254"/>
      <c r="BGN7" s="254"/>
      <c r="BGO7" s="254"/>
      <c r="BGP7" s="254"/>
      <c r="BGQ7" s="254"/>
      <c r="BGR7" s="254"/>
      <c r="BGS7" s="254"/>
      <c r="BGT7" s="254"/>
      <c r="BGU7" s="254"/>
      <c r="BGV7" s="254"/>
      <c r="BGW7" s="254"/>
      <c r="BGX7" s="254"/>
      <c r="BGY7" s="254"/>
      <c r="BGZ7" s="254"/>
      <c r="BHA7" s="254"/>
      <c r="BHB7" s="254"/>
      <c r="BHC7" s="254"/>
      <c r="BHD7" s="254"/>
      <c r="BHE7" s="254"/>
      <c r="BHF7" s="254"/>
      <c r="BHG7" s="254"/>
      <c r="BHH7" s="254"/>
      <c r="BHI7" s="254"/>
      <c r="BHJ7" s="254"/>
      <c r="BHK7" s="254"/>
      <c r="BHL7" s="254"/>
      <c r="BHM7" s="254"/>
      <c r="BHN7" s="254"/>
      <c r="BHO7" s="254"/>
      <c r="BHP7" s="254"/>
      <c r="BHQ7" s="254"/>
      <c r="BHR7" s="254"/>
      <c r="BHS7" s="254"/>
      <c r="BHT7" s="254"/>
      <c r="BHU7" s="254"/>
      <c r="BHV7" s="254"/>
      <c r="BHW7" s="254"/>
      <c r="BHX7" s="254"/>
      <c r="BHY7" s="254"/>
      <c r="BHZ7" s="254"/>
      <c r="BIA7" s="254"/>
      <c r="BIB7" s="254"/>
      <c r="BIC7" s="254"/>
      <c r="BID7" s="254"/>
      <c r="BIE7" s="254"/>
      <c r="BIF7" s="254"/>
      <c r="BIG7" s="254"/>
      <c r="BIH7" s="254"/>
      <c r="BII7" s="254"/>
      <c r="BIJ7" s="254"/>
      <c r="BIK7" s="254"/>
      <c r="BIL7" s="254"/>
      <c r="BIM7" s="254"/>
      <c r="BIN7" s="254"/>
      <c r="BIO7" s="254"/>
      <c r="BIP7" s="254"/>
      <c r="BIQ7" s="254"/>
      <c r="BIR7" s="254"/>
      <c r="BIS7" s="254"/>
      <c r="BIT7" s="254"/>
      <c r="BIU7" s="254"/>
      <c r="BIV7" s="254"/>
      <c r="BIW7" s="254"/>
      <c r="BIX7" s="254"/>
      <c r="BIY7" s="254"/>
      <c r="BIZ7" s="254"/>
      <c r="BJA7" s="254"/>
      <c r="BJB7" s="254"/>
      <c r="BJC7" s="254"/>
      <c r="BJD7" s="254"/>
      <c r="BJE7" s="254"/>
      <c r="BJF7" s="254"/>
      <c r="BJG7" s="254"/>
      <c r="BJH7" s="254"/>
      <c r="BJI7" s="254"/>
      <c r="BJJ7" s="254"/>
      <c r="BJK7" s="254"/>
      <c r="BJL7" s="254"/>
      <c r="BJM7" s="254"/>
      <c r="BJN7" s="254"/>
      <c r="BJO7" s="254"/>
      <c r="BJP7" s="254"/>
      <c r="BJQ7" s="254"/>
      <c r="BJR7" s="254"/>
      <c r="BJS7" s="254"/>
      <c r="BJT7" s="254"/>
      <c r="BJU7" s="254"/>
      <c r="BJV7" s="254"/>
      <c r="BJW7" s="254"/>
      <c r="BJX7" s="254"/>
      <c r="BJY7" s="254"/>
      <c r="BJZ7" s="254"/>
      <c r="BKA7" s="254"/>
      <c r="BKB7" s="254"/>
      <c r="BKC7" s="254"/>
      <c r="BKD7" s="254"/>
      <c r="BKE7" s="254"/>
      <c r="BKF7" s="254"/>
      <c r="BKG7" s="254"/>
      <c r="BKH7" s="254"/>
      <c r="BKI7" s="254"/>
      <c r="BKJ7" s="254"/>
      <c r="BKK7" s="254"/>
      <c r="BKL7" s="254"/>
      <c r="BKM7" s="254"/>
      <c r="BKN7" s="254"/>
      <c r="BKO7" s="254"/>
      <c r="BKP7" s="254"/>
      <c r="BKQ7" s="254"/>
      <c r="BKR7" s="254"/>
      <c r="BKS7" s="254"/>
      <c r="BKT7" s="254"/>
      <c r="BKU7" s="254"/>
      <c r="BKV7" s="254"/>
      <c r="BKW7" s="254"/>
      <c r="BKX7" s="254"/>
      <c r="BKY7" s="254"/>
      <c r="BKZ7" s="254"/>
      <c r="BLA7" s="254"/>
      <c r="BLB7" s="254"/>
      <c r="BLC7" s="254"/>
      <c r="BLD7" s="254"/>
      <c r="BLE7" s="254"/>
      <c r="BLF7" s="254"/>
      <c r="BLG7" s="254"/>
      <c r="BLH7" s="254"/>
      <c r="BLI7" s="254"/>
      <c r="BLJ7" s="254"/>
      <c r="BLK7" s="254"/>
      <c r="BLL7" s="254"/>
      <c r="BLM7" s="254"/>
      <c r="BLN7" s="254"/>
      <c r="BLO7" s="254"/>
      <c r="BLP7" s="254"/>
      <c r="BLQ7" s="254"/>
      <c r="BLR7" s="254"/>
      <c r="BLS7" s="254"/>
      <c r="BLT7" s="254"/>
      <c r="BLU7" s="254"/>
      <c r="BLV7" s="254"/>
      <c r="BLW7" s="254"/>
      <c r="BLX7" s="254"/>
      <c r="BLY7" s="254"/>
      <c r="BLZ7" s="254"/>
      <c r="BMA7" s="254"/>
      <c r="BMB7" s="254"/>
      <c r="BMC7" s="254"/>
      <c r="BMD7" s="254"/>
      <c r="BME7" s="254"/>
      <c r="BMF7" s="254"/>
      <c r="BMG7" s="254"/>
      <c r="BMH7" s="254"/>
      <c r="BMI7" s="254"/>
      <c r="BMJ7" s="254"/>
      <c r="BMK7" s="254"/>
      <c r="BML7" s="254"/>
      <c r="BMM7" s="254"/>
      <c r="BMN7" s="254"/>
      <c r="BMO7" s="254"/>
      <c r="BMP7" s="254"/>
      <c r="BMQ7" s="254"/>
      <c r="BMR7" s="254"/>
      <c r="BMS7" s="254"/>
      <c r="BMT7" s="254"/>
      <c r="BMU7" s="254"/>
      <c r="BMV7" s="254"/>
      <c r="BMW7" s="254"/>
      <c r="BMX7" s="254"/>
      <c r="BMY7" s="254"/>
      <c r="BMZ7" s="254"/>
      <c r="BNA7" s="254"/>
      <c r="BNB7" s="254"/>
      <c r="BNC7" s="254"/>
      <c r="BND7" s="254"/>
      <c r="BNE7" s="254"/>
      <c r="BNF7" s="254"/>
      <c r="BNG7" s="254"/>
      <c r="BNH7" s="254"/>
      <c r="BNI7" s="254"/>
      <c r="BNJ7" s="254"/>
      <c r="BNK7" s="254"/>
      <c r="BNL7" s="254"/>
      <c r="BNM7" s="254"/>
      <c r="BNN7" s="254"/>
      <c r="BNO7" s="254"/>
      <c r="BNP7" s="254"/>
      <c r="BNQ7" s="254"/>
      <c r="BNR7" s="254"/>
      <c r="BNS7" s="254"/>
      <c r="BNT7" s="254"/>
      <c r="BNU7" s="254"/>
      <c r="BNV7" s="254"/>
      <c r="BNW7" s="254"/>
      <c r="BNX7" s="254"/>
      <c r="BNY7" s="254"/>
      <c r="BNZ7" s="254"/>
      <c r="BOA7" s="254"/>
      <c r="BOB7" s="254"/>
      <c r="BOC7" s="254"/>
      <c r="BOD7" s="254"/>
      <c r="BOE7" s="254"/>
      <c r="BOF7" s="254"/>
      <c r="BOG7" s="254"/>
      <c r="BOH7" s="254"/>
      <c r="BOI7" s="254"/>
      <c r="BOJ7" s="254"/>
      <c r="BOK7" s="254"/>
      <c r="BOL7" s="254"/>
      <c r="BOM7" s="254"/>
      <c r="BON7" s="254"/>
      <c r="BOO7" s="254"/>
      <c r="BOP7" s="254"/>
      <c r="BOQ7" s="254"/>
      <c r="BOR7" s="254"/>
      <c r="BOS7" s="254"/>
      <c r="BOT7" s="254"/>
      <c r="BOU7" s="254"/>
      <c r="BOV7" s="254"/>
      <c r="BOW7" s="254"/>
      <c r="BOX7" s="254"/>
      <c r="BOY7" s="254"/>
      <c r="BOZ7" s="254"/>
      <c r="BPA7" s="254"/>
      <c r="BPB7" s="254"/>
      <c r="BPC7" s="254"/>
      <c r="BPD7" s="254"/>
      <c r="BPE7" s="254"/>
      <c r="BPF7" s="254"/>
      <c r="BPG7" s="254"/>
      <c r="BPH7" s="254"/>
      <c r="BPI7" s="254"/>
      <c r="BPJ7" s="254"/>
      <c r="BPK7" s="254"/>
      <c r="BPL7" s="254"/>
      <c r="BPM7" s="254"/>
      <c r="BPN7" s="254"/>
      <c r="BPO7" s="254"/>
      <c r="BPP7" s="254"/>
      <c r="BPQ7" s="254"/>
      <c r="BPR7" s="254"/>
      <c r="BPS7" s="254"/>
      <c r="BPT7" s="254"/>
      <c r="BPU7" s="254"/>
      <c r="BPV7" s="254"/>
      <c r="BPW7" s="254"/>
      <c r="BPX7" s="254"/>
      <c r="BPY7" s="254"/>
      <c r="BPZ7" s="254"/>
      <c r="BQA7" s="254"/>
      <c r="BQB7" s="254"/>
      <c r="BQC7" s="254"/>
      <c r="BQD7" s="254"/>
      <c r="BQE7" s="254"/>
      <c r="BQF7" s="254"/>
      <c r="BQG7" s="254"/>
      <c r="BQH7" s="254"/>
      <c r="BQI7" s="254"/>
      <c r="BQJ7" s="254"/>
      <c r="BQK7" s="254"/>
      <c r="BQL7" s="254"/>
      <c r="BQM7" s="254"/>
      <c r="BQN7" s="254"/>
      <c r="BQO7" s="254"/>
      <c r="BQP7" s="254"/>
      <c r="BQQ7" s="254"/>
      <c r="BQR7" s="254"/>
      <c r="BQS7" s="254"/>
      <c r="BQT7" s="254"/>
      <c r="BQU7" s="254"/>
      <c r="BQV7" s="254"/>
      <c r="BQW7" s="254"/>
      <c r="BQX7" s="254"/>
      <c r="BQY7" s="254"/>
      <c r="BQZ7" s="254"/>
      <c r="BRA7" s="254"/>
      <c r="BRB7" s="254"/>
      <c r="BRC7" s="254"/>
      <c r="BRD7" s="254"/>
      <c r="BRE7" s="254"/>
      <c r="BRF7" s="254"/>
      <c r="BRG7" s="254"/>
      <c r="BRH7" s="254"/>
      <c r="BRI7" s="254"/>
      <c r="BRJ7" s="254"/>
      <c r="BRK7" s="254"/>
      <c r="BRL7" s="254"/>
      <c r="BRM7" s="254"/>
      <c r="BRN7" s="254"/>
      <c r="BRO7" s="254"/>
      <c r="BRP7" s="254"/>
      <c r="BRQ7" s="254"/>
      <c r="BRR7" s="254"/>
      <c r="BRS7" s="254"/>
      <c r="BRT7" s="254"/>
      <c r="BRU7" s="254"/>
      <c r="BRV7" s="254"/>
      <c r="BRW7" s="254"/>
      <c r="BRX7" s="254"/>
      <c r="BRY7" s="254"/>
      <c r="BRZ7" s="254"/>
      <c r="BSA7" s="254"/>
      <c r="BSB7" s="254"/>
      <c r="BSC7" s="254"/>
      <c r="BSD7" s="254"/>
      <c r="BSE7" s="254"/>
      <c r="BSF7" s="254"/>
      <c r="BSG7" s="254"/>
      <c r="BSH7" s="254"/>
      <c r="BSI7" s="254"/>
      <c r="BSJ7" s="254"/>
      <c r="BSK7" s="254"/>
      <c r="BSL7" s="254"/>
      <c r="BSM7" s="254"/>
      <c r="BSN7" s="254"/>
      <c r="BSO7" s="254"/>
      <c r="BSP7" s="254"/>
      <c r="BSQ7" s="254"/>
      <c r="BSR7" s="254"/>
      <c r="BSS7" s="254"/>
      <c r="BST7" s="254"/>
      <c r="BSU7" s="254"/>
      <c r="BSV7" s="254"/>
      <c r="BSW7" s="254"/>
      <c r="BSX7" s="254"/>
      <c r="BSY7" s="254"/>
      <c r="BSZ7" s="254"/>
      <c r="BTA7" s="254"/>
      <c r="BTB7" s="254"/>
      <c r="BTC7" s="254"/>
      <c r="BTD7" s="254"/>
      <c r="BTE7" s="254"/>
      <c r="BTF7" s="254"/>
      <c r="BTG7" s="254"/>
      <c r="BTH7" s="254"/>
      <c r="BTI7" s="254"/>
      <c r="BTJ7" s="254"/>
      <c r="BTK7" s="254"/>
      <c r="BTL7" s="254"/>
      <c r="BTM7" s="254"/>
      <c r="BTN7" s="254"/>
      <c r="BTO7" s="254"/>
      <c r="BTP7" s="254"/>
      <c r="BTQ7" s="254"/>
      <c r="BTR7" s="254"/>
      <c r="BTS7" s="254"/>
      <c r="BTT7" s="254"/>
      <c r="BTU7" s="254"/>
      <c r="BTV7" s="254"/>
      <c r="BTW7" s="254"/>
      <c r="BTX7" s="254"/>
      <c r="BTY7" s="254"/>
      <c r="BTZ7" s="254"/>
      <c r="BUA7" s="254"/>
      <c r="BUB7" s="254"/>
      <c r="BUC7" s="254"/>
      <c r="BUD7" s="254"/>
      <c r="BUE7" s="254"/>
      <c r="BUF7" s="254"/>
      <c r="BUG7" s="254"/>
      <c r="BUH7" s="254"/>
      <c r="BUI7" s="254"/>
      <c r="BUJ7" s="254"/>
      <c r="BUK7" s="254"/>
      <c r="BUL7" s="254"/>
      <c r="BUM7" s="254"/>
      <c r="BUN7" s="254"/>
      <c r="BUO7" s="254"/>
      <c r="BUP7" s="254"/>
      <c r="BUQ7" s="254"/>
      <c r="BUR7" s="254"/>
      <c r="BUS7" s="254"/>
      <c r="BUT7" s="254"/>
      <c r="BUU7" s="254"/>
      <c r="BUV7" s="254"/>
      <c r="BUW7" s="254"/>
      <c r="BUX7" s="254"/>
      <c r="BUY7" s="254"/>
      <c r="BUZ7" s="254"/>
      <c r="BVA7" s="254"/>
      <c r="BVB7" s="254"/>
      <c r="BVC7" s="254"/>
      <c r="BVD7" s="254"/>
      <c r="BVE7" s="254"/>
      <c r="BVF7" s="254"/>
      <c r="BVG7" s="254"/>
      <c r="BVH7" s="254"/>
      <c r="BVI7" s="254"/>
      <c r="BVJ7" s="254"/>
      <c r="BVK7" s="254"/>
      <c r="BVL7" s="254"/>
      <c r="BVM7" s="254"/>
      <c r="BVN7" s="254"/>
      <c r="BVO7" s="254"/>
      <c r="BVP7" s="254"/>
      <c r="BVQ7" s="254"/>
      <c r="BVR7" s="254"/>
      <c r="BVS7" s="254"/>
      <c r="BVT7" s="254"/>
      <c r="BVU7" s="254"/>
      <c r="BVV7" s="254"/>
      <c r="BVW7" s="254"/>
      <c r="BVX7" s="254"/>
      <c r="BVY7" s="254"/>
      <c r="BVZ7" s="254"/>
      <c r="BWA7" s="254"/>
      <c r="BWB7" s="254"/>
      <c r="BWC7" s="254"/>
      <c r="BWD7" s="254"/>
      <c r="BWE7" s="254"/>
      <c r="BWF7" s="254"/>
      <c r="BWG7" s="254"/>
      <c r="BWH7" s="254"/>
      <c r="BWI7" s="254"/>
      <c r="BWJ7" s="254"/>
      <c r="BWK7" s="254"/>
      <c r="BWL7" s="254"/>
      <c r="BWM7" s="254"/>
      <c r="BWN7" s="254"/>
      <c r="BWO7" s="254"/>
      <c r="BWP7" s="254"/>
      <c r="BWQ7" s="254"/>
      <c r="BWR7" s="254"/>
      <c r="BWS7" s="254"/>
      <c r="BWT7" s="254"/>
      <c r="BWU7" s="254"/>
      <c r="BWV7" s="254"/>
      <c r="BWW7" s="254"/>
      <c r="BWX7" s="254"/>
      <c r="BWY7" s="254"/>
      <c r="BWZ7" s="254"/>
      <c r="BXA7" s="254"/>
      <c r="BXB7" s="254"/>
      <c r="BXC7" s="254"/>
      <c r="BXD7" s="254"/>
      <c r="BXE7" s="254"/>
      <c r="BXF7" s="254"/>
      <c r="BXG7" s="254"/>
      <c r="BXH7" s="254"/>
      <c r="BXI7" s="254"/>
      <c r="BXJ7" s="254"/>
      <c r="BXK7" s="254"/>
      <c r="BXL7" s="254"/>
      <c r="BXM7" s="254"/>
      <c r="BXN7" s="254"/>
      <c r="BXO7" s="254"/>
      <c r="BXP7" s="254"/>
      <c r="BXQ7" s="254"/>
      <c r="BXR7" s="254"/>
      <c r="BXS7" s="254"/>
      <c r="BXT7" s="254"/>
      <c r="BXU7" s="254"/>
      <c r="BXV7" s="254"/>
      <c r="BXW7" s="254"/>
      <c r="BXX7" s="254"/>
      <c r="BXY7" s="254"/>
      <c r="BXZ7" s="254"/>
      <c r="BYA7" s="254"/>
      <c r="BYB7" s="254"/>
      <c r="BYC7" s="254"/>
      <c r="BYD7" s="254"/>
      <c r="BYE7" s="254"/>
      <c r="BYF7" s="254"/>
      <c r="BYG7" s="254"/>
      <c r="BYH7" s="254"/>
      <c r="BYI7" s="254"/>
      <c r="BYJ7" s="254"/>
      <c r="BYK7" s="254"/>
      <c r="BYL7" s="254"/>
      <c r="BYM7" s="254"/>
      <c r="BYN7" s="254"/>
      <c r="BYO7" s="254"/>
      <c r="BYP7" s="254"/>
      <c r="BYQ7" s="254"/>
      <c r="BYR7" s="254"/>
      <c r="BYS7" s="254"/>
      <c r="BYT7" s="254"/>
      <c r="BYU7" s="254"/>
      <c r="BYV7" s="254"/>
      <c r="BYW7" s="254"/>
      <c r="BYX7" s="254"/>
      <c r="BYY7" s="254"/>
      <c r="BYZ7" s="254"/>
      <c r="BZA7" s="254"/>
      <c r="BZB7" s="254"/>
      <c r="BZC7" s="254"/>
      <c r="BZD7" s="254"/>
      <c r="BZE7" s="254"/>
      <c r="BZF7" s="254"/>
      <c r="BZG7" s="254"/>
      <c r="BZH7" s="254"/>
      <c r="BZI7" s="254"/>
      <c r="BZJ7" s="254"/>
      <c r="BZK7" s="254"/>
      <c r="BZL7" s="254"/>
      <c r="BZM7" s="254"/>
      <c r="BZN7" s="254"/>
      <c r="BZO7" s="254"/>
      <c r="BZP7" s="254"/>
      <c r="BZQ7" s="254"/>
      <c r="BZR7" s="254"/>
      <c r="BZS7" s="254"/>
      <c r="BZT7" s="254"/>
      <c r="BZU7" s="254"/>
      <c r="BZV7" s="254"/>
      <c r="BZW7" s="254"/>
      <c r="BZX7" s="254"/>
      <c r="BZY7" s="254"/>
      <c r="BZZ7" s="254"/>
      <c r="CAA7" s="254"/>
      <c r="CAB7" s="254"/>
      <c r="CAC7" s="254"/>
      <c r="CAD7" s="254"/>
      <c r="CAE7" s="254"/>
      <c r="CAF7" s="254"/>
      <c r="CAG7" s="254"/>
      <c r="CAH7" s="254"/>
      <c r="CAI7" s="254"/>
      <c r="CAJ7" s="254"/>
      <c r="CAK7" s="254"/>
      <c r="CAL7" s="254"/>
      <c r="CAM7" s="254"/>
      <c r="CAN7" s="254"/>
      <c r="CAO7" s="254"/>
      <c r="CAP7" s="254"/>
      <c r="CAQ7" s="254"/>
      <c r="CAR7" s="254"/>
      <c r="CAS7" s="254"/>
      <c r="CAT7" s="254"/>
      <c r="CAU7" s="254"/>
      <c r="CAV7" s="254"/>
      <c r="CAW7" s="254"/>
      <c r="CAX7" s="254"/>
      <c r="CAY7" s="254"/>
      <c r="CAZ7" s="254"/>
      <c r="CBA7" s="254"/>
      <c r="CBB7" s="254"/>
      <c r="CBC7" s="254"/>
      <c r="CBD7" s="254"/>
      <c r="CBE7" s="254"/>
      <c r="CBF7" s="254"/>
      <c r="CBG7" s="254"/>
      <c r="CBH7" s="254"/>
      <c r="CBI7" s="254"/>
      <c r="CBJ7" s="254"/>
      <c r="CBK7" s="254"/>
      <c r="CBL7" s="254"/>
      <c r="CBM7" s="254"/>
      <c r="CBN7" s="254"/>
      <c r="CBO7" s="254"/>
      <c r="CBP7" s="254"/>
      <c r="CBQ7" s="254"/>
      <c r="CBR7" s="254"/>
      <c r="CBS7" s="254"/>
      <c r="CBT7" s="254"/>
      <c r="CBU7" s="254"/>
      <c r="CBV7" s="254"/>
      <c r="CBW7" s="254"/>
      <c r="CBX7" s="254"/>
      <c r="CBY7" s="254"/>
      <c r="CBZ7" s="254"/>
      <c r="CCA7" s="254"/>
      <c r="CCB7" s="254"/>
      <c r="CCC7" s="254"/>
      <c r="CCD7" s="254"/>
      <c r="CCE7" s="254"/>
      <c r="CCF7" s="254"/>
      <c r="CCG7" s="254"/>
      <c r="CCH7" s="254"/>
      <c r="CCI7" s="254"/>
      <c r="CCJ7" s="254"/>
      <c r="CCK7" s="254"/>
      <c r="CCL7" s="254"/>
      <c r="CCM7" s="254"/>
      <c r="CCN7" s="254"/>
      <c r="CCO7" s="254"/>
      <c r="CCP7" s="254"/>
      <c r="CCQ7" s="254"/>
      <c r="CCR7" s="254"/>
      <c r="CCS7" s="254"/>
      <c r="CCT7" s="254"/>
      <c r="CCU7" s="254"/>
      <c r="CCV7" s="254"/>
      <c r="CCW7" s="254"/>
      <c r="CCX7" s="254"/>
      <c r="CCY7" s="254"/>
      <c r="CCZ7" s="254"/>
      <c r="CDA7" s="254"/>
      <c r="CDB7" s="254"/>
      <c r="CDC7" s="254"/>
      <c r="CDD7" s="254"/>
      <c r="CDE7" s="254"/>
      <c r="CDF7" s="254"/>
      <c r="CDG7" s="254"/>
      <c r="CDH7" s="254"/>
      <c r="CDI7" s="254"/>
      <c r="CDJ7" s="254"/>
      <c r="CDK7" s="254"/>
      <c r="CDL7" s="254"/>
      <c r="CDM7" s="254"/>
      <c r="CDN7" s="254"/>
      <c r="CDO7" s="254"/>
      <c r="CDP7" s="254"/>
      <c r="CDQ7" s="254"/>
      <c r="CDR7" s="254"/>
      <c r="CDS7" s="254"/>
      <c r="CDT7" s="254"/>
      <c r="CDU7" s="254"/>
      <c r="CDV7" s="254"/>
      <c r="CDW7" s="254"/>
      <c r="CDX7" s="254"/>
      <c r="CDY7" s="254"/>
      <c r="CDZ7" s="254"/>
      <c r="CEA7" s="254"/>
      <c r="CEB7" s="254"/>
      <c r="CEC7" s="254"/>
      <c r="CED7" s="254"/>
      <c r="CEE7" s="254"/>
      <c r="CEF7" s="254"/>
      <c r="CEG7" s="254"/>
      <c r="CEH7" s="254"/>
      <c r="CEI7" s="254"/>
      <c r="CEJ7" s="254"/>
      <c r="CEK7" s="254"/>
      <c r="CEL7" s="254"/>
      <c r="CEM7" s="254"/>
      <c r="CEN7" s="254"/>
      <c r="CEO7" s="254"/>
      <c r="CEP7" s="254"/>
      <c r="CEQ7" s="254"/>
      <c r="CER7" s="254"/>
      <c r="CES7" s="254"/>
      <c r="CET7" s="254"/>
      <c r="CEU7" s="254"/>
      <c r="CEV7" s="254"/>
      <c r="CEW7" s="254"/>
      <c r="CEX7" s="254"/>
      <c r="CEY7" s="254"/>
      <c r="CEZ7" s="254"/>
      <c r="CFA7" s="254"/>
      <c r="CFB7" s="254"/>
      <c r="CFC7" s="254"/>
      <c r="CFD7" s="254"/>
      <c r="CFE7" s="254"/>
      <c r="CFF7" s="254"/>
      <c r="CFG7" s="254"/>
      <c r="CFH7" s="254"/>
      <c r="CFI7" s="254"/>
      <c r="CFJ7" s="254"/>
      <c r="CFK7" s="254"/>
      <c r="CFL7" s="254"/>
      <c r="CFM7" s="254"/>
      <c r="CFN7" s="254"/>
      <c r="CFO7" s="254"/>
      <c r="CFP7" s="254"/>
      <c r="CFQ7" s="254"/>
      <c r="CFR7" s="254"/>
      <c r="CFS7" s="254"/>
      <c r="CFT7" s="254"/>
      <c r="CFU7" s="254"/>
      <c r="CFV7" s="254"/>
      <c r="CFW7" s="254"/>
      <c r="CFX7" s="254"/>
      <c r="CFY7" s="254"/>
      <c r="CFZ7" s="254"/>
      <c r="CGA7" s="254"/>
      <c r="CGB7" s="254"/>
      <c r="CGC7" s="254"/>
      <c r="CGD7" s="254"/>
      <c r="CGE7" s="254"/>
      <c r="CGF7" s="254"/>
      <c r="CGG7" s="254"/>
      <c r="CGH7" s="254"/>
      <c r="CGI7" s="254"/>
      <c r="CGJ7" s="254"/>
      <c r="CGK7" s="254"/>
      <c r="CGL7" s="254"/>
      <c r="CGM7" s="254"/>
      <c r="CGN7" s="254"/>
      <c r="CGO7" s="254"/>
      <c r="CGP7" s="254"/>
      <c r="CGQ7" s="254"/>
      <c r="CGR7" s="254"/>
      <c r="CGS7" s="254"/>
      <c r="CGT7" s="254"/>
      <c r="CGU7" s="254"/>
      <c r="CGV7" s="254"/>
      <c r="CGW7" s="254"/>
      <c r="CGX7" s="254"/>
      <c r="CGY7" s="254"/>
      <c r="CGZ7" s="254"/>
      <c r="CHA7" s="254"/>
      <c r="CHB7" s="254"/>
      <c r="CHC7" s="254"/>
      <c r="CHD7" s="254"/>
      <c r="CHE7" s="254"/>
      <c r="CHF7" s="254"/>
      <c r="CHG7" s="254"/>
      <c r="CHH7" s="254"/>
      <c r="CHI7" s="254"/>
      <c r="CHJ7" s="254"/>
      <c r="CHK7" s="254"/>
      <c r="CHL7" s="254"/>
      <c r="CHM7" s="254"/>
      <c r="CHN7" s="254"/>
      <c r="CHO7" s="254"/>
      <c r="CHP7" s="254"/>
      <c r="CHQ7" s="254"/>
      <c r="CHR7" s="254"/>
      <c r="CHS7" s="254"/>
      <c r="CHT7" s="254"/>
      <c r="CHU7" s="254"/>
      <c r="CHV7" s="254"/>
      <c r="CHW7" s="254"/>
      <c r="CHX7" s="254"/>
      <c r="CHY7" s="254"/>
      <c r="CHZ7" s="254"/>
      <c r="CIA7" s="254"/>
      <c r="CIB7" s="254"/>
      <c r="CIC7" s="254"/>
      <c r="CID7" s="254"/>
      <c r="CIE7" s="254"/>
      <c r="CIF7" s="254"/>
      <c r="CIG7" s="254"/>
      <c r="CIH7" s="254"/>
      <c r="CII7" s="254"/>
      <c r="CIJ7" s="254"/>
      <c r="CIK7" s="254"/>
      <c r="CIL7" s="254"/>
      <c r="CIM7" s="254"/>
      <c r="CIN7" s="254"/>
      <c r="CIO7" s="254"/>
      <c r="CIP7" s="254"/>
      <c r="CIQ7" s="254"/>
      <c r="CIR7" s="254"/>
      <c r="CIS7" s="254"/>
      <c r="CIT7" s="254"/>
      <c r="CIU7" s="254"/>
      <c r="CIV7" s="254"/>
      <c r="CIW7" s="254"/>
      <c r="CIX7" s="254"/>
      <c r="CIY7" s="254"/>
      <c r="CIZ7" s="254"/>
      <c r="CJA7" s="254"/>
      <c r="CJB7" s="254"/>
      <c r="CJC7" s="254"/>
      <c r="CJD7" s="254"/>
      <c r="CJE7" s="254"/>
      <c r="CJF7" s="254"/>
      <c r="CJG7" s="254"/>
      <c r="CJH7" s="254"/>
      <c r="CJI7" s="254"/>
      <c r="CJJ7" s="254"/>
      <c r="CJK7" s="254"/>
      <c r="CJL7" s="254"/>
      <c r="CJM7" s="254"/>
      <c r="CJN7" s="254"/>
      <c r="CJO7" s="254"/>
      <c r="CJP7" s="254"/>
      <c r="CJQ7" s="254"/>
      <c r="CJR7" s="254"/>
      <c r="CJS7" s="254"/>
      <c r="CJT7" s="254"/>
      <c r="CJU7" s="254"/>
      <c r="CJV7" s="254"/>
      <c r="CJW7" s="254"/>
      <c r="CJX7" s="254"/>
      <c r="CJY7" s="254"/>
      <c r="CJZ7" s="254"/>
      <c r="CKA7" s="254"/>
      <c r="CKB7" s="254"/>
      <c r="CKC7" s="254"/>
      <c r="CKD7" s="254"/>
      <c r="CKE7" s="254"/>
      <c r="CKF7" s="254"/>
      <c r="CKG7" s="254"/>
      <c r="CKH7" s="254"/>
      <c r="CKI7" s="254"/>
      <c r="CKJ7" s="254"/>
      <c r="CKK7" s="254"/>
      <c r="CKL7" s="254"/>
      <c r="CKM7" s="254"/>
      <c r="CKN7" s="254"/>
      <c r="CKO7" s="254"/>
      <c r="CKP7" s="254"/>
      <c r="CKQ7" s="254"/>
      <c r="CKR7" s="254"/>
      <c r="CKS7" s="254"/>
      <c r="CKT7" s="254"/>
      <c r="CKU7" s="254"/>
      <c r="CKV7" s="254"/>
      <c r="CKW7" s="254"/>
      <c r="CKX7" s="254"/>
      <c r="CKY7" s="254"/>
      <c r="CKZ7" s="254"/>
      <c r="CLA7" s="254"/>
      <c r="CLB7" s="254"/>
      <c r="CLC7" s="254"/>
      <c r="CLD7" s="254"/>
      <c r="CLE7" s="254"/>
      <c r="CLF7" s="254"/>
      <c r="CLG7" s="254"/>
      <c r="CLH7" s="254"/>
      <c r="CLI7" s="254"/>
      <c r="CLJ7" s="254"/>
      <c r="CLK7" s="254"/>
      <c r="CLL7" s="254"/>
      <c r="CLM7" s="254"/>
      <c r="CLN7" s="254"/>
      <c r="CLO7" s="254"/>
      <c r="CLP7" s="254"/>
      <c r="CLQ7" s="254"/>
      <c r="CLR7" s="254"/>
      <c r="CLS7" s="254"/>
      <c r="CLT7" s="254"/>
      <c r="CLU7" s="254"/>
      <c r="CLV7" s="254"/>
      <c r="CLW7" s="254"/>
      <c r="CLX7" s="254"/>
      <c r="CLY7" s="254"/>
      <c r="CLZ7" s="254"/>
      <c r="CMA7" s="254"/>
      <c r="CMB7" s="254"/>
      <c r="CMC7" s="254"/>
      <c r="CMD7" s="254"/>
      <c r="CME7" s="254"/>
      <c r="CMF7" s="254"/>
      <c r="CMG7" s="254"/>
      <c r="CMH7" s="254"/>
      <c r="CMI7" s="254"/>
      <c r="CMJ7" s="254"/>
      <c r="CMK7" s="254"/>
      <c r="CML7" s="254"/>
      <c r="CMM7" s="254"/>
      <c r="CMN7" s="254"/>
      <c r="CMO7" s="254"/>
      <c r="CMP7" s="254"/>
      <c r="CMQ7" s="254"/>
      <c r="CMR7" s="254"/>
      <c r="CMS7" s="254"/>
      <c r="CMT7" s="254"/>
      <c r="CMU7" s="254"/>
      <c r="CMV7" s="254"/>
      <c r="CMW7" s="254"/>
      <c r="CMX7" s="254"/>
      <c r="CMY7" s="254"/>
      <c r="CMZ7" s="254"/>
      <c r="CNA7" s="254"/>
      <c r="CNB7" s="254"/>
      <c r="CNC7" s="254"/>
      <c r="CND7" s="254"/>
      <c r="CNE7" s="254"/>
      <c r="CNF7" s="254"/>
      <c r="CNG7" s="254"/>
      <c r="CNH7" s="254"/>
      <c r="CNI7" s="254"/>
      <c r="CNJ7" s="254"/>
      <c r="CNK7" s="254"/>
      <c r="CNL7" s="254"/>
      <c r="CNM7" s="254"/>
      <c r="CNN7" s="254"/>
      <c r="CNO7" s="254"/>
      <c r="CNP7" s="254"/>
      <c r="CNQ7" s="254"/>
      <c r="CNR7" s="254"/>
      <c r="CNS7" s="254"/>
      <c r="CNT7" s="254"/>
      <c r="CNU7" s="254"/>
      <c r="CNV7" s="254"/>
      <c r="CNW7" s="254"/>
      <c r="CNX7" s="254"/>
      <c r="CNY7" s="254"/>
      <c r="CNZ7" s="254"/>
      <c r="COA7" s="254"/>
      <c r="COB7" s="254"/>
      <c r="COC7" s="254"/>
      <c r="COD7" s="254"/>
      <c r="COE7" s="254"/>
      <c r="COF7" s="254"/>
      <c r="COG7" s="254"/>
      <c r="COH7" s="254"/>
      <c r="COI7" s="254"/>
      <c r="COJ7" s="254"/>
      <c r="COK7" s="254"/>
      <c r="COL7" s="254"/>
      <c r="COM7" s="254"/>
      <c r="CON7" s="254"/>
      <c r="COO7" s="254"/>
      <c r="COP7" s="254"/>
      <c r="COQ7" s="254"/>
      <c r="COR7" s="254"/>
      <c r="COS7" s="254"/>
      <c r="COT7" s="254"/>
      <c r="COU7" s="254"/>
      <c r="COV7" s="254"/>
      <c r="COW7" s="254"/>
      <c r="COX7" s="254"/>
      <c r="COY7" s="254"/>
      <c r="COZ7" s="254"/>
      <c r="CPA7" s="254"/>
      <c r="CPB7" s="254"/>
      <c r="CPC7" s="254"/>
      <c r="CPD7" s="254"/>
      <c r="CPE7" s="254"/>
      <c r="CPF7" s="254"/>
      <c r="CPG7" s="254"/>
      <c r="CPH7" s="254"/>
      <c r="CPI7" s="254"/>
      <c r="CPJ7" s="254"/>
      <c r="CPK7" s="254"/>
      <c r="CPL7" s="254"/>
      <c r="CPM7" s="254"/>
      <c r="CPN7" s="254"/>
      <c r="CPO7" s="254"/>
      <c r="CPP7" s="254"/>
      <c r="CPQ7" s="254"/>
      <c r="CPR7" s="254"/>
      <c r="CPS7" s="254"/>
      <c r="CPT7" s="254"/>
      <c r="CPU7" s="254"/>
      <c r="CPV7" s="254"/>
      <c r="CPW7" s="254"/>
      <c r="CPX7" s="254"/>
      <c r="CPY7" s="254"/>
      <c r="CPZ7" s="254"/>
      <c r="CQA7" s="254"/>
      <c r="CQB7" s="254"/>
      <c r="CQC7" s="254"/>
      <c r="CQD7" s="254"/>
      <c r="CQE7" s="254"/>
      <c r="CQF7" s="254"/>
      <c r="CQG7" s="254"/>
      <c r="CQH7" s="254"/>
      <c r="CQI7" s="254"/>
      <c r="CQJ7" s="254"/>
      <c r="CQK7" s="254"/>
      <c r="CQL7" s="254"/>
      <c r="CQM7" s="254"/>
      <c r="CQN7" s="254"/>
      <c r="CQO7" s="254"/>
      <c r="CQP7" s="254"/>
      <c r="CQQ7" s="254"/>
      <c r="CQR7" s="254"/>
      <c r="CQS7" s="254"/>
      <c r="CQT7" s="254"/>
      <c r="CQU7" s="254"/>
      <c r="CQV7" s="254"/>
      <c r="CQW7" s="254"/>
      <c r="CQX7" s="254"/>
      <c r="CQY7" s="254"/>
      <c r="CQZ7" s="254"/>
      <c r="CRA7" s="254"/>
      <c r="CRB7" s="254"/>
      <c r="CRC7" s="254"/>
      <c r="CRD7" s="254"/>
      <c r="CRE7" s="254"/>
      <c r="CRF7" s="254"/>
      <c r="CRG7" s="254"/>
      <c r="CRH7" s="254"/>
      <c r="CRI7" s="254"/>
      <c r="CRJ7" s="254"/>
      <c r="CRK7" s="254"/>
      <c r="CRL7" s="254"/>
      <c r="CRM7" s="254"/>
      <c r="CRN7" s="254"/>
      <c r="CRO7" s="254"/>
      <c r="CRP7" s="254"/>
      <c r="CRQ7" s="254"/>
      <c r="CRR7" s="254"/>
      <c r="CRS7" s="254"/>
      <c r="CRT7" s="254"/>
      <c r="CRU7" s="254"/>
      <c r="CRV7" s="254"/>
      <c r="CRW7" s="254"/>
      <c r="CRX7" s="254"/>
      <c r="CRY7" s="254"/>
      <c r="CRZ7" s="254"/>
      <c r="CSA7" s="254"/>
      <c r="CSB7" s="254"/>
      <c r="CSC7" s="254"/>
      <c r="CSD7" s="254"/>
      <c r="CSE7" s="254"/>
      <c r="CSF7" s="254"/>
      <c r="CSG7" s="254"/>
      <c r="CSH7" s="254"/>
      <c r="CSI7" s="254"/>
      <c r="CSJ7" s="254"/>
      <c r="CSK7" s="254"/>
      <c r="CSL7" s="254"/>
      <c r="CSM7" s="254"/>
      <c r="CSN7" s="254"/>
      <c r="CSO7" s="254"/>
      <c r="CSP7" s="254"/>
      <c r="CSQ7" s="254"/>
      <c r="CSR7" s="254"/>
      <c r="CSS7" s="254"/>
      <c r="CST7" s="254"/>
      <c r="CSU7" s="254"/>
      <c r="CSV7" s="254"/>
      <c r="CSW7" s="254"/>
      <c r="CSX7" s="254"/>
      <c r="CSY7" s="254"/>
      <c r="CSZ7" s="254"/>
      <c r="CTA7" s="254"/>
      <c r="CTB7" s="254"/>
      <c r="CTC7" s="254"/>
      <c r="CTD7" s="254"/>
      <c r="CTE7" s="254"/>
      <c r="CTF7" s="254"/>
      <c r="CTG7" s="254"/>
      <c r="CTH7" s="254"/>
      <c r="CTI7" s="254"/>
      <c r="CTJ7" s="254"/>
      <c r="CTK7" s="254"/>
      <c r="CTL7" s="254"/>
      <c r="CTM7" s="254"/>
      <c r="CTN7" s="254"/>
      <c r="CTO7" s="254"/>
      <c r="CTP7" s="254"/>
      <c r="CTQ7" s="254"/>
      <c r="CTR7" s="254"/>
      <c r="CTS7" s="254"/>
      <c r="CTT7" s="254"/>
      <c r="CTU7" s="254"/>
      <c r="CTV7" s="254"/>
      <c r="CTW7" s="254"/>
      <c r="CTX7" s="254"/>
      <c r="CTY7" s="254"/>
      <c r="CTZ7" s="254"/>
      <c r="CUA7" s="254"/>
      <c r="CUB7" s="254"/>
      <c r="CUC7" s="254"/>
      <c r="CUD7" s="254"/>
      <c r="CUE7" s="254"/>
      <c r="CUF7" s="254"/>
      <c r="CUG7" s="254"/>
      <c r="CUH7" s="254"/>
      <c r="CUI7" s="254"/>
      <c r="CUJ7" s="254"/>
      <c r="CUK7" s="254"/>
      <c r="CUL7" s="254"/>
      <c r="CUM7" s="254"/>
      <c r="CUN7" s="254"/>
      <c r="CUO7" s="254"/>
      <c r="CUP7" s="254"/>
      <c r="CUQ7" s="254"/>
      <c r="CUR7" s="254"/>
      <c r="CUS7" s="254"/>
      <c r="CUT7" s="254"/>
      <c r="CUU7" s="254"/>
      <c r="CUV7" s="254"/>
      <c r="CUW7" s="254"/>
      <c r="CUX7" s="254"/>
      <c r="CUY7" s="254"/>
      <c r="CUZ7" s="254"/>
      <c r="CVA7" s="254"/>
      <c r="CVB7" s="254"/>
      <c r="CVC7" s="254"/>
      <c r="CVD7" s="254"/>
      <c r="CVE7" s="254"/>
      <c r="CVF7" s="254"/>
      <c r="CVG7" s="254"/>
      <c r="CVH7" s="254"/>
      <c r="CVI7" s="254"/>
      <c r="CVJ7" s="254"/>
      <c r="CVK7" s="254"/>
      <c r="CVL7" s="254"/>
      <c r="CVM7" s="254"/>
      <c r="CVN7" s="254"/>
      <c r="CVO7" s="254"/>
      <c r="CVP7" s="254"/>
      <c r="CVQ7" s="254"/>
      <c r="CVR7" s="254"/>
      <c r="CVS7" s="254"/>
      <c r="CVT7" s="254"/>
      <c r="CVU7" s="254"/>
      <c r="CVV7" s="254"/>
      <c r="CVW7" s="254"/>
      <c r="CVX7" s="254"/>
      <c r="CVY7" s="254"/>
      <c r="CVZ7" s="254"/>
      <c r="CWA7" s="254"/>
      <c r="CWB7" s="254"/>
      <c r="CWC7" s="254"/>
      <c r="CWD7" s="254"/>
      <c r="CWE7" s="254"/>
      <c r="CWF7" s="254"/>
      <c r="CWG7" s="254"/>
      <c r="CWH7" s="254"/>
      <c r="CWI7" s="254"/>
      <c r="CWJ7" s="254"/>
      <c r="CWK7" s="254"/>
      <c r="CWL7" s="254"/>
      <c r="CWM7" s="254"/>
      <c r="CWN7" s="254"/>
      <c r="CWO7" s="254"/>
      <c r="CWP7" s="254"/>
      <c r="CWQ7" s="254"/>
      <c r="CWR7" s="254"/>
      <c r="CWS7" s="254"/>
      <c r="CWT7" s="254"/>
      <c r="CWU7" s="254"/>
      <c r="CWV7" s="254"/>
      <c r="CWW7" s="254"/>
      <c r="CWX7" s="254"/>
      <c r="CWY7" s="254"/>
      <c r="CWZ7" s="254"/>
      <c r="CXA7" s="254"/>
      <c r="CXB7" s="254"/>
      <c r="CXC7" s="254"/>
      <c r="CXD7" s="254"/>
      <c r="CXE7" s="254"/>
      <c r="CXF7" s="254"/>
      <c r="CXG7" s="254"/>
      <c r="CXH7" s="254"/>
      <c r="CXI7" s="254"/>
      <c r="CXJ7" s="254"/>
      <c r="CXK7" s="254"/>
      <c r="CXL7" s="254"/>
      <c r="CXM7" s="254"/>
      <c r="CXN7" s="254"/>
      <c r="CXO7" s="254"/>
      <c r="CXP7" s="254"/>
      <c r="CXQ7" s="254"/>
      <c r="CXR7" s="254"/>
      <c r="CXS7" s="254"/>
      <c r="CXT7" s="254"/>
      <c r="CXU7" s="254"/>
      <c r="CXV7" s="254"/>
      <c r="CXW7" s="254"/>
      <c r="CXX7" s="254"/>
      <c r="CXY7" s="254"/>
      <c r="CXZ7" s="254"/>
      <c r="CYA7" s="254"/>
      <c r="CYB7" s="254"/>
      <c r="CYC7" s="254"/>
      <c r="CYD7" s="254"/>
      <c r="CYE7" s="254"/>
      <c r="CYF7" s="254"/>
      <c r="CYG7" s="254"/>
      <c r="CYH7" s="254"/>
      <c r="CYI7" s="254"/>
      <c r="CYJ7" s="254"/>
      <c r="CYK7" s="254"/>
      <c r="CYL7" s="254"/>
      <c r="CYM7" s="254"/>
      <c r="CYN7" s="254"/>
      <c r="CYO7" s="254"/>
      <c r="CYP7" s="254"/>
      <c r="CYQ7" s="254"/>
      <c r="CYR7" s="254"/>
      <c r="CYS7" s="254"/>
      <c r="CYT7" s="254"/>
      <c r="CYU7" s="254"/>
      <c r="CYV7" s="254"/>
      <c r="CYW7" s="254"/>
      <c r="CYX7" s="254"/>
      <c r="CYY7" s="254"/>
      <c r="CYZ7" s="254"/>
      <c r="CZA7" s="254"/>
      <c r="CZB7" s="254"/>
      <c r="CZC7" s="254"/>
      <c r="CZD7" s="254"/>
      <c r="CZE7" s="254"/>
      <c r="CZF7" s="254"/>
      <c r="CZG7" s="254"/>
      <c r="CZH7" s="254"/>
      <c r="CZI7" s="254"/>
      <c r="CZJ7" s="254"/>
      <c r="CZK7" s="254"/>
      <c r="CZL7" s="254"/>
      <c r="CZM7" s="254"/>
      <c r="CZN7" s="254"/>
      <c r="CZO7" s="254"/>
      <c r="CZP7" s="254"/>
      <c r="CZQ7" s="254"/>
      <c r="CZR7" s="254"/>
      <c r="CZS7" s="254"/>
      <c r="CZT7" s="254"/>
      <c r="CZU7" s="254"/>
      <c r="CZV7" s="254"/>
      <c r="CZW7" s="254"/>
      <c r="CZX7" s="254"/>
      <c r="CZY7" s="254"/>
      <c r="CZZ7" s="254"/>
      <c r="DAA7" s="254"/>
      <c r="DAB7" s="254"/>
      <c r="DAC7" s="254"/>
      <c r="DAD7" s="254"/>
      <c r="DAE7" s="254"/>
      <c r="DAF7" s="254"/>
      <c r="DAG7" s="254"/>
      <c r="DAH7" s="254"/>
      <c r="DAI7" s="254"/>
      <c r="DAJ7" s="254"/>
      <c r="DAK7" s="254"/>
      <c r="DAL7" s="254"/>
      <c r="DAM7" s="254"/>
      <c r="DAN7" s="254"/>
      <c r="DAO7" s="254"/>
      <c r="DAP7" s="254"/>
      <c r="DAQ7" s="254"/>
      <c r="DAR7" s="254"/>
      <c r="DAS7" s="254"/>
      <c r="DAT7" s="254"/>
      <c r="DAU7" s="254"/>
      <c r="DAV7" s="254"/>
      <c r="DAW7" s="254"/>
      <c r="DAX7" s="254"/>
      <c r="DAY7" s="254"/>
      <c r="DAZ7" s="254"/>
      <c r="DBA7" s="254"/>
      <c r="DBB7" s="254"/>
      <c r="DBC7" s="254"/>
      <c r="DBD7" s="254"/>
      <c r="DBE7" s="254"/>
      <c r="DBF7" s="254"/>
      <c r="DBG7" s="254"/>
      <c r="DBH7" s="254"/>
      <c r="DBI7" s="254"/>
      <c r="DBJ7" s="254"/>
      <c r="DBK7" s="254"/>
      <c r="DBL7" s="254"/>
      <c r="DBM7" s="254"/>
      <c r="DBN7" s="254"/>
      <c r="DBO7" s="254"/>
      <c r="DBP7" s="254"/>
      <c r="DBQ7" s="254"/>
      <c r="DBR7" s="254"/>
      <c r="DBS7" s="254"/>
      <c r="DBT7" s="254"/>
      <c r="DBU7" s="254"/>
      <c r="DBV7" s="254"/>
      <c r="DBW7" s="254"/>
      <c r="DBX7" s="254"/>
      <c r="DBY7" s="254"/>
      <c r="DBZ7" s="254"/>
      <c r="DCA7" s="254"/>
      <c r="DCB7" s="254"/>
      <c r="DCC7" s="254"/>
      <c r="DCD7" s="254"/>
      <c r="DCE7" s="254"/>
      <c r="DCF7" s="254"/>
      <c r="DCG7" s="254"/>
      <c r="DCH7" s="254"/>
      <c r="DCI7" s="254"/>
      <c r="DCJ7" s="254"/>
      <c r="DCK7" s="254"/>
      <c r="DCL7" s="254"/>
      <c r="DCM7" s="254"/>
      <c r="DCN7" s="254"/>
      <c r="DCO7" s="254"/>
      <c r="DCP7" s="254"/>
      <c r="DCQ7" s="254"/>
      <c r="DCR7" s="254"/>
      <c r="DCS7" s="254"/>
      <c r="DCT7" s="254"/>
      <c r="DCU7" s="254"/>
      <c r="DCV7" s="254"/>
      <c r="DCW7" s="254"/>
      <c r="DCX7" s="254"/>
      <c r="DCY7" s="254"/>
      <c r="DCZ7" s="254"/>
      <c r="DDA7" s="254"/>
      <c r="DDB7" s="254"/>
      <c r="DDC7" s="254"/>
      <c r="DDD7" s="254"/>
      <c r="DDE7" s="254"/>
      <c r="DDF7" s="254"/>
      <c r="DDG7" s="254"/>
      <c r="DDH7" s="254"/>
      <c r="DDI7" s="254"/>
      <c r="DDJ7" s="254"/>
      <c r="DDK7" s="254"/>
      <c r="DDL7" s="254"/>
      <c r="DDM7" s="254"/>
      <c r="DDN7" s="254"/>
      <c r="DDO7" s="254"/>
      <c r="DDP7" s="254"/>
      <c r="DDQ7" s="254"/>
      <c r="DDR7" s="254"/>
      <c r="DDS7" s="254"/>
      <c r="DDT7" s="254"/>
      <c r="DDU7" s="254"/>
      <c r="DDV7" s="254"/>
      <c r="DDW7" s="254"/>
      <c r="DDX7" s="254"/>
      <c r="DDY7" s="254"/>
      <c r="DDZ7" s="254"/>
      <c r="DEA7" s="254"/>
      <c r="DEB7" s="254"/>
      <c r="DEC7" s="254"/>
      <c r="DED7" s="254"/>
      <c r="DEE7" s="254"/>
      <c r="DEF7" s="254"/>
      <c r="DEG7" s="254"/>
      <c r="DEH7" s="254"/>
      <c r="DEI7" s="254"/>
      <c r="DEJ7" s="254"/>
      <c r="DEK7" s="254"/>
      <c r="DEL7" s="254"/>
      <c r="DEM7" s="254"/>
      <c r="DEN7" s="254"/>
      <c r="DEO7" s="254"/>
      <c r="DEP7" s="254"/>
      <c r="DEQ7" s="254"/>
      <c r="DER7" s="254"/>
      <c r="DES7" s="254"/>
      <c r="DET7" s="254"/>
      <c r="DEU7" s="254"/>
      <c r="DEV7" s="254"/>
      <c r="DEW7" s="254"/>
      <c r="DEX7" s="254"/>
      <c r="DEY7" s="254"/>
      <c r="DEZ7" s="254"/>
      <c r="DFA7" s="254"/>
      <c r="DFB7" s="254"/>
      <c r="DFC7" s="254"/>
      <c r="DFD7" s="254"/>
      <c r="DFE7" s="254"/>
      <c r="DFF7" s="254"/>
      <c r="DFG7" s="254"/>
      <c r="DFH7" s="254"/>
      <c r="DFI7" s="254"/>
      <c r="DFJ7" s="254"/>
      <c r="DFK7" s="254"/>
      <c r="DFL7" s="254"/>
      <c r="DFM7" s="254"/>
      <c r="DFN7" s="254"/>
      <c r="DFO7" s="254"/>
      <c r="DFP7" s="254"/>
      <c r="DFQ7" s="254"/>
      <c r="DFR7" s="254"/>
      <c r="DFS7" s="254"/>
      <c r="DFT7" s="254"/>
      <c r="DFU7" s="254"/>
      <c r="DFV7" s="254"/>
      <c r="DFW7" s="254"/>
      <c r="DFX7" s="254"/>
      <c r="DFY7" s="254"/>
      <c r="DFZ7" s="254"/>
      <c r="DGA7" s="254"/>
      <c r="DGB7" s="254"/>
      <c r="DGC7" s="254"/>
      <c r="DGD7" s="254"/>
      <c r="DGE7" s="254"/>
      <c r="DGF7" s="254"/>
      <c r="DGG7" s="254"/>
      <c r="DGH7" s="254"/>
      <c r="DGI7" s="254"/>
      <c r="DGJ7" s="254"/>
      <c r="DGK7" s="254"/>
      <c r="DGL7" s="254"/>
      <c r="DGM7" s="254"/>
      <c r="DGN7" s="254"/>
      <c r="DGO7" s="254"/>
      <c r="DGP7" s="254"/>
      <c r="DGQ7" s="254"/>
      <c r="DGR7" s="254"/>
      <c r="DGS7" s="254"/>
      <c r="DGT7" s="254"/>
      <c r="DGU7" s="254"/>
      <c r="DGV7" s="254"/>
      <c r="DGW7" s="254"/>
      <c r="DGX7" s="254"/>
      <c r="DGY7" s="254"/>
      <c r="DGZ7" s="254"/>
      <c r="DHA7" s="254"/>
      <c r="DHB7" s="254"/>
      <c r="DHC7" s="254"/>
      <c r="DHD7" s="254"/>
      <c r="DHE7" s="254"/>
      <c r="DHF7" s="254"/>
      <c r="DHG7" s="254"/>
      <c r="DHH7" s="254"/>
      <c r="DHI7" s="254"/>
      <c r="DHJ7" s="254"/>
      <c r="DHK7" s="254"/>
      <c r="DHL7" s="254"/>
      <c r="DHM7" s="254"/>
      <c r="DHN7" s="254"/>
      <c r="DHO7" s="254"/>
      <c r="DHP7" s="254"/>
      <c r="DHQ7" s="254"/>
      <c r="DHR7" s="254"/>
      <c r="DHS7" s="254"/>
      <c r="DHT7" s="254"/>
      <c r="DHU7" s="254"/>
      <c r="DHV7" s="254"/>
      <c r="DHW7" s="254"/>
      <c r="DHX7" s="254"/>
      <c r="DHY7" s="254"/>
      <c r="DHZ7" s="254"/>
      <c r="DIA7" s="254"/>
      <c r="DIB7" s="254"/>
      <c r="DIC7" s="254"/>
      <c r="DID7" s="254"/>
      <c r="DIE7" s="254"/>
      <c r="DIF7" s="254"/>
      <c r="DIG7" s="254"/>
      <c r="DIH7" s="254"/>
      <c r="DII7" s="254"/>
      <c r="DIJ7" s="254"/>
      <c r="DIK7" s="254"/>
      <c r="DIL7" s="254"/>
      <c r="DIM7" s="254"/>
      <c r="DIN7" s="254"/>
      <c r="DIO7" s="254"/>
      <c r="DIP7" s="254"/>
      <c r="DIQ7" s="254"/>
      <c r="DIR7" s="254"/>
      <c r="DIS7" s="254"/>
      <c r="DIT7" s="254"/>
      <c r="DIU7" s="254"/>
      <c r="DIV7" s="254"/>
      <c r="DIW7" s="254"/>
      <c r="DIX7" s="254"/>
      <c r="DIY7" s="254"/>
      <c r="DIZ7" s="254"/>
      <c r="DJA7" s="254"/>
      <c r="DJB7" s="254"/>
      <c r="DJC7" s="254"/>
      <c r="DJD7" s="254"/>
      <c r="DJE7" s="254"/>
      <c r="DJF7" s="254"/>
      <c r="DJG7" s="254"/>
      <c r="DJH7" s="254"/>
      <c r="DJI7" s="254"/>
      <c r="DJJ7" s="254"/>
      <c r="DJK7" s="254"/>
      <c r="DJL7" s="254"/>
      <c r="DJM7" s="254"/>
      <c r="DJN7" s="254"/>
      <c r="DJO7" s="254"/>
      <c r="DJP7" s="254"/>
      <c r="DJQ7" s="254"/>
      <c r="DJR7" s="254"/>
      <c r="DJS7" s="254"/>
      <c r="DJT7" s="254"/>
      <c r="DJU7" s="254"/>
      <c r="DJV7" s="254"/>
      <c r="DJW7" s="254"/>
      <c r="DJX7" s="254"/>
      <c r="DJY7" s="254"/>
      <c r="DJZ7" s="254"/>
      <c r="DKA7" s="254"/>
      <c r="DKB7" s="254"/>
      <c r="DKC7" s="254"/>
      <c r="DKD7" s="254"/>
      <c r="DKE7" s="254"/>
      <c r="DKF7" s="254"/>
      <c r="DKG7" s="254"/>
      <c r="DKH7" s="254"/>
      <c r="DKI7" s="254"/>
      <c r="DKJ7" s="254"/>
      <c r="DKK7" s="254"/>
      <c r="DKL7" s="254"/>
      <c r="DKM7" s="254"/>
      <c r="DKN7" s="254"/>
      <c r="DKO7" s="254"/>
      <c r="DKP7" s="254"/>
      <c r="DKQ7" s="254"/>
      <c r="DKR7" s="254"/>
      <c r="DKS7" s="254"/>
      <c r="DKT7" s="254"/>
      <c r="DKU7" s="254"/>
      <c r="DKV7" s="254"/>
      <c r="DKW7" s="254"/>
      <c r="DKX7" s="254"/>
      <c r="DKY7" s="254"/>
      <c r="DKZ7" s="254"/>
      <c r="DLA7" s="254"/>
      <c r="DLB7" s="254"/>
      <c r="DLC7" s="254"/>
      <c r="DLD7" s="254"/>
      <c r="DLE7" s="254"/>
      <c r="DLF7" s="254"/>
      <c r="DLG7" s="254"/>
      <c r="DLH7" s="254"/>
      <c r="DLI7" s="254"/>
      <c r="DLJ7" s="254"/>
      <c r="DLK7" s="254"/>
      <c r="DLL7" s="254"/>
      <c r="DLM7" s="254"/>
      <c r="DLN7" s="254"/>
      <c r="DLO7" s="254"/>
      <c r="DLP7" s="254"/>
      <c r="DLQ7" s="254"/>
      <c r="DLR7" s="254"/>
      <c r="DLS7" s="254"/>
      <c r="DLT7" s="254"/>
      <c r="DLU7" s="254"/>
      <c r="DLV7" s="254"/>
      <c r="DLW7" s="254"/>
      <c r="DLX7" s="254"/>
      <c r="DLY7" s="254"/>
      <c r="DLZ7" s="254"/>
      <c r="DMA7" s="254"/>
      <c r="DMB7" s="254"/>
      <c r="DMC7" s="254"/>
      <c r="DMD7" s="254"/>
      <c r="DME7" s="254"/>
      <c r="DMF7" s="254"/>
      <c r="DMG7" s="254"/>
      <c r="DMH7" s="254"/>
      <c r="DMI7" s="254"/>
      <c r="DMJ7" s="254"/>
      <c r="DMK7" s="254"/>
      <c r="DML7" s="254"/>
      <c r="DMM7" s="254"/>
      <c r="DMN7" s="254"/>
      <c r="DMO7" s="254"/>
      <c r="DMP7" s="254"/>
      <c r="DMQ7" s="254"/>
      <c r="DMR7" s="254"/>
      <c r="DMS7" s="254"/>
      <c r="DMT7" s="254"/>
      <c r="DMU7" s="254"/>
      <c r="DMV7" s="254"/>
      <c r="DMW7" s="254"/>
      <c r="DMX7" s="254"/>
      <c r="DMY7" s="254"/>
      <c r="DMZ7" s="254"/>
      <c r="DNA7" s="254"/>
      <c r="DNB7" s="254"/>
      <c r="DNC7" s="254"/>
      <c r="DND7" s="254"/>
      <c r="DNE7" s="254"/>
      <c r="DNF7" s="254"/>
      <c r="DNG7" s="254"/>
      <c r="DNH7" s="254"/>
      <c r="DNI7" s="254"/>
      <c r="DNJ7" s="254"/>
      <c r="DNK7" s="254"/>
      <c r="DNL7" s="254"/>
      <c r="DNM7" s="254"/>
      <c r="DNN7" s="254"/>
      <c r="DNO7" s="254"/>
      <c r="DNP7" s="254"/>
      <c r="DNQ7" s="254"/>
      <c r="DNR7" s="254"/>
      <c r="DNS7" s="254"/>
      <c r="DNT7" s="254"/>
      <c r="DNU7" s="254"/>
      <c r="DNV7" s="254"/>
      <c r="DNW7" s="254"/>
      <c r="DNX7" s="254"/>
      <c r="DNY7" s="254"/>
      <c r="DNZ7" s="254"/>
      <c r="DOA7" s="254"/>
      <c r="DOB7" s="254"/>
      <c r="DOC7" s="254"/>
      <c r="DOD7" s="254"/>
      <c r="DOE7" s="254"/>
      <c r="DOF7" s="254"/>
      <c r="DOG7" s="254"/>
      <c r="DOH7" s="254"/>
      <c r="DOI7" s="254"/>
      <c r="DOJ7" s="254"/>
      <c r="DOK7" s="254"/>
      <c r="DOL7" s="254"/>
      <c r="DOM7" s="254"/>
      <c r="DON7" s="254"/>
      <c r="DOO7" s="254"/>
      <c r="DOP7" s="254"/>
      <c r="DOQ7" s="254"/>
      <c r="DOR7" s="254"/>
      <c r="DOS7" s="254"/>
      <c r="DOT7" s="254"/>
      <c r="DOU7" s="254"/>
      <c r="DOV7" s="254"/>
      <c r="DOW7" s="254"/>
      <c r="DOX7" s="254"/>
      <c r="DOY7" s="254"/>
      <c r="DOZ7" s="254"/>
      <c r="DPA7" s="254"/>
      <c r="DPB7" s="254"/>
      <c r="DPC7" s="254"/>
      <c r="DPD7" s="254"/>
      <c r="DPE7" s="254"/>
      <c r="DPF7" s="254"/>
      <c r="DPG7" s="254"/>
      <c r="DPH7" s="254"/>
      <c r="DPI7" s="254"/>
      <c r="DPJ7" s="254"/>
      <c r="DPK7" s="254"/>
      <c r="DPL7" s="254"/>
      <c r="DPM7" s="254"/>
      <c r="DPN7" s="254"/>
      <c r="DPO7" s="254"/>
      <c r="DPP7" s="254"/>
      <c r="DPQ7" s="254"/>
      <c r="DPR7" s="254"/>
      <c r="DPS7" s="254"/>
      <c r="DPT7" s="254"/>
      <c r="DPU7" s="254"/>
      <c r="DPV7" s="254"/>
      <c r="DPW7" s="254"/>
      <c r="DPX7" s="254"/>
      <c r="DPY7" s="254"/>
      <c r="DPZ7" s="254"/>
      <c r="DQA7" s="254"/>
      <c r="DQB7" s="254"/>
      <c r="DQC7" s="254"/>
      <c r="DQD7" s="254"/>
      <c r="DQE7" s="254"/>
      <c r="DQF7" s="254"/>
      <c r="DQG7" s="254"/>
      <c r="DQH7" s="254"/>
      <c r="DQI7" s="254"/>
      <c r="DQJ7" s="254"/>
      <c r="DQK7" s="254"/>
      <c r="DQL7" s="254"/>
      <c r="DQM7" s="254"/>
      <c r="DQN7" s="254"/>
      <c r="DQO7" s="254"/>
      <c r="DQP7" s="254"/>
      <c r="DQQ7" s="254"/>
      <c r="DQR7" s="254"/>
      <c r="DQS7" s="254"/>
      <c r="DQT7" s="254"/>
      <c r="DQU7" s="254"/>
      <c r="DQV7" s="254"/>
      <c r="DQW7" s="254"/>
      <c r="DQX7" s="254"/>
      <c r="DQY7" s="254"/>
      <c r="DQZ7" s="254"/>
      <c r="DRA7" s="254"/>
      <c r="DRB7" s="254"/>
      <c r="DRC7" s="254"/>
      <c r="DRD7" s="254"/>
      <c r="DRE7" s="254"/>
      <c r="DRF7" s="254"/>
      <c r="DRG7" s="254"/>
      <c r="DRH7" s="254"/>
      <c r="DRI7" s="254"/>
      <c r="DRJ7" s="254"/>
      <c r="DRK7" s="254"/>
      <c r="DRL7" s="254"/>
      <c r="DRM7" s="254"/>
      <c r="DRN7" s="254"/>
      <c r="DRO7" s="254"/>
      <c r="DRP7" s="254"/>
      <c r="DRQ7" s="254"/>
      <c r="DRR7" s="254"/>
      <c r="DRS7" s="254"/>
      <c r="DRT7" s="254"/>
      <c r="DRU7" s="254"/>
      <c r="DRV7" s="254"/>
      <c r="DRW7" s="254"/>
      <c r="DRX7" s="254"/>
      <c r="DRY7" s="254"/>
      <c r="DRZ7" s="254"/>
      <c r="DSA7" s="254"/>
      <c r="DSB7" s="254"/>
      <c r="DSC7" s="254"/>
      <c r="DSD7" s="254"/>
      <c r="DSE7" s="254"/>
      <c r="DSF7" s="254"/>
      <c r="DSG7" s="254"/>
      <c r="DSH7" s="254"/>
      <c r="DSI7" s="254"/>
      <c r="DSJ7" s="254"/>
      <c r="DSK7" s="254"/>
      <c r="DSL7" s="254"/>
      <c r="DSM7" s="254"/>
      <c r="DSN7" s="254"/>
      <c r="DSO7" s="254"/>
      <c r="DSP7" s="254"/>
      <c r="DSQ7" s="254"/>
      <c r="DSR7" s="254"/>
      <c r="DSS7" s="254"/>
      <c r="DST7" s="254"/>
      <c r="DSU7" s="254"/>
      <c r="DSV7" s="254"/>
      <c r="DSW7" s="254"/>
      <c r="DSX7" s="254"/>
      <c r="DSY7" s="254"/>
      <c r="DSZ7" s="254"/>
      <c r="DTA7" s="254"/>
      <c r="DTB7" s="254"/>
      <c r="DTC7" s="254"/>
      <c r="DTD7" s="254"/>
      <c r="DTE7" s="254"/>
      <c r="DTF7" s="254"/>
      <c r="DTG7" s="254"/>
      <c r="DTH7" s="254"/>
      <c r="DTI7" s="254"/>
      <c r="DTJ7" s="254"/>
      <c r="DTK7" s="254"/>
      <c r="DTL7" s="254"/>
      <c r="DTM7" s="254"/>
      <c r="DTN7" s="254"/>
      <c r="DTO7" s="254"/>
      <c r="DTP7" s="254"/>
      <c r="DTQ7" s="254"/>
      <c r="DTR7" s="254"/>
      <c r="DTS7" s="254"/>
      <c r="DTT7" s="254"/>
      <c r="DTU7" s="254"/>
      <c r="DTV7" s="254"/>
      <c r="DTW7" s="254"/>
      <c r="DTX7" s="254"/>
      <c r="DTY7" s="254"/>
      <c r="DTZ7" s="254"/>
      <c r="DUA7" s="254"/>
      <c r="DUB7" s="254"/>
      <c r="DUC7" s="254"/>
      <c r="DUD7" s="254"/>
      <c r="DUE7" s="254"/>
      <c r="DUF7" s="254"/>
      <c r="DUG7" s="254"/>
      <c r="DUH7" s="254"/>
      <c r="DUI7" s="254"/>
      <c r="DUJ7" s="254"/>
      <c r="DUK7" s="254"/>
      <c r="DUL7" s="254"/>
      <c r="DUM7" s="254"/>
      <c r="DUN7" s="254"/>
      <c r="DUO7" s="254"/>
      <c r="DUP7" s="254"/>
      <c r="DUQ7" s="254"/>
      <c r="DUR7" s="254"/>
      <c r="DUS7" s="254"/>
      <c r="DUT7" s="254"/>
      <c r="DUU7" s="254"/>
      <c r="DUV7" s="254"/>
      <c r="DUW7" s="254"/>
      <c r="DUX7" s="254"/>
      <c r="DUY7" s="254"/>
      <c r="DUZ7" s="254"/>
      <c r="DVA7" s="254"/>
      <c r="DVB7" s="254"/>
      <c r="DVC7" s="254"/>
      <c r="DVD7" s="254"/>
      <c r="DVE7" s="254"/>
      <c r="DVF7" s="254"/>
      <c r="DVG7" s="254"/>
      <c r="DVH7" s="254"/>
      <c r="DVI7" s="254"/>
      <c r="DVJ7" s="254"/>
      <c r="DVK7" s="254"/>
      <c r="DVL7" s="254"/>
      <c r="DVM7" s="254"/>
      <c r="DVN7" s="254"/>
      <c r="DVO7" s="254"/>
      <c r="DVP7" s="254"/>
      <c r="DVQ7" s="254"/>
      <c r="DVR7" s="254"/>
      <c r="DVS7" s="254"/>
      <c r="DVT7" s="254"/>
      <c r="DVU7" s="254"/>
      <c r="DVV7" s="254"/>
      <c r="DVW7" s="254"/>
      <c r="DVX7" s="254"/>
      <c r="DVY7" s="254"/>
      <c r="DVZ7" s="254"/>
      <c r="DWA7" s="254"/>
      <c r="DWB7" s="254"/>
      <c r="DWC7" s="254"/>
      <c r="DWD7" s="254"/>
      <c r="DWE7" s="254"/>
      <c r="DWF7" s="254"/>
      <c r="DWG7" s="254"/>
      <c r="DWH7" s="254"/>
      <c r="DWI7" s="254"/>
      <c r="DWJ7" s="254"/>
      <c r="DWK7" s="254"/>
      <c r="DWL7" s="254"/>
      <c r="DWM7" s="254"/>
      <c r="DWN7" s="254"/>
      <c r="DWO7" s="254"/>
      <c r="DWP7" s="254"/>
      <c r="DWQ7" s="254"/>
      <c r="DWR7" s="254"/>
      <c r="DWS7" s="254"/>
      <c r="DWT7" s="254"/>
      <c r="DWU7" s="254"/>
      <c r="DWV7" s="254"/>
      <c r="DWW7" s="254"/>
      <c r="DWX7" s="254"/>
      <c r="DWY7" s="254"/>
      <c r="DWZ7" s="254"/>
      <c r="DXA7" s="254"/>
      <c r="DXB7" s="254"/>
      <c r="DXC7" s="254"/>
      <c r="DXD7" s="254"/>
      <c r="DXE7" s="254"/>
      <c r="DXF7" s="254"/>
      <c r="DXG7" s="254"/>
      <c r="DXH7" s="254"/>
      <c r="DXI7" s="254"/>
      <c r="DXJ7" s="254"/>
      <c r="DXK7" s="254"/>
      <c r="DXL7" s="254"/>
      <c r="DXM7" s="254"/>
      <c r="DXN7" s="254"/>
      <c r="DXO7" s="254"/>
      <c r="DXP7" s="254"/>
      <c r="DXQ7" s="254"/>
      <c r="DXR7" s="254"/>
      <c r="DXS7" s="254"/>
      <c r="DXT7" s="254"/>
      <c r="DXU7" s="254"/>
      <c r="DXV7" s="254"/>
      <c r="DXW7" s="254"/>
      <c r="DXX7" s="254"/>
      <c r="DXY7" s="254"/>
      <c r="DXZ7" s="254"/>
      <c r="DYA7" s="254"/>
      <c r="DYB7" s="254"/>
      <c r="DYC7" s="254"/>
      <c r="DYD7" s="254"/>
      <c r="DYE7" s="254"/>
      <c r="DYF7" s="254"/>
      <c r="DYG7" s="254"/>
      <c r="DYH7" s="254"/>
      <c r="DYI7" s="254"/>
      <c r="DYJ7" s="254"/>
      <c r="DYK7" s="254"/>
      <c r="DYL7" s="254"/>
      <c r="DYM7" s="254"/>
      <c r="DYN7" s="254"/>
      <c r="DYO7" s="254"/>
      <c r="DYP7" s="254"/>
      <c r="DYQ7" s="254"/>
      <c r="DYR7" s="254"/>
      <c r="DYS7" s="254"/>
      <c r="DYT7" s="254"/>
      <c r="DYU7" s="254"/>
      <c r="DYV7" s="254"/>
      <c r="DYW7" s="254"/>
      <c r="DYX7" s="254"/>
      <c r="DYY7" s="254"/>
      <c r="DYZ7" s="254"/>
      <c r="DZA7" s="254"/>
      <c r="DZB7" s="254"/>
      <c r="DZC7" s="254"/>
      <c r="DZD7" s="254"/>
      <c r="DZE7" s="254"/>
      <c r="DZF7" s="254"/>
      <c r="DZG7" s="254"/>
      <c r="DZH7" s="254"/>
      <c r="DZI7" s="254"/>
      <c r="DZJ7" s="254"/>
      <c r="DZK7" s="254"/>
      <c r="DZL7" s="254"/>
      <c r="DZM7" s="254"/>
      <c r="DZN7" s="254"/>
      <c r="DZO7" s="254"/>
      <c r="DZP7" s="254"/>
      <c r="DZQ7" s="254"/>
      <c r="DZR7" s="254"/>
      <c r="DZS7" s="254"/>
      <c r="DZT7" s="254"/>
      <c r="DZU7" s="254"/>
      <c r="DZV7" s="254"/>
      <c r="DZW7" s="254"/>
      <c r="DZX7" s="254"/>
      <c r="DZY7" s="254"/>
      <c r="DZZ7" s="254"/>
      <c r="EAA7" s="254"/>
      <c r="EAB7" s="254"/>
      <c r="EAC7" s="254"/>
      <c r="EAD7" s="254"/>
      <c r="EAE7" s="254"/>
      <c r="EAF7" s="254"/>
      <c r="EAG7" s="254"/>
      <c r="EAH7" s="254"/>
      <c r="EAI7" s="254"/>
      <c r="EAJ7" s="254"/>
      <c r="EAK7" s="254"/>
      <c r="EAL7" s="254"/>
      <c r="EAM7" s="254"/>
      <c r="EAN7" s="254"/>
      <c r="EAO7" s="254"/>
      <c r="EAP7" s="254"/>
      <c r="EAQ7" s="254"/>
      <c r="EAR7" s="254"/>
      <c r="EAS7" s="254"/>
      <c r="EAT7" s="254"/>
      <c r="EAU7" s="254"/>
      <c r="EAV7" s="254"/>
      <c r="EAW7" s="254"/>
      <c r="EAX7" s="254"/>
      <c r="EAY7" s="254"/>
      <c r="EAZ7" s="254"/>
      <c r="EBA7" s="254"/>
      <c r="EBB7" s="254"/>
      <c r="EBC7" s="254"/>
      <c r="EBD7" s="254"/>
      <c r="EBE7" s="254"/>
      <c r="EBF7" s="254"/>
      <c r="EBG7" s="254"/>
      <c r="EBH7" s="254"/>
      <c r="EBI7" s="254"/>
      <c r="EBJ7" s="254"/>
      <c r="EBK7" s="254"/>
      <c r="EBL7" s="254"/>
      <c r="EBM7" s="254"/>
      <c r="EBN7" s="254"/>
      <c r="EBO7" s="254"/>
      <c r="EBP7" s="254"/>
      <c r="EBQ7" s="254"/>
      <c r="EBR7" s="254"/>
      <c r="EBS7" s="254"/>
      <c r="EBT7" s="254"/>
      <c r="EBU7" s="254"/>
      <c r="EBV7" s="254"/>
      <c r="EBW7" s="254"/>
      <c r="EBX7" s="254"/>
      <c r="EBY7" s="254"/>
      <c r="EBZ7" s="254"/>
      <c r="ECA7" s="254"/>
      <c r="ECB7" s="254"/>
      <c r="ECC7" s="254"/>
      <c r="ECD7" s="254"/>
      <c r="ECE7" s="254"/>
      <c r="ECF7" s="254"/>
      <c r="ECG7" s="254"/>
      <c r="ECH7" s="254"/>
      <c r="ECI7" s="254"/>
      <c r="ECJ7" s="254"/>
      <c r="ECK7" s="254"/>
      <c r="ECL7" s="254"/>
      <c r="ECM7" s="254"/>
      <c r="ECN7" s="254"/>
      <c r="ECO7" s="254"/>
      <c r="ECP7" s="254"/>
      <c r="ECQ7" s="254"/>
      <c r="ECR7" s="254"/>
      <c r="ECS7" s="254"/>
      <c r="ECT7" s="254"/>
      <c r="ECU7" s="254"/>
      <c r="ECV7" s="254"/>
      <c r="ECW7" s="254"/>
      <c r="ECX7" s="254"/>
      <c r="ECY7" s="254"/>
      <c r="ECZ7" s="254"/>
      <c r="EDA7" s="254"/>
      <c r="EDB7" s="254"/>
      <c r="EDC7" s="254"/>
      <c r="EDD7" s="254"/>
      <c r="EDE7" s="254"/>
      <c r="EDF7" s="254"/>
      <c r="EDG7" s="254"/>
      <c r="EDH7" s="254"/>
      <c r="EDI7" s="254"/>
      <c r="EDJ7" s="254"/>
      <c r="EDK7" s="254"/>
      <c r="EDL7" s="254"/>
      <c r="EDM7" s="254"/>
      <c r="EDN7" s="254"/>
      <c r="EDO7" s="254"/>
      <c r="EDP7" s="254"/>
      <c r="EDQ7" s="254"/>
      <c r="EDR7" s="254"/>
      <c r="EDS7" s="254"/>
      <c r="EDT7" s="254"/>
      <c r="EDU7" s="254"/>
      <c r="EDV7" s="254"/>
      <c r="EDW7" s="254"/>
      <c r="EDX7" s="254"/>
      <c r="EDY7" s="254"/>
      <c r="EDZ7" s="254"/>
      <c r="EEA7" s="254"/>
      <c r="EEB7" s="254"/>
      <c r="EEC7" s="254"/>
      <c r="EED7" s="254"/>
      <c r="EEE7" s="254"/>
      <c r="EEF7" s="254"/>
      <c r="EEG7" s="254"/>
      <c r="EEH7" s="254"/>
      <c r="EEI7" s="254"/>
      <c r="EEJ7" s="254"/>
      <c r="EEK7" s="254"/>
      <c r="EEL7" s="254"/>
      <c r="EEM7" s="254"/>
      <c r="EEN7" s="254"/>
      <c r="EEO7" s="254"/>
      <c r="EEP7" s="254"/>
      <c r="EEQ7" s="254"/>
      <c r="EER7" s="254"/>
      <c r="EES7" s="254"/>
      <c r="EET7" s="254"/>
      <c r="EEU7" s="254"/>
      <c r="EEV7" s="254"/>
      <c r="EEW7" s="254"/>
      <c r="EEX7" s="254"/>
      <c r="EEY7" s="254"/>
      <c r="EEZ7" s="254"/>
      <c r="EFA7" s="254"/>
      <c r="EFB7" s="254"/>
      <c r="EFC7" s="254"/>
      <c r="EFD7" s="254"/>
      <c r="EFE7" s="254"/>
      <c r="EFF7" s="254"/>
      <c r="EFG7" s="254"/>
      <c r="EFH7" s="254"/>
      <c r="EFI7" s="254"/>
      <c r="EFJ7" s="254"/>
      <c r="EFK7" s="254"/>
      <c r="EFL7" s="254"/>
      <c r="EFM7" s="254"/>
      <c r="EFN7" s="254"/>
      <c r="EFO7" s="254"/>
      <c r="EFP7" s="254"/>
      <c r="EFQ7" s="254"/>
      <c r="EFR7" s="254"/>
      <c r="EFS7" s="254"/>
      <c r="EFT7" s="254"/>
      <c r="EFU7" s="254"/>
      <c r="EFV7" s="254"/>
      <c r="EFW7" s="254"/>
      <c r="EFX7" s="254"/>
      <c r="EFY7" s="254"/>
      <c r="EFZ7" s="254"/>
      <c r="EGA7" s="254"/>
      <c r="EGB7" s="254"/>
      <c r="EGC7" s="254"/>
      <c r="EGD7" s="254"/>
      <c r="EGE7" s="254"/>
      <c r="EGF7" s="254"/>
      <c r="EGG7" s="254"/>
      <c r="EGH7" s="254"/>
      <c r="EGI7" s="254"/>
      <c r="EGJ7" s="254"/>
      <c r="EGK7" s="254"/>
      <c r="EGL7" s="254"/>
      <c r="EGM7" s="254"/>
      <c r="EGN7" s="254"/>
      <c r="EGO7" s="254"/>
      <c r="EGP7" s="254"/>
      <c r="EGQ7" s="254"/>
      <c r="EGR7" s="254"/>
      <c r="EGS7" s="254"/>
      <c r="EGT7" s="254"/>
      <c r="EGU7" s="254"/>
      <c r="EGV7" s="254"/>
      <c r="EGW7" s="254"/>
      <c r="EGX7" s="254"/>
      <c r="EGY7" s="254"/>
      <c r="EGZ7" s="254"/>
      <c r="EHA7" s="254"/>
      <c r="EHB7" s="254"/>
      <c r="EHC7" s="254"/>
      <c r="EHD7" s="254"/>
      <c r="EHE7" s="254"/>
      <c r="EHF7" s="254"/>
      <c r="EHG7" s="254"/>
      <c r="EHH7" s="254"/>
      <c r="EHI7" s="254"/>
      <c r="EHJ7" s="254"/>
      <c r="EHK7" s="254"/>
      <c r="EHL7" s="254"/>
      <c r="EHM7" s="254"/>
      <c r="EHN7" s="254"/>
      <c r="EHO7" s="254"/>
      <c r="EHP7" s="254"/>
      <c r="EHQ7" s="254"/>
      <c r="EHR7" s="254"/>
      <c r="EHS7" s="254"/>
      <c r="EHT7" s="254"/>
      <c r="EHU7" s="254"/>
      <c r="EHV7" s="254"/>
      <c r="EHW7" s="254"/>
      <c r="EHX7" s="254"/>
      <c r="EHY7" s="254"/>
      <c r="EHZ7" s="254"/>
      <c r="EIA7" s="254"/>
      <c r="EIB7" s="254"/>
      <c r="EIC7" s="254"/>
      <c r="EID7" s="254"/>
      <c r="EIE7" s="254"/>
      <c r="EIF7" s="254"/>
      <c r="EIG7" s="254"/>
      <c r="EIH7" s="254"/>
      <c r="EII7" s="254"/>
      <c r="EIJ7" s="254"/>
      <c r="EIK7" s="254"/>
      <c r="EIL7" s="254"/>
      <c r="EIM7" s="254"/>
      <c r="EIN7" s="254"/>
      <c r="EIO7" s="254"/>
      <c r="EIP7" s="254"/>
      <c r="EIQ7" s="254"/>
      <c r="EIR7" s="254"/>
      <c r="EIS7" s="254"/>
      <c r="EIT7" s="254"/>
      <c r="EIU7" s="254"/>
      <c r="EIV7" s="254"/>
      <c r="EIW7" s="254"/>
      <c r="EIX7" s="254"/>
      <c r="EIY7" s="254"/>
      <c r="EIZ7" s="254"/>
      <c r="EJA7" s="254"/>
      <c r="EJB7" s="254"/>
      <c r="EJC7" s="254"/>
      <c r="EJD7" s="254"/>
      <c r="EJE7" s="254"/>
      <c r="EJF7" s="254"/>
      <c r="EJG7" s="254"/>
      <c r="EJH7" s="254"/>
      <c r="EJI7" s="254"/>
      <c r="EJJ7" s="254"/>
      <c r="EJK7" s="254"/>
      <c r="EJL7" s="254"/>
      <c r="EJM7" s="254"/>
      <c r="EJN7" s="254"/>
      <c r="EJO7" s="254"/>
      <c r="EJP7" s="254"/>
      <c r="EJQ7" s="254"/>
      <c r="EJR7" s="254"/>
      <c r="EJS7" s="254"/>
      <c r="EJT7" s="254"/>
      <c r="EJU7" s="254"/>
      <c r="EJV7" s="254"/>
      <c r="EJW7" s="254"/>
      <c r="EJX7" s="254"/>
      <c r="EJY7" s="254"/>
      <c r="EJZ7" s="254"/>
      <c r="EKA7" s="254"/>
      <c r="EKB7" s="254"/>
      <c r="EKC7" s="254"/>
      <c r="EKD7" s="254"/>
      <c r="EKE7" s="254"/>
      <c r="EKF7" s="254"/>
      <c r="EKG7" s="254"/>
      <c r="EKH7" s="254"/>
      <c r="EKI7" s="254"/>
      <c r="EKJ7" s="254"/>
      <c r="EKK7" s="254"/>
      <c r="EKL7" s="254"/>
      <c r="EKM7" s="254"/>
      <c r="EKN7" s="254"/>
      <c r="EKO7" s="254"/>
      <c r="EKP7" s="254"/>
      <c r="EKQ7" s="254"/>
      <c r="EKR7" s="254"/>
      <c r="EKS7" s="254"/>
      <c r="EKT7" s="254"/>
      <c r="EKU7" s="254"/>
      <c r="EKV7" s="254"/>
      <c r="EKW7" s="254"/>
      <c r="EKX7" s="254"/>
      <c r="EKY7" s="254"/>
      <c r="EKZ7" s="254"/>
      <c r="ELA7" s="254"/>
      <c r="ELB7" s="254"/>
      <c r="ELC7" s="254"/>
      <c r="ELD7" s="254"/>
      <c r="ELE7" s="254"/>
      <c r="ELF7" s="254"/>
      <c r="ELG7" s="254"/>
      <c r="ELH7" s="254"/>
      <c r="ELI7" s="254"/>
      <c r="ELJ7" s="254"/>
      <c r="ELK7" s="254"/>
      <c r="ELL7" s="254"/>
      <c r="ELM7" s="254"/>
      <c r="ELN7" s="254"/>
      <c r="ELO7" s="254"/>
      <c r="ELP7" s="254"/>
      <c r="ELQ7" s="254"/>
      <c r="ELR7" s="254"/>
      <c r="ELS7" s="254"/>
      <c r="ELT7" s="254"/>
      <c r="ELU7" s="254"/>
      <c r="ELV7" s="254"/>
      <c r="ELW7" s="254"/>
      <c r="ELX7" s="254"/>
      <c r="ELY7" s="254"/>
      <c r="ELZ7" s="254"/>
      <c r="EMA7" s="254"/>
      <c r="EMB7" s="254"/>
      <c r="EMC7" s="254"/>
      <c r="EMD7" s="254"/>
      <c r="EME7" s="254"/>
      <c r="EMF7" s="254"/>
      <c r="EMG7" s="254"/>
      <c r="EMH7" s="254"/>
      <c r="EMI7" s="254"/>
      <c r="EMJ7" s="254"/>
      <c r="EMK7" s="254"/>
      <c r="EML7" s="254"/>
      <c r="EMM7" s="254"/>
      <c r="EMN7" s="254"/>
      <c r="EMO7" s="254"/>
      <c r="EMP7" s="254"/>
      <c r="EMQ7" s="254"/>
      <c r="EMR7" s="254"/>
      <c r="EMS7" s="254"/>
      <c r="EMT7" s="254"/>
      <c r="EMU7" s="254"/>
      <c r="EMV7" s="254"/>
      <c r="EMW7" s="254"/>
      <c r="EMX7" s="254"/>
      <c r="EMY7" s="254"/>
      <c r="EMZ7" s="254"/>
      <c r="ENA7" s="254"/>
      <c r="ENB7" s="254"/>
      <c r="ENC7" s="254"/>
      <c r="END7" s="254"/>
      <c r="ENE7" s="254"/>
      <c r="ENF7" s="254"/>
      <c r="ENG7" s="254"/>
      <c r="ENH7" s="254"/>
      <c r="ENI7" s="254"/>
      <c r="ENJ7" s="254"/>
      <c r="ENK7" s="254"/>
      <c r="ENL7" s="254"/>
      <c r="ENM7" s="254"/>
      <c r="ENN7" s="254"/>
      <c r="ENO7" s="254"/>
      <c r="ENP7" s="254"/>
      <c r="ENQ7" s="254"/>
      <c r="ENR7" s="254"/>
      <c r="ENS7" s="254"/>
      <c r="ENT7" s="254"/>
      <c r="ENU7" s="254"/>
      <c r="ENV7" s="254"/>
      <c r="ENW7" s="254"/>
      <c r="ENX7" s="254"/>
      <c r="ENY7" s="254"/>
      <c r="ENZ7" s="254"/>
      <c r="EOA7" s="254"/>
      <c r="EOB7" s="254"/>
      <c r="EOC7" s="254"/>
      <c r="EOD7" s="254"/>
      <c r="EOE7" s="254"/>
      <c r="EOF7" s="254"/>
      <c r="EOG7" s="254"/>
      <c r="EOH7" s="254"/>
      <c r="EOI7" s="254"/>
      <c r="EOJ7" s="254"/>
      <c r="EOK7" s="254"/>
      <c r="EOL7" s="254"/>
      <c r="EOM7" s="254"/>
      <c r="EON7" s="254"/>
      <c r="EOO7" s="254"/>
      <c r="EOP7" s="254"/>
      <c r="EOQ7" s="254"/>
      <c r="EOR7" s="254"/>
      <c r="EOS7" s="254"/>
      <c r="EOT7" s="254"/>
      <c r="EOU7" s="254"/>
      <c r="EOV7" s="254"/>
      <c r="EOW7" s="254"/>
      <c r="EOX7" s="254"/>
      <c r="EOY7" s="254"/>
      <c r="EOZ7" s="254"/>
      <c r="EPA7" s="254"/>
      <c r="EPB7" s="254"/>
      <c r="EPC7" s="254"/>
      <c r="EPD7" s="254"/>
      <c r="EPE7" s="254"/>
      <c r="EPF7" s="254"/>
      <c r="EPG7" s="254"/>
      <c r="EPH7" s="254"/>
      <c r="EPI7" s="254"/>
      <c r="EPJ7" s="254"/>
      <c r="EPK7" s="254"/>
      <c r="EPL7" s="254"/>
      <c r="EPM7" s="254"/>
      <c r="EPN7" s="254"/>
      <c r="EPO7" s="254"/>
      <c r="EPP7" s="254"/>
      <c r="EPQ7" s="254"/>
      <c r="EPR7" s="254"/>
      <c r="EPS7" s="254"/>
      <c r="EPT7" s="254"/>
      <c r="EPU7" s="254"/>
      <c r="EPV7" s="254"/>
      <c r="EPW7" s="254"/>
      <c r="EPX7" s="254"/>
      <c r="EPY7" s="254"/>
      <c r="EPZ7" s="254"/>
      <c r="EQA7" s="254"/>
      <c r="EQB7" s="254"/>
      <c r="EQC7" s="254"/>
      <c r="EQD7" s="254"/>
      <c r="EQE7" s="254"/>
      <c r="EQF7" s="254"/>
      <c r="EQG7" s="254"/>
      <c r="EQH7" s="254"/>
      <c r="EQI7" s="254"/>
      <c r="EQJ7" s="254"/>
      <c r="EQK7" s="254"/>
      <c r="EQL7" s="254"/>
      <c r="EQM7" s="254"/>
      <c r="EQN7" s="254"/>
      <c r="EQO7" s="254"/>
      <c r="EQP7" s="254"/>
      <c r="EQQ7" s="254"/>
      <c r="EQR7" s="254"/>
      <c r="EQS7" s="254"/>
      <c r="EQT7" s="254"/>
      <c r="EQU7" s="254"/>
      <c r="EQV7" s="254"/>
      <c r="EQW7" s="254"/>
      <c r="EQX7" s="254"/>
      <c r="EQY7" s="254"/>
      <c r="EQZ7" s="254"/>
      <c r="ERA7" s="254"/>
      <c r="ERB7" s="254"/>
      <c r="ERC7" s="254"/>
      <c r="ERD7" s="254"/>
      <c r="ERE7" s="254"/>
      <c r="ERF7" s="254"/>
      <c r="ERG7" s="254"/>
      <c r="ERH7" s="254"/>
      <c r="ERI7" s="254"/>
      <c r="ERJ7" s="254"/>
      <c r="ERK7" s="254"/>
      <c r="ERL7" s="254"/>
      <c r="ERM7" s="254"/>
      <c r="ERN7" s="254"/>
      <c r="ERO7" s="254"/>
      <c r="ERP7" s="254"/>
      <c r="ERQ7" s="254"/>
      <c r="ERR7" s="254"/>
      <c r="ERS7" s="254"/>
      <c r="ERT7" s="254"/>
      <c r="ERU7" s="254"/>
      <c r="ERV7" s="254"/>
      <c r="ERW7" s="254"/>
      <c r="ERX7" s="254"/>
      <c r="ERY7" s="254"/>
      <c r="ERZ7" s="254"/>
      <c r="ESA7" s="254"/>
      <c r="ESB7" s="254"/>
      <c r="ESC7" s="254"/>
      <c r="ESD7" s="254"/>
      <c r="ESE7" s="254"/>
      <c r="ESF7" s="254"/>
      <c r="ESG7" s="254"/>
      <c r="ESH7" s="254"/>
      <c r="ESI7" s="254"/>
      <c r="ESJ7" s="254"/>
      <c r="ESK7" s="254"/>
      <c r="ESL7" s="254"/>
      <c r="ESM7" s="254"/>
      <c r="ESN7" s="254"/>
      <c r="ESO7" s="254"/>
      <c r="ESP7" s="254"/>
      <c r="ESQ7" s="254"/>
      <c r="ESR7" s="254"/>
      <c r="ESS7" s="254"/>
      <c r="EST7" s="254"/>
      <c r="ESU7" s="254"/>
      <c r="ESV7" s="254"/>
      <c r="ESW7" s="254"/>
      <c r="ESX7" s="254"/>
      <c r="ESY7" s="254"/>
      <c r="ESZ7" s="254"/>
      <c r="ETA7" s="254"/>
      <c r="ETB7" s="254"/>
      <c r="ETC7" s="254"/>
      <c r="ETD7" s="254"/>
      <c r="ETE7" s="254"/>
      <c r="ETF7" s="254"/>
      <c r="ETG7" s="254"/>
      <c r="ETH7" s="254"/>
      <c r="ETI7" s="254"/>
      <c r="ETJ7" s="254"/>
      <c r="ETK7" s="254"/>
      <c r="ETL7" s="254"/>
      <c r="ETM7" s="254"/>
      <c r="ETN7" s="254"/>
      <c r="ETO7" s="254"/>
      <c r="ETP7" s="254"/>
      <c r="ETQ7" s="254"/>
      <c r="ETR7" s="254"/>
      <c r="ETS7" s="254"/>
      <c r="ETT7" s="254"/>
      <c r="ETU7" s="254"/>
      <c r="ETV7" s="254"/>
      <c r="ETW7" s="254"/>
      <c r="ETX7" s="254"/>
      <c r="ETY7" s="254"/>
      <c r="ETZ7" s="254"/>
      <c r="EUA7" s="254"/>
      <c r="EUB7" s="254"/>
      <c r="EUC7" s="254"/>
      <c r="EUD7" s="254"/>
      <c r="EUE7" s="254"/>
      <c r="EUF7" s="254"/>
      <c r="EUG7" s="254"/>
      <c r="EUH7" s="254"/>
      <c r="EUI7" s="254"/>
      <c r="EUJ7" s="254"/>
      <c r="EUK7" s="254"/>
      <c r="EUL7" s="254"/>
      <c r="EUM7" s="254"/>
      <c r="EUN7" s="254"/>
      <c r="EUO7" s="254"/>
      <c r="EUP7" s="254"/>
      <c r="EUQ7" s="254"/>
      <c r="EUR7" s="254"/>
      <c r="EUS7" s="254"/>
      <c r="EUT7" s="254"/>
      <c r="EUU7" s="254"/>
      <c r="EUV7" s="254"/>
      <c r="EUW7" s="254"/>
      <c r="EUX7" s="254"/>
      <c r="EUY7" s="254"/>
      <c r="EUZ7" s="254"/>
      <c r="EVA7" s="254"/>
      <c r="EVB7" s="254"/>
      <c r="EVC7" s="254"/>
      <c r="EVD7" s="254"/>
      <c r="EVE7" s="254"/>
      <c r="EVF7" s="254"/>
      <c r="EVG7" s="254"/>
      <c r="EVH7" s="254"/>
      <c r="EVI7" s="254"/>
      <c r="EVJ7" s="254"/>
      <c r="EVK7" s="254"/>
      <c r="EVL7" s="254"/>
      <c r="EVM7" s="254"/>
      <c r="EVN7" s="254"/>
      <c r="EVO7" s="254"/>
      <c r="EVP7" s="254"/>
      <c r="EVQ7" s="254"/>
      <c r="EVR7" s="254"/>
      <c r="EVS7" s="254"/>
      <c r="EVT7" s="254"/>
      <c r="EVU7" s="254"/>
      <c r="EVV7" s="254"/>
      <c r="EVW7" s="254"/>
      <c r="EVX7" s="254"/>
      <c r="EVY7" s="254"/>
      <c r="EVZ7" s="254"/>
      <c r="EWA7" s="254"/>
      <c r="EWB7" s="254"/>
      <c r="EWC7" s="254"/>
      <c r="EWD7" s="254"/>
      <c r="EWE7" s="254"/>
      <c r="EWF7" s="254"/>
      <c r="EWG7" s="254"/>
      <c r="EWH7" s="254"/>
      <c r="EWI7" s="254"/>
      <c r="EWJ7" s="254"/>
      <c r="EWK7" s="254"/>
      <c r="EWL7" s="254"/>
      <c r="EWM7" s="254"/>
      <c r="EWN7" s="254"/>
      <c r="EWO7" s="254"/>
      <c r="EWP7" s="254"/>
      <c r="EWQ7" s="254"/>
      <c r="EWR7" s="254"/>
      <c r="EWS7" s="254"/>
      <c r="EWT7" s="254"/>
      <c r="EWU7" s="254"/>
      <c r="EWV7" s="254"/>
      <c r="EWW7" s="254"/>
      <c r="EWX7" s="254"/>
      <c r="EWY7" s="254"/>
      <c r="EWZ7" s="254"/>
      <c r="EXA7" s="254"/>
      <c r="EXB7" s="254"/>
      <c r="EXC7" s="254"/>
      <c r="EXD7" s="254"/>
      <c r="EXE7" s="254"/>
      <c r="EXF7" s="254"/>
      <c r="EXG7" s="254"/>
      <c r="EXH7" s="254"/>
      <c r="EXI7" s="254"/>
      <c r="EXJ7" s="254"/>
      <c r="EXK7" s="254"/>
      <c r="EXL7" s="254"/>
      <c r="EXM7" s="254"/>
      <c r="EXN7" s="254"/>
      <c r="EXO7" s="254"/>
      <c r="EXP7" s="254"/>
      <c r="EXQ7" s="254"/>
      <c r="EXR7" s="254"/>
      <c r="EXS7" s="254"/>
      <c r="EXT7" s="254"/>
      <c r="EXU7" s="254"/>
      <c r="EXV7" s="254"/>
      <c r="EXW7" s="254"/>
      <c r="EXX7" s="254"/>
      <c r="EXY7" s="254"/>
      <c r="EXZ7" s="254"/>
      <c r="EYA7" s="254"/>
      <c r="EYB7" s="254"/>
      <c r="EYC7" s="254"/>
      <c r="EYD7" s="254"/>
      <c r="EYE7" s="254"/>
      <c r="EYF7" s="254"/>
      <c r="EYG7" s="254"/>
      <c r="EYH7" s="254"/>
      <c r="EYI7" s="254"/>
      <c r="EYJ7" s="254"/>
      <c r="EYK7" s="254"/>
      <c r="EYL7" s="254"/>
      <c r="EYM7" s="254"/>
      <c r="EYN7" s="254"/>
      <c r="EYO7" s="254"/>
      <c r="EYP7" s="254"/>
      <c r="EYQ7" s="254"/>
      <c r="EYR7" s="254"/>
      <c r="EYS7" s="254"/>
      <c r="EYT7" s="254"/>
      <c r="EYU7" s="254"/>
      <c r="EYV7" s="254"/>
      <c r="EYW7" s="254"/>
      <c r="EYX7" s="254"/>
      <c r="EYY7" s="254"/>
      <c r="EYZ7" s="254"/>
      <c r="EZA7" s="254"/>
      <c r="EZB7" s="254"/>
      <c r="EZC7" s="254"/>
      <c r="EZD7" s="254"/>
      <c r="EZE7" s="254"/>
      <c r="EZF7" s="254"/>
      <c r="EZG7" s="254"/>
      <c r="EZH7" s="254"/>
      <c r="EZI7" s="254"/>
      <c r="EZJ7" s="254"/>
      <c r="EZK7" s="254"/>
      <c r="EZL7" s="254"/>
      <c r="EZM7" s="254"/>
      <c r="EZN7" s="254"/>
      <c r="EZO7" s="254"/>
      <c r="EZP7" s="254"/>
      <c r="EZQ7" s="254"/>
      <c r="EZR7" s="254"/>
      <c r="EZS7" s="254"/>
      <c r="EZT7" s="254"/>
      <c r="EZU7" s="254"/>
      <c r="EZV7" s="254"/>
      <c r="EZW7" s="254"/>
      <c r="EZX7" s="254"/>
      <c r="EZY7" s="254"/>
      <c r="EZZ7" s="254"/>
      <c r="FAA7" s="254"/>
      <c r="FAB7" s="254"/>
      <c r="FAC7" s="254"/>
      <c r="FAD7" s="254"/>
      <c r="FAE7" s="254"/>
      <c r="FAF7" s="254"/>
      <c r="FAG7" s="254"/>
      <c r="FAH7" s="254"/>
      <c r="FAI7" s="254"/>
      <c r="FAJ7" s="254"/>
      <c r="FAK7" s="254"/>
      <c r="FAL7" s="254"/>
      <c r="FAM7" s="254"/>
      <c r="FAN7" s="254"/>
      <c r="FAO7" s="254"/>
      <c r="FAP7" s="254"/>
      <c r="FAQ7" s="254"/>
      <c r="FAR7" s="254"/>
      <c r="FAS7" s="254"/>
      <c r="FAT7" s="254"/>
      <c r="FAU7" s="254"/>
      <c r="FAV7" s="254"/>
      <c r="FAW7" s="254"/>
      <c r="FAX7" s="254"/>
      <c r="FAY7" s="254"/>
      <c r="FAZ7" s="254"/>
      <c r="FBA7" s="254"/>
      <c r="FBB7" s="254"/>
      <c r="FBC7" s="254"/>
      <c r="FBD7" s="254"/>
      <c r="FBE7" s="254"/>
      <c r="FBF7" s="254"/>
      <c r="FBG7" s="254"/>
      <c r="FBH7" s="254"/>
      <c r="FBI7" s="254"/>
      <c r="FBJ7" s="254"/>
      <c r="FBK7" s="254"/>
      <c r="FBL7" s="254"/>
      <c r="FBM7" s="254"/>
      <c r="FBN7" s="254"/>
      <c r="FBO7" s="254"/>
      <c r="FBP7" s="254"/>
      <c r="FBQ7" s="254"/>
      <c r="FBR7" s="254"/>
      <c r="FBS7" s="254"/>
      <c r="FBT7" s="254"/>
      <c r="FBU7" s="254"/>
      <c r="FBV7" s="254"/>
      <c r="FBW7" s="254"/>
      <c r="FBX7" s="254"/>
      <c r="FBY7" s="254"/>
      <c r="FBZ7" s="254"/>
      <c r="FCA7" s="254"/>
      <c r="FCB7" s="254"/>
      <c r="FCC7" s="254"/>
      <c r="FCD7" s="254"/>
      <c r="FCE7" s="254"/>
      <c r="FCF7" s="254"/>
      <c r="FCG7" s="254"/>
      <c r="FCH7" s="254"/>
      <c r="FCI7" s="254"/>
      <c r="FCJ7" s="254"/>
      <c r="FCK7" s="254"/>
      <c r="FCL7" s="254"/>
      <c r="FCM7" s="254"/>
      <c r="FCN7" s="254"/>
      <c r="FCO7" s="254"/>
      <c r="FCP7" s="254"/>
      <c r="FCQ7" s="254"/>
      <c r="FCR7" s="254"/>
      <c r="FCS7" s="254"/>
      <c r="FCT7" s="254"/>
      <c r="FCU7" s="254"/>
      <c r="FCV7" s="254"/>
      <c r="FCW7" s="254"/>
      <c r="FCX7" s="254"/>
      <c r="FCY7" s="254"/>
      <c r="FCZ7" s="254"/>
      <c r="FDA7" s="254"/>
      <c r="FDB7" s="254"/>
      <c r="FDC7" s="254"/>
      <c r="FDD7" s="254"/>
      <c r="FDE7" s="254"/>
      <c r="FDF7" s="254"/>
      <c r="FDG7" s="254"/>
      <c r="FDH7" s="254"/>
      <c r="FDI7" s="254"/>
      <c r="FDJ7" s="254"/>
      <c r="FDK7" s="254"/>
      <c r="FDL7" s="254"/>
      <c r="FDM7" s="254"/>
      <c r="FDN7" s="254"/>
      <c r="FDO7" s="254"/>
      <c r="FDP7" s="254"/>
      <c r="FDQ7" s="254"/>
      <c r="FDR7" s="254"/>
      <c r="FDS7" s="254"/>
      <c r="FDT7" s="254"/>
      <c r="FDU7" s="254"/>
      <c r="FDV7" s="254"/>
      <c r="FDW7" s="254"/>
      <c r="FDX7" s="254"/>
      <c r="FDY7" s="254"/>
      <c r="FDZ7" s="254"/>
      <c r="FEA7" s="254"/>
      <c r="FEB7" s="254"/>
      <c r="FEC7" s="254"/>
      <c r="FED7" s="254"/>
      <c r="FEE7" s="254"/>
      <c r="FEF7" s="254"/>
      <c r="FEG7" s="254"/>
      <c r="FEH7" s="254"/>
      <c r="FEI7" s="254"/>
      <c r="FEJ7" s="254"/>
      <c r="FEK7" s="254"/>
      <c r="FEL7" s="254"/>
      <c r="FEM7" s="254"/>
      <c r="FEN7" s="254"/>
      <c r="FEO7" s="254"/>
      <c r="FEP7" s="254"/>
      <c r="FEQ7" s="254"/>
      <c r="FER7" s="254"/>
      <c r="FES7" s="254"/>
      <c r="FET7" s="254"/>
      <c r="FEU7" s="254"/>
      <c r="FEV7" s="254"/>
      <c r="FEW7" s="254"/>
      <c r="FEX7" s="254"/>
      <c r="FEY7" s="254"/>
      <c r="FEZ7" s="254"/>
      <c r="FFA7" s="254"/>
      <c r="FFB7" s="254"/>
      <c r="FFC7" s="254"/>
      <c r="FFD7" s="254"/>
      <c r="FFE7" s="254"/>
      <c r="FFF7" s="254"/>
      <c r="FFG7" s="254"/>
      <c r="FFH7" s="254"/>
      <c r="FFI7" s="254"/>
      <c r="FFJ7" s="254"/>
      <c r="FFK7" s="254"/>
      <c r="FFL7" s="254"/>
      <c r="FFM7" s="254"/>
      <c r="FFN7" s="254"/>
      <c r="FFO7" s="254"/>
      <c r="FFP7" s="254"/>
      <c r="FFQ7" s="254"/>
      <c r="FFR7" s="254"/>
      <c r="FFS7" s="254"/>
      <c r="FFT7" s="254"/>
      <c r="FFU7" s="254"/>
      <c r="FFV7" s="254"/>
      <c r="FFW7" s="254"/>
      <c r="FFX7" s="254"/>
      <c r="FFY7" s="254"/>
      <c r="FFZ7" s="254"/>
      <c r="FGA7" s="254"/>
      <c r="FGB7" s="254"/>
      <c r="FGC7" s="254"/>
      <c r="FGD7" s="254"/>
      <c r="FGE7" s="254"/>
      <c r="FGF7" s="254"/>
      <c r="FGG7" s="254"/>
      <c r="FGH7" s="254"/>
      <c r="FGI7" s="254"/>
      <c r="FGJ7" s="254"/>
      <c r="FGK7" s="254"/>
      <c r="FGL7" s="254"/>
      <c r="FGM7" s="254"/>
      <c r="FGN7" s="254"/>
      <c r="FGO7" s="254"/>
      <c r="FGP7" s="254"/>
      <c r="FGQ7" s="254"/>
      <c r="FGR7" s="254"/>
      <c r="FGS7" s="254"/>
      <c r="FGT7" s="254"/>
      <c r="FGU7" s="254"/>
      <c r="FGV7" s="254"/>
      <c r="FGW7" s="254"/>
      <c r="FGX7" s="254"/>
      <c r="FGY7" s="254"/>
      <c r="FGZ7" s="254"/>
      <c r="FHA7" s="254"/>
      <c r="FHB7" s="254"/>
      <c r="FHC7" s="254"/>
      <c r="FHD7" s="254"/>
      <c r="FHE7" s="254"/>
      <c r="FHF7" s="254"/>
      <c r="FHG7" s="254"/>
      <c r="FHH7" s="254"/>
      <c r="FHI7" s="254"/>
      <c r="FHJ7" s="254"/>
      <c r="FHK7" s="254"/>
      <c r="FHL7" s="254"/>
      <c r="FHM7" s="254"/>
      <c r="FHN7" s="254"/>
      <c r="FHO7" s="254"/>
      <c r="FHP7" s="254"/>
      <c r="FHQ7" s="254"/>
      <c r="FHR7" s="254"/>
      <c r="FHS7" s="254"/>
      <c r="FHT7" s="254"/>
      <c r="FHU7" s="254"/>
      <c r="FHV7" s="254"/>
      <c r="FHW7" s="254"/>
      <c r="FHX7" s="254"/>
      <c r="FHY7" s="254"/>
      <c r="FHZ7" s="254"/>
      <c r="FIA7" s="254"/>
      <c r="FIB7" s="254"/>
      <c r="FIC7" s="254"/>
      <c r="FID7" s="254"/>
      <c r="FIE7" s="254"/>
      <c r="FIF7" s="254"/>
      <c r="FIG7" s="254"/>
      <c r="FIH7" s="254"/>
      <c r="FII7" s="254"/>
      <c r="FIJ7" s="254"/>
      <c r="FIK7" s="254"/>
      <c r="FIL7" s="254"/>
      <c r="FIM7" s="254"/>
      <c r="FIN7" s="254"/>
      <c r="FIO7" s="254"/>
      <c r="FIP7" s="254"/>
      <c r="FIQ7" s="254"/>
      <c r="FIR7" s="254"/>
      <c r="FIS7" s="254"/>
      <c r="FIT7" s="254"/>
      <c r="FIU7" s="254"/>
      <c r="FIV7" s="254"/>
      <c r="FIW7" s="254"/>
      <c r="FIX7" s="254"/>
      <c r="FIY7" s="254"/>
      <c r="FIZ7" s="254"/>
      <c r="FJA7" s="254"/>
      <c r="FJB7" s="254"/>
      <c r="FJC7" s="254"/>
      <c r="FJD7" s="254"/>
      <c r="FJE7" s="254"/>
      <c r="FJF7" s="254"/>
      <c r="FJG7" s="254"/>
      <c r="FJH7" s="254"/>
      <c r="FJI7" s="254"/>
      <c r="FJJ7" s="254"/>
      <c r="FJK7" s="254"/>
      <c r="FJL7" s="254"/>
      <c r="FJM7" s="254"/>
      <c r="FJN7" s="254"/>
      <c r="FJO7" s="254"/>
      <c r="FJP7" s="254"/>
      <c r="FJQ7" s="254"/>
      <c r="FJR7" s="254"/>
      <c r="FJS7" s="254"/>
      <c r="FJT7" s="254"/>
      <c r="FJU7" s="254"/>
      <c r="FJV7" s="254"/>
      <c r="FJW7" s="254"/>
      <c r="FJX7" s="254"/>
      <c r="FJY7" s="254"/>
      <c r="FJZ7" s="254"/>
      <c r="FKA7" s="254"/>
      <c r="FKB7" s="254"/>
      <c r="FKC7" s="254"/>
      <c r="FKD7" s="254"/>
      <c r="FKE7" s="254"/>
      <c r="FKF7" s="254"/>
      <c r="FKG7" s="254"/>
      <c r="FKH7" s="254"/>
      <c r="FKI7" s="254"/>
      <c r="FKJ7" s="254"/>
      <c r="FKK7" s="254"/>
      <c r="FKL7" s="254"/>
      <c r="FKM7" s="254"/>
      <c r="FKN7" s="254"/>
      <c r="FKO7" s="254"/>
      <c r="FKP7" s="254"/>
      <c r="FKQ7" s="254"/>
      <c r="FKR7" s="254"/>
      <c r="FKS7" s="254"/>
      <c r="FKT7" s="254"/>
      <c r="FKU7" s="254"/>
      <c r="FKV7" s="254"/>
      <c r="FKW7" s="254"/>
      <c r="FKX7" s="254"/>
      <c r="FKY7" s="254"/>
      <c r="FKZ7" s="254"/>
      <c r="FLA7" s="254"/>
      <c r="FLB7" s="254"/>
      <c r="FLC7" s="254"/>
      <c r="FLD7" s="254"/>
      <c r="FLE7" s="254"/>
      <c r="FLF7" s="254"/>
      <c r="FLG7" s="254"/>
      <c r="FLH7" s="254"/>
      <c r="FLI7" s="254"/>
      <c r="FLJ7" s="254"/>
      <c r="FLK7" s="254"/>
      <c r="FLL7" s="254"/>
      <c r="FLM7" s="254"/>
      <c r="FLN7" s="254"/>
      <c r="FLO7" s="254"/>
      <c r="FLP7" s="254"/>
      <c r="FLQ7" s="254"/>
      <c r="FLR7" s="254"/>
      <c r="FLS7" s="254"/>
      <c r="FLT7" s="254"/>
      <c r="FLU7" s="254"/>
      <c r="FLV7" s="254"/>
      <c r="FLW7" s="254"/>
      <c r="FLX7" s="254"/>
      <c r="FLY7" s="254"/>
      <c r="FLZ7" s="254"/>
      <c r="FMA7" s="254"/>
      <c r="FMB7" s="254"/>
      <c r="FMC7" s="254"/>
      <c r="FMD7" s="254"/>
      <c r="FME7" s="254"/>
      <c r="FMF7" s="254"/>
      <c r="FMG7" s="254"/>
      <c r="FMH7" s="254"/>
      <c r="FMI7" s="254"/>
      <c r="FMJ7" s="254"/>
      <c r="FMK7" s="254"/>
      <c r="FML7" s="254"/>
      <c r="FMM7" s="254"/>
      <c r="FMN7" s="254"/>
      <c r="FMO7" s="254"/>
      <c r="FMP7" s="254"/>
      <c r="FMQ7" s="254"/>
      <c r="FMR7" s="254"/>
      <c r="FMS7" s="254"/>
      <c r="FMT7" s="254"/>
      <c r="FMU7" s="254"/>
      <c r="FMV7" s="254"/>
      <c r="FMW7" s="254"/>
      <c r="FMX7" s="254"/>
      <c r="FMY7" s="254"/>
      <c r="FMZ7" s="254"/>
      <c r="FNA7" s="254"/>
      <c r="FNB7" s="254"/>
      <c r="FNC7" s="254"/>
      <c r="FND7" s="254"/>
      <c r="FNE7" s="254"/>
      <c r="FNF7" s="254"/>
      <c r="FNG7" s="254"/>
      <c r="FNH7" s="254"/>
      <c r="FNI7" s="254"/>
      <c r="FNJ7" s="254"/>
      <c r="FNK7" s="254"/>
      <c r="FNL7" s="254"/>
      <c r="FNM7" s="254"/>
      <c r="FNN7" s="254"/>
      <c r="FNO7" s="254"/>
      <c r="FNP7" s="254"/>
      <c r="FNQ7" s="254"/>
      <c r="FNR7" s="254"/>
      <c r="FNS7" s="254"/>
      <c r="FNT7" s="254"/>
      <c r="FNU7" s="254"/>
      <c r="FNV7" s="254"/>
      <c r="FNW7" s="254"/>
      <c r="FNX7" s="254"/>
      <c r="FNY7" s="254"/>
      <c r="FNZ7" s="254"/>
      <c r="FOA7" s="254"/>
      <c r="FOB7" s="254"/>
      <c r="FOC7" s="254"/>
      <c r="FOD7" s="254"/>
      <c r="FOE7" s="254"/>
      <c r="FOF7" s="254"/>
      <c r="FOG7" s="254"/>
      <c r="FOH7" s="254"/>
      <c r="FOI7" s="254"/>
      <c r="FOJ7" s="254"/>
      <c r="FOK7" s="254"/>
      <c r="FOL7" s="254"/>
      <c r="FOM7" s="254"/>
      <c r="FON7" s="254"/>
      <c r="FOO7" s="254"/>
      <c r="FOP7" s="254"/>
      <c r="FOQ7" s="254"/>
      <c r="FOR7" s="254"/>
      <c r="FOS7" s="254"/>
      <c r="FOT7" s="254"/>
      <c r="FOU7" s="254"/>
      <c r="FOV7" s="254"/>
      <c r="FOW7" s="254"/>
      <c r="FOX7" s="254"/>
      <c r="FOY7" s="254"/>
      <c r="FOZ7" s="254"/>
      <c r="FPA7" s="254"/>
      <c r="FPB7" s="254"/>
      <c r="FPC7" s="254"/>
      <c r="FPD7" s="254"/>
      <c r="FPE7" s="254"/>
      <c r="FPF7" s="254"/>
      <c r="FPG7" s="254"/>
      <c r="FPH7" s="254"/>
      <c r="FPI7" s="254"/>
      <c r="FPJ7" s="254"/>
      <c r="FPK7" s="254"/>
      <c r="FPL7" s="254"/>
      <c r="FPM7" s="254"/>
      <c r="FPN7" s="254"/>
      <c r="FPO7" s="254"/>
      <c r="FPP7" s="254"/>
      <c r="FPQ7" s="254"/>
      <c r="FPR7" s="254"/>
      <c r="FPS7" s="254"/>
      <c r="FPT7" s="254"/>
      <c r="FPU7" s="254"/>
      <c r="FPV7" s="254"/>
      <c r="FPW7" s="254"/>
      <c r="FPX7" s="254"/>
      <c r="FPY7" s="254"/>
      <c r="FPZ7" s="254"/>
      <c r="FQA7" s="254"/>
      <c r="FQB7" s="254"/>
      <c r="FQC7" s="254"/>
      <c r="FQD7" s="254"/>
      <c r="FQE7" s="254"/>
      <c r="FQF7" s="254"/>
      <c r="FQG7" s="254"/>
      <c r="FQH7" s="254"/>
      <c r="FQI7" s="254"/>
      <c r="FQJ7" s="254"/>
      <c r="FQK7" s="254"/>
      <c r="FQL7" s="254"/>
      <c r="FQM7" s="254"/>
      <c r="FQN7" s="254"/>
      <c r="FQO7" s="254"/>
      <c r="FQP7" s="254"/>
      <c r="FQQ7" s="254"/>
      <c r="FQR7" s="254"/>
      <c r="FQS7" s="254"/>
      <c r="FQT7" s="254"/>
      <c r="FQU7" s="254"/>
      <c r="FQV7" s="254"/>
      <c r="FQW7" s="254"/>
      <c r="FQX7" s="254"/>
      <c r="FQY7" s="254"/>
      <c r="FQZ7" s="254"/>
      <c r="FRA7" s="254"/>
      <c r="FRB7" s="254"/>
      <c r="FRC7" s="254"/>
      <c r="FRD7" s="254"/>
      <c r="FRE7" s="254"/>
      <c r="FRF7" s="254"/>
      <c r="FRG7" s="254"/>
      <c r="FRH7" s="254"/>
      <c r="FRI7" s="254"/>
      <c r="FRJ7" s="254"/>
      <c r="FRK7" s="254"/>
      <c r="FRL7" s="254"/>
      <c r="FRM7" s="254"/>
      <c r="FRN7" s="254"/>
      <c r="FRO7" s="254"/>
      <c r="FRP7" s="254"/>
      <c r="FRQ7" s="254"/>
      <c r="FRR7" s="254"/>
      <c r="FRS7" s="254"/>
      <c r="FRT7" s="254"/>
      <c r="FRU7" s="254"/>
      <c r="FRV7" s="254"/>
      <c r="FRW7" s="254"/>
      <c r="FRX7" s="254"/>
      <c r="FRY7" s="254"/>
      <c r="FRZ7" s="254"/>
      <c r="FSA7" s="254"/>
      <c r="FSB7" s="254"/>
      <c r="FSC7" s="254"/>
      <c r="FSD7" s="254"/>
      <c r="FSE7" s="254"/>
      <c r="FSF7" s="254"/>
      <c r="FSG7" s="254"/>
      <c r="FSH7" s="254"/>
      <c r="FSI7" s="254"/>
      <c r="FSJ7" s="254"/>
      <c r="FSK7" s="254"/>
      <c r="FSL7" s="254"/>
      <c r="FSM7" s="254"/>
      <c r="FSN7" s="254"/>
      <c r="FSO7" s="254"/>
      <c r="FSP7" s="254"/>
      <c r="FSQ7" s="254"/>
      <c r="FSR7" s="254"/>
      <c r="FSS7" s="254"/>
      <c r="FST7" s="254"/>
      <c r="FSU7" s="254"/>
      <c r="FSV7" s="254"/>
      <c r="FSW7" s="254"/>
      <c r="FSX7" s="254"/>
      <c r="FSY7" s="254"/>
      <c r="FSZ7" s="254"/>
      <c r="FTA7" s="254"/>
      <c r="FTB7" s="254"/>
      <c r="FTC7" s="254"/>
      <c r="FTD7" s="254"/>
      <c r="FTE7" s="254"/>
      <c r="FTF7" s="254"/>
      <c r="FTG7" s="254"/>
      <c r="FTH7" s="254"/>
      <c r="FTI7" s="254"/>
      <c r="FTJ7" s="254"/>
      <c r="FTK7" s="254"/>
      <c r="FTL7" s="254"/>
      <c r="FTM7" s="254"/>
      <c r="FTN7" s="254"/>
      <c r="FTO7" s="254"/>
      <c r="FTP7" s="254"/>
      <c r="FTQ7" s="254"/>
      <c r="FTR7" s="254"/>
      <c r="FTS7" s="254"/>
      <c r="FTT7" s="254"/>
      <c r="FTU7" s="254"/>
      <c r="FTV7" s="254"/>
      <c r="FTW7" s="254"/>
      <c r="FTX7" s="254"/>
      <c r="FTY7" s="254"/>
      <c r="FTZ7" s="254"/>
      <c r="FUA7" s="254"/>
      <c r="FUB7" s="254"/>
      <c r="FUC7" s="254"/>
      <c r="FUD7" s="254"/>
      <c r="FUE7" s="254"/>
      <c r="FUF7" s="254"/>
      <c r="FUG7" s="254"/>
      <c r="FUH7" s="254"/>
      <c r="FUI7" s="254"/>
      <c r="FUJ7" s="254"/>
      <c r="FUK7" s="254"/>
      <c r="FUL7" s="254"/>
      <c r="FUM7" s="254"/>
      <c r="FUN7" s="254"/>
      <c r="FUO7" s="254"/>
      <c r="FUP7" s="254"/>
      <c r="FUQ7" s="254"/>
      <c r="FUR7" s="254"/>
      <c r="FUS7" s="254"/>
      <c r="FUT7" s="254"/>
      <c r="FUU7" s="254"/>
      <c r="FUV7" s="254"/>
      <c r="FUW7" s="254"/>
      <c r="FUX7" s="254"/>
      <c r="FUY7" s="254"/>
      <c r="FUZ7" s="254"/>
      <c r="FVA7" s="254"/>
      <c r="FVB7" s="254"/>
      <c r="FVC7" s="254"/>
      <c r="FVD7" s="254"/>
      <c r="FVE7" s="254"/>
      <c r="FVF7" s="254"/>
      <c r="FVG7" s="254"/>
      <c r="FVH7" s="254"/>
      <c r="FVI7" s="254"/>
      <c r="FVJ7" s="254"/>
      <c r="FVK7" s="254"/>
      <c r="FVL7" s="254"/>
      <c r="FVM7" s="254"/>
      <c r="FVN7" s="254"/>
      <c r="FVO7" s="254"/>
      <c r="FVP7" s="254"/>
      <c r="FVQ7" s="254"/>
      <c r="FVR7" s="254"/>
      <c r="FVS7" s="254"/>
      <c r="FVT7" s="254"/>
      <c r="FVU7" s="254"/>
      <c r="FVV7" s="254"/>
      <c r="FVW7" s="254"/>
      <c r="FVX7" s="254"/>
      <c r="FVY7" s="254"/>
      <c r="FVZ7" s="254"/>
      <c r="FWA7" s="254"/>
      <c r="FWB7" s="254"/>
      <c r="FWC7" s="254"/>
      <c r="FWD7" s="254"/>
      <c r="FWE7" s="254"/>
      <c r="FWF7" s="254"/>
      <c r="FWG7" s="254"/>
      <c r="FWH7" s="254"/>
      <c r="FWI7" s="254"/>
      <c r="FWJ7" s="254"/>
      <c r="FWK7" s="254"/>
      <c r="FWL7" s="254"/>
      <c r="FWM7" s="254"/>
      <c r="FWN7" s="254"/>
      <c r="FWO7" s="254"/>
      <c r="FWP7" s="254"/>
      <c r="FWQ7" s="254"/>
      <c r="FWR7" s="254"/>
      <c r="FWS7" s="254"/>
      <c r="FWT7" s="254"/>
      <c r="FWU7" s="254"/>
      <c r="FWV7" s="254"/>
      <c r="FWW7" s="254"/>
      <c r="FWX7" s="254"/>
      <c r="FWY7" s="254"/>
      <c r="FWZ7" s="254"/>
      <c r="FXA7" s="254"/>
      <c r="FXB7" s="254"/>
      <c r="FXC7" s="254"/>
      <c r="FXD7" s="254"/>
      <c r="FXE7" s="254"/>
      <c r="FXF7" s="254"/>
      <c r="FXG7" s="254"/>
      <c r="FXH7" s="254"/>
      <c r="FXI7" s="254"/>
      <c r="FXJ7" s="254"/>
      <c r="FXK7" s="254"/>
      <c r="FXL7" s="254"/>
      <c r="FXM7" s="254"/>
      <c r="FXN7" s="254"/>
      <c r="FXO7" s="254"/>
      <c r="FXP7" s="254"/>
      <c r="FXQ7" s="254"/>
      <c r="FXR7" s="254"/>
      <c r="FXS7" s="254"/>
      <c r="FXT7" s="254"/>
      <c r="FXU7" s="254"/>
      <c r="FXV7" s="254"/>
      <c r="FXW7" s="254"/>
      <c r="FXX7" s="254"/>
      <c r="FXY7" s="254"/>
      <c r="FXZ7" s="254"/>
      <c r="FYA7" s="254"/>
      <c r="FYB7" s="254"/>
      <c r="FYC7" s="254"/>
      <c r="FYD7" s="254"/>
      <c r="FYE7" s="254"/>
      <c r="FYF7" s="254"/>
      <c r="FYG7" s="254"/>
      <c r="FYH7" s="254"/>
      <c r="FYI7" s="254"/>
      <c r="FYJ7" s="254"/>
      <c r="FYK7" s="254"/>
      <c r="FYL7" s="254"/>
      <c r="FYM7" s="254"/>
      <c r="FYN7" s="254"/>
      <c r="FYO7" s="254"/>
      <c r="FYP7" s="254"/>
      <c r="FYQ7" s="254"/>
      <c r="FYR7" s="254"/>
      <c r="FYS7" s="254"/>
      <c r="FYT7" s="254"/>
      <c r="FYU7" s="254"/>
      <c r="FYV7" s="254"/>
      <c r="FYW7" s="254"/>
      <c r="FYX7" s="254"/>
      <c r="FYY7" s="254"/>
      <c r="FYZ7" s="254"/>
      <c r="FZA7" s="254"/>
      <c r="FZB7" s="254"/>
      <c r="FZC7" s="254"/>
      <c r="FZD7" s="254"/>
      <c r="FZE7" s="254"/>
      <c r="FZF7" s="254"/>
      <c r="FZG7" s="254"/>
      <c r="FZH7" s="254"/>
      <c r="FZI7" s="254"/>
      <c r="FZJ7" s="254"/>
      <c r="FZK7" s="254"/>
      <c r="FZL7" s="254"/>
      <c r="FZM7" s="254"/>
      <c r="FZN7" s="254"/>
      <c r="FZO7" s="254"/>
      <c r="FZP7" s="254"/>
      <c r="FZQ7" s="254"/>
      <c r="FZR7" s="254"/>
      <c r="FZS7" s="254"/>
      <c r="FZT7" s="254"/>
      <c r="FZU7" s="254"/>
      <c r="FZV7" s="254"/>
      <c r="FZW7" s="254"/>
      <c r="FZX7" s="254"/>
      <c r="FZY7" s="254"/>
      <c r="FZZ7" s="254"/>
      <c r="GAA7" s="254"/>
      <c r="GAB7" s="254"/>
      <c r="GAC7" s="254"/>
      <c r="GAD7" s="254"/>
      <c r="GAE7" s="254"/>
      <c r="GAF7" s="254"/>
      <c r="GAG7" s="254"/>
      <c r="GAH7" s="254"/>
      <c r="GAI7" s="254"/>
      <c r="GAJ7" s="254"/>
      <c r="GAK7" s="254"/>
      <c r="GAL7" s="254"/>
      <c r="GAM7" s="254"/>
      <c r="GAN7" s="254"/>
      <c r="GAO7" s="254"/>
      <c r="GAP7" s="254"/>
      <c r="GAQ7" s="254"/>
      <c r="GAR7" s="254"/>
      <c r="GAS7" s="254"/>
      <c r="GAT7" s="254"/>
      <c r="GAU7" s="254"/>
      <c r="GAV7" s="254"/>
      <c r="GAW7" s="254"/>
      <c r="GAX7" s="254"/>
      <c r="GAY7" s="254"/>
      <c r="GAZ7" s="254"/>
      <c r="GBA7" s="254"/>
      <c r="GBB7" s="254"/>
      <c r="GBC7" s="254"/>
      <c r="GBD7" s="254"/>
      <c r="GBE7" s="254"/>
      <c r="GBF7" s="254"/>
      <c r="GBG7" s="254"/>
      <c r="GBH7" s="254"/>
      <c r="GBI7" s="254"/>
      <c r="GBJ7" s="254"/>
      <c r="GBK7" s="254"/>
      <c r="GBL7" s="254"/>
      <c r="GBM7" s="254"/>
      <c r="GBN7" s="254"/>
      <c r="GBO7" s="254"/>
      <c r="GBP7" s="254"/>
      <c r="GBQ7" s="254"/>
      <c r="GBR7" s="254"/>
      <c r="GBS7" s="254"/>
      <c r="GBT7" s="254"/>
      <c r="GBU7" s="254"/>
      <c r="GBV7" s="254"/>
      <c r="GBW7" s="254"/>
      <c r="GBX7" s="254"/>
      <c r="GBY7" s="254"/>
      <c r="GBZ7" s="254"/>
      <c r="GCA7" s="254"/>
      <c r="GCB7" s="254"/>
      <c r="GCC7" s="254"/>
      <c r="GCD7" s="254"/>
      <c r="GCE7" s="254"/>
      <c r="GCF7" s="254"/>
      <c r="GCG7" s="254"/>
      <c r="GCH7" s="254"/>
      <c r="GCI7" s="254"/>
      <c r="GCJ7" s="254"/>
      <c r="GCK7" s="254"/>
      <c r="GCL7" s="254"/>
      <c r="GCM7" s="254"/>
      <c r="GCN7" s="254"/>
      <c r="GCO7" s="254"/>
      <c r="GCP7" s="254"/>
      <c r="GCQ7" s="254"/>
      <c r="GCR7" s="254"/>
      <c r="GCS7" s="254"/>
      <c r="GCT7" s="254"/>
      <c r="GCU7" s="254"/>
      <c r="GCV7" s="254"/>
      <c r="GCW7" s="254"/>
      <c r="GCX7" s="254"/>
      <c r="GCY7" s="254"/>
      <c r="GCZ7" s="254"/>
      <c r="GDA7" s="254"/>
      <c r="GDB7" s="254"/>
      <c r="GDC7" s="254"/>
      <c r="GDD7" s="254"/>
      <c r="GDE7" s="254"/>
      <c r="GDF7" s="254"/>
      <c r="GDG7" s="254"/>
      <c r="GDH7" s="254"/>
      <c r="GDI7" s="254"/>
      <c r="GDJ7" s="254"/>
      <c r="GDK7" s="254"/>
      <c r="GDL7" s="254"/>
      <c r="GDM7" s="254"/>
      <c r="GDN7" s="254"/>
      <c r="GDO7" s="254"/>
      <c r="GDP7" s="254"/>
      <c r="GDQ7" s="254"/>
      <c r="GDR7" s="254"/>
      <c r="GDS7" s="254"/>
      <c r="GDT7" s="254"/>
      <c r="GDU7" s="254"/>
      <c r="GDV7" s="254"/>
      <c r="GDW7" s="254"/>
      <c r="GDX7" s="254"/>
      <c r="GDY7" s="254"/>
      <c r="GDZ7" s="254"/>
      <c r="GEA7" s="254"/>
      <c r="GEB7" s="254"/>
      <c r="GEC7" s="254"/>
      <c r="GED7" s="254"/>
      <c r="GEE7" s="254"/>
      <c r="GEF7" s="254"/>
      <c r="GEG7" s="254"/>
      <c r="GEH7" s="254"/>
      <c r="GEI7" s="254"/>
      <c r="GEJ7" s="254"/>
      <c r="GEK7" s="254"/>
      <c r="GEL7" s="254"/>
      <c r="GEM7" s="254"/>
      <c r="GEN7" s="254"/>
      <c r="GEO7" s="254"/>
      <c r="GEP7" s="254"/>
      <c r="GEQ7" s="254"/>
      <c r="GER7" s="254"/>
      <c r="GES7" s="254"/>
      <c r="GET7" s="254"/>
      <c r="GEU7" s="254"/>
      <c r="GEV7" s="254"/>
      <c r="GEW7" s="254"/>
      <c r="GEX7" s="254"/>
      <c r="GEY7" s="254"/>
      <c r="GEZ7" s="254"/>
      <c r="GFA7" s="254"/>
      <c r="GFB7" s="254"/>
      <c r="GFC7" s="254"/>
      <c r="GFD7" s="254"/>
      <c r="GFE7" s="254"/>
      <c r="GFF7" s="254"/>
      <c r="GFG7" s="254"/>
      <c r="GFH7" s="254"/>
      <c r="GFI7" s="254"/>
      <c r="GFJ7" s="254"/>
      <c r="GFK7" s="254"/>
      <c r="GFL7" s="254"/>
      <c r="GFM7" s="254"/>
      <c r="GFN7" s="254"/>
      <c r="GFO7" s="254"/>
      <c r="GFP7" s="254"/>
      <c r="GFQ7" s="254"/>
      <c r="GFR7" s="254"/>
      <c r="GFS7" s="254"/>
      <c r="GFT7" s="254"/>
      <c r="GFU7" s="254"/>
      <c r="GFV7" s="254"/>
      <c r="GFW7" s="254"/>
      <c r="GFX7" s="254"/>
      <c r="GFY7" s="254"/>
      <c r="GFZ7" s="254"/>
      <c r="GGA7" s="254"/>
      <c r="GGB7" s="254"/>
      <c r="GGC7" s="254"/>
      <c r="GGD7" s="254"/>
      <c r="GGE7" s="254"/>
      <c r="GGF7" s="254"/>
      <c r="GGG7" s="254"/>
      <c r="GGH7" s="254"/>
      <c r="GGI7" s="254"/>
      <c r="GGJ7" s="254"/>
      <c r="GGK7" s="254"/>
      <c r="GGL7" s="254"/>
      <c r="GGM7" s="254"/>
      <c r="GGN7" s="254"/>
      <c r="GGO7" s="254"/>
      <c r="GGP7" s="254"/>
      <c r="GGQ7" s="254"/>
      <c r="GGR7" s="254"/>
      <c r="GGS7" s="254"/>
      <c r="GGT7" s="254"/>
      <c r="GGU7" s="254"/>
      <c r="GGV7" s="254"/>
      <c r="GGW7" s="254"/>
      <c r="GGX7" s="254"/>
      <c r="GGY7" s="254"/>
      <c r="GGZ7" s="254"/>
      <c r="GHA7" s="254"/>
      <c r="GHB7" s="254"/>
      <c r="GHC7" s="254"/>
      <c r="GHD7" s="254"/>
      <c r="GHE7" s="254"/>
      <c r="GHF7" s="254"/>
      <c r="GHG7" s="254"/>
      <c r="GHH7" s="254"/>
      <c r="GHI7" s="254"/>
      <c r="GHJ7" s="254"/>
      <c r="GHK7" s="254"/>
      <c r="GHL7" s="254"/>
      <c r="GHM7" s="254"/>
      <c r="GHN7" s="254"/>
      <c r="GHO7" s="254"/>
      <c r="GHP7" s="254"/>
      <c r="GHQ7" s="254"/>
      <c r="GHR7" s="254"/>
      <c r="GHS7" s="254"/>
      <c r="GHT7" s="254"/>
      <c r="GHU7" s="254"/>
      <c r="GHV7" s="254"/>
      <c r="GHW7" s="254"/>
      <c r="GHX7" s="254"/>
      <c r="GHY7" s="254"/>
      <c r="GHZ7" s="254"/>
      <c r="GIA7" s="254"/>
      <c r="GIB7" s="254"/>
      <c r="GIC7" s="254"/>
      <c r="GID7" s="254"/>
      <c r="GIE7" s="254"/>
      <c r="GIF7" s="254"/>
      <c r="GIG7" s="254"/>
      <c r="GIH7" s="254"/>
      <c r="GII7" s="254"/>
      <c r="GIJ7" s="254"/>
      <c r="GIK7" s="254"/>
      <c r="GIL7" s="254"/>
      <c r="GIM7" s="254"/>
      <c r="GIN7" s="254"/>
      <c r="GIO7" s="254"/>
      <c r="GIP7" s="254"/>
      <c r="GIQ7" s="254"/>
      <c r="GIR7" s="254"/>
      <c r="GIS7" s="254"/>
      <c r="GIT7" s="254"/>
      <c r="GIU7" s="254"/>
      <c r="GIV7" s="254"/>
      <c r="GIW7" s="254"/>
      <c r="GIX7" s="254"/>
      <c r="GIY7" s="254"/>
      <c r="GIZ7" s="254"/>
      <c r="GJA7" s="254"/>
      <c r="GJB7" s="254"/>
      <c r="GJC7" s="254"/>
      <c r="GJD7" s="254"/>
      <c r="GJE7" s="254"/>
      <c r="GJF7" s="254"/>
      <c r="GJG7" s="254"/>
      <c r="GJH7" s="254"/>
      <c r="GJI7" s="254"/>
      <c r="GJJ7" s="254"/>
      <c r="GJK7" s="254"/>
      <c r="GJL7" s="254"/>
      <c r="GJM7" s="254"/>
      <c r="GJN7" s="254"/>
      <c r="GJO7" s="254"/>
      <c r="GJP7" s="254"/>
      <c r="GJQ7" s="254"/>
      <c r="GJR7" s="254"/>
      <c r="GJS7" s="254"/>
      <c r="GJT7" s="254"/>
      <c r="GJU7" s="254"/>
      <c r="GJV7" s="254"/>
      <c r="GJW7" s="254"/>
      <c r="GJX7" s="254"/>
      <c r="GJY7" s="254"/>
      <c r="GJZ7" s="254"/>
      <c r="GKA7" s="254"/>
      <c r="GKB7" s="254"/>
      <c r="GKC7" s="254"/>
      <c r="GKD7" s="254"/>
      <c r="GKE7" s="254"/>
      <c r="GKF7" s="254"/>
      <c r="GKG7" s="254"/>
      <c r="GKH7" s="254"/>
      <c r="GKI7" s="254"/>
      <c r="GKJ7" s="254"/>
      <c r="GKK7" s="254"/>
      <c r="GKL7" s="254"/>
      <c r="GKM7" s="254"/>
      <c r="GKN7" s="254"/>
      <c r="GKO7" s="254"/>
      <c r="GKP7" s="254"/>
      <c r="GKQ7" s="254"/>
      <c r="GKR7" s="254"/>
      <c r="GKS7" s="254"/>
      <c r="GKT7" s="254"/>
      <c r="GKU7" s="254"/>
      <c r="GKV7" s="254"/>
      <c r="GKW7" s="254"/>
      <c r="GKX7" s="254"/>
      <c r="GKY7" s="254"/>
      <c r="GKZ7" s="254"/>
      <c r="GLA7" s="254"/>
      <c r="GLB7" s="254"/>
      <c r="GLC7" s="254"/>
      <c r="GLD7" s="254"/>
      <c r="GLE7" s="254"/>
      <c r="GLF7" s="254"/>
      <c r="GLG7" s="254"/>
      <c r="GLH7" s="254"/>
      <c r="GLI7" s="254"/>
      <c r="GLJ7" s="254"/>
      <c r="GLK7" s="254"/>
      <c r="GLL7" s="254"/>
      <c r="GLM7" s="254"/>
      <c r="GLN7" s="254"/>
      <c r="GLO7" s="254"/>
      <c r="GLP7" s="254"/>
      <c r="GLQ7" s="254"/>
      <c r="GLR7" s="254"/>
      <c r="GLS7" s="254"/>
      <c r="GLT7" s="254"/>
      <c r="GLU7" s="254"/>
      <c r="GLV7" s="254"/>
      <c r="GLW7" s="254"/>
      <c r="GLX7" s="254"/>
      <c r="GLY7" s="254"/>
      <c r="GLZ7" s="254"/>
      <c r="GMA7" s="254"/>
      <c r="GMB7" s="254"/>
      <c r="GMC7" s="254"/>
      <c r="GMD7" s="254"/>
      <c r="GME7" s="254"/>
      <c r="GMF7" s="254"/>
      <c r="GMG7" s="254"/>
      <c r="GMH7" s="254"/>
      <c r="GMI7" s="254"/>
      <c r="GMJ7" s="254"/>
      <c r="GMK7" s="254"/>
      <c r="GML7" s="254"/>
      <c r="GMM7" s="254"/>
      <c r="GMN7" s="254"/>
      <c r="GMO7" s="254"/>
      <c r="GMP7" s="254"/>
      <c r="GMQ7" s="254"/>
      <c r="GMR7" s="254"/>
      <c r="GMS7" s="254"/>
      <c r="GMT7" s="254"/>
      <c r="GMU7" s="254"/>
      <c r="GMV7" s="254"/>
      <c r="GMW7" s="254"/>
      <c r="GMX7" s="254"/>
      <c r="GMY7" s="254"/>
      <c r="GMZ7" s="254"/>
      <c r="GNA7" s="254"/>
      <c r="GNB7" s="254"/>
      <c r="GNC7" s="254"/>
      <c r="GND7" s="254"/>
      <c r="GNE7" s="254"/>
      <c r="GNF7" s="254"/>
      <c r="GNG7" s="254"/>
      <c r="GNH7" s="254"/>
      <c r="GNI7" s="254"/>
      <c r="GNJ7" s="254"/>
      <c r="GNK7" s="254"/>
      <c r="GNL7" s="254"/>
      <c r="GNM7" s="254"/>
      <c r="GNN7" s="254"/>
      <c r="GNO7" s="254"/>
      <c r="GNP7" s="254"/>
      <c r="GNQ7" s="254"/>
      <c r="GNR7" s="254"/>
      <c r="GNS7" s="254"/>
      <c r="GNT7" s="254"/>
      <c r="GNU7" s="254"/>
      <c r="GNV7" s="254"/>
      <c r="GNW7" s="254"/>
      <c r="GNX7" s="254"/>
      <c r="GNY7" s="254"/>
      <c r="GNZ7" s="254"/>
      <c r="GOA7" s="254"/>
      <c r="GOB7" s="254"/>
      <c r="GOC7" s="254"/>
      <c r="GOD7" s="254"/>
      <c r="GOE7" s="254"/>
      <c r="GOF7" s="254"/>
      <c r="GOG7" s="254"/>
      <c r="GOH7" s="254"/>
      <c r="GOI7" s="254"/>
      <c r="GOJ7" s="254"/>
      <c r="GOK7" s="254"/>
      <c r="GOL7" s="254"/>
      <c r="GOM7" s="254"/>
      <c r="GON7" s="254"/>
      <c r="GOO7" s="254"/>
      <c r="GOP7" s="254"/>
      <c r="GOQ7" s="254"/>
      <c r="GOR7" s="254"/>
      <c r="GOS7" s="254"/>
      <c r="GOT7" s="254"/>
      <c r="GOU7" s="254"/>
      <c r="GOV7" s="254"/>
      <c r="GOW7" s="254"/>
      <c r="GOX7" s="254"/>
      <c r="GOY7" s="254"/>
      <c r="GOZ7" s="254"/>
      <c r="GPA7" s="254"/>
      <c r="GPB7" s="254"/>
      <c r="GPC7" s="254"/>
      <c r="GPD7" s="254"/>
      <c r="GPE7" s="254"/>
      <c r="GPF7" s="254"/>
      <c r="GPG7" s="254"/>
      <c r="GPH7" s="254"/>
      <c r="GPI7" s="254"/>
      <c r="GPJ7" s="254"/>
      <c r="GPK7" s="254"/>
      <c r="GPL7" s="254"/>
      <c r="GPM7" s="254"/>
      <c r="GPN7" s="254"/>
      <c r="GPO7" s="254"/>
      <c r="GPP7" s="254"/>
      <c r="GPQ7" s="254"/>
      <c r="GPR7" s="254"/>
      <c r="GPS7" s="254"/>
      <c r="GPT7" s="254"/>
      <c r="GPU7" s="254"/>
      <c r="GPV7" s="254"/>
      <c r="GPW7" s="254"/>
      <c r="GPX7" s="254"/>
      <c r="GPY7" s="254"/>
      <c r="GPZ7" s="254"/>
      <c r="GQA7" s="254"/>
      <c r="GQB7" s="254"/>
      <c r="GQC7" s="254"/>
      <c r="GQD7" s="254"/>
      <c r="GQE7" s="254"/>
      <c r="GQF7" s="254"/>
      <c r="GQG7" s="254"/>
      <c r="GQH7" s="254"/>
      <c r="GQI7" s="254"/>
      <c r="GQJ7" s="254"/>
      <c r="GQK7" s="254"/>
      <c r="GQL7" s="254"/>
      <c r="GQM7" s="254"/>
      <c r="GQN7" s="254"/>
      <c r="GQO7" s="254"/>
      <c r="GQP7" s="254"/>
      <c r="GQQ7" s="254"/>
      <c r="GQR7" s="254"/>
      <c r="GQS7" s="254"/>
      <c r="GQT7" s="254"/>
      <c r="GQU7" s="254"/>
      <c r="GQV7" s="254"/>
      <c r="GQW7" s="254"/>
      <c r="GQX7" s="254"/>
      <c r="GQY7" s="254"/>
      <c r="GQZ7" s="254"/>
      <c r="GRA7" s="254"/>
      <c r="GRB7" s="254"/>
      <c r="GRC7" s="254"/>
      <c r="GRD7" s="254"/>
      <c r="GRE7" s="254"/>
      <c r="GRF7" s="254"/>
      <c r="GRG7" s="254"/>
      <c r="GRH7" s="254"/>
      <c r="GRI7" s="254"/>
      <c r="GRJ7" s="254"/>
      <c r="GRK7" s="254"/>
      <c r="GRL7" s="254"/>
      <c r="GRM7" s="254"/>
      <c r="GRN7" s="254"/>
      <c r="GRO7" s="254"/>
      <c r="GRP7" s="254"/>
      <c r="GRQ7" s="254"/>
      <c r="GRR7" s="254"/>
      <c r="GRS7" s="254"/>
      <c r="GRT7" s="254"/>
      <c r="GRU7" s="254"/>
      <c r="GRV7" s="254"/>
      <c r="GRW7" s="254"/>
      <c r="GRX7" s="254"/>
      <c r="GRY7" s="254"/>
      <c r="GRZ7" s="254"/>
      <c r="GSA7" s="254"/>
      <c r="GSB7" s="254"/>
      <c r="GSC7" s="254"/>
      <c r="GSD7" s="254"/>
      <c r="GSE7" s="254"/>
      <c r="GSF7" s="254"/>
      <c r="GSG7" s="254"/>
      <c r="GSH7" s="254"/>
      <c r="GSI7" s="254"/>
      <c r="GSJ7" s="254"/>
      <c r="GSK7" s="254"/>
      <c r="GSL7" s="254"/>
      <c r="GSM7" s="254"/>
      <c r="GSN7" s="254"/>
      <c r="GSO7" s="254"/>
      <c r="GSP7" s="254"/>
      <c r="GSQ7" s="254"/>
      <c r="GSR7" s="254"/>
      <c r="GSS7" s="254"/>
      <c r="GST7" s="254"/>
      <c r="GSU7" s="254"/>
      <c r="GSV7" s="254"/>
      <c r="GSW7" s="254"/>
      <c r="GSX7" s="254"/>
      <c r="GSY7" s="254"/>
      <c r="GSZ7" s="254"/>
      <c r="GTA7" s="254"/>
      <c r="GTB7" s="254"/>
      <c r="GTC7" s="254"/>
      <c r="GTD7" s="254"/>
      <c r="GTE7" s="254"/>
      <c r="GTF7" s="254"/>
      <c r="GTG7" s="254"/>
      <c r="GTH7" s="254"/>
      <c r="GTI7" s="254"/>
      <c r="GTJ7" s="254"/>
      <c r="GTK7" s="254"/>
      <c r="GTL7" s="254"/>
      <c r="GTM7" s="254"/>
      <c r="GTN7" s="254"/>
      <c r="GTO7" s="254"/>
      <c r="GTP7" s="254"/>
      <c r="GTQ7" s="254"/>
      <c r="GTR7" s="254"/>
      <c r="GTS7" s="254"/>
      <c r="GTT7" s="254"/>
      <c r="GTU7" s="254"/>
      <c r="GTV7" s="254"/>
      <c r="GTW7" s="254"/>
      <c r="GTX7" s="254"/>
      <c r="GTY7" s="254"/>
      <c r="GTZ7" s="254"/>
      <c r="GUA7" s="254"/>
      <c r="GUB7" s="254"/>
      <c r="GUC7" s="254"/>
      <c r="GUD7" s="254"/>
      <c r="GUE7" s="254"/>
      <c r="GUF7" s="254"/>
      <c r="GUG7" s="254"/>
      <c r="GUH7" s="254"/>
      <c r="GUI7" s="254"/>
      <c r="GUJ7" s="254"/>
      <c r="GUK7" s="254"/>
      <c r="GUL7" s="254"/>
      <c r="GUM7" s="254"/>
      <c r="GUN7" s="254"/>
      <c r="GUO7" s="254"/>
      <c r="GUP7" s="254"/>
      <c r="GUQ7" s="254"/>
      <c r="GUR7" s="254"/>
      <c r="GUS7" s="254"/>
      <c r="GUT7" s="254"/>
      <c r="GUU7" s="254"/>
      <c r="GUV7" s="254"/>
      <c r="GUW7" s="254"/>
      <c r="GUX7" s="254"/>
      <c r="GUY7" s="254"/>
      <c r="GUZ7" s="254"/>
      <c r="GVA7" s="254"/>
      <c r="GVB7" s="254"/>
      <c r="GVC7" s="254"/>
      <c r="GVD7" s="254"/>
      <c r="GVE7" s="254"/>
      <c r="GVF7" s="254"/>
      <c r="GVG7" s="254"/>
      <c r="GVH7" s="254"/>
      <c r="GVI7" s="254"/>
      <c r="GVJ7" s="254"/>
      <c r="GVK7" s="254"/>
      <c r="GVL7" s="254"/>
      <c r="GVM7" s="254"/>
      <c r="GVN7" s="254"/>
      <c r="GVO7" s="254"/>
      <c r="GVP7" s="254"/>
      <c r="GVQ7" s="254"/>
      <c r="GVR7" s="254"/>
      <c r="GVS7" s="254"/>
      <c r="GVT7" s="254"/>
      <c r="GVU7" s="254"/>
      <c r="GVV7" s="254"/>
      <c r="GVW7" s="254"/>
      <c r="GVX7" s="254"/>
      <c r="GVY7" s="254"/>
      <c r="GVZ7" s="254"/>
      <c r="GWA7" s="254"/>
      <c r="GWB7" s="254"/>
      <c r="GWC7" s="254"/>
      <c r="GWD7" s="254"/>
      <c r="GWE7" s="254"/>
      <c r="GWF7" s="254"/>
      <c r="GWG7" s="254"/>
      <c r="GWH7" s="254"/>
      <c r="GWI7" s="254"/>
      <c r="GWJ7" s="254"/>
      <c r="GWK7" s="254"/>
      <c r="GWL7" s="254"/>
      <c r="GWM7" s="254"/>
      <c r="GWN7" s="254"/>
      <c r="GWO7" s="254"/>
      <c r="GWP7" s="254"/>
      <c r="GWQ7" s="254"/>
      <c r="GWR7" s="254"/>
      <c r="GWS7" s="254"/>
      <c r="GWT7" s="254"/>
      <c r="GWU7" s="254"/>
      <c r="GWV7" s="254"/>
      <c r="GWW7" s="254"/>
      <c r="GWX7" s="254"/>
      <c r="GWY7" s="254"/>
      <c r="GWZ7" s="254"/>
      <c r="GXA7" s="254"/>
      <c r="GXB7" s="254"/>
      <c r="GXC7" s="254"/>
      <c r="GXD7" s="254"/>
      <c r="GXE7" s="254"/>
      <c r="GXF7" s="254"/>
      <c r="GXG7" s="254"/>
      <c r="GXH7" s="254"/>
      <c r="GXI7" s="254"/>
      <c r="GXJ7" s="254"/>
      <c r="GXK7" s="254"/>
      <c r="GXL7" s="254"/>
      <c r="GXM7" s="254"/>
      <c r="GXN7" s="254"/>
      <c r="GXO7" s="254"/>
      <c r="GXP7" s="254"/>
      <c r="GXQ7" s="254"/>
      <c r="GXR7" s="254"/>
      <c r="GXS7" s="254"/>
      <c r="GXT7" s="254"/>
      <c r="GXU7" s="254"/>
      <c r="GXV7" s="254"/>
      <c r="GXW7" s="254"/>
      <c r="GXX7" s="254"/>
      <c r="GXY7" s="254"/>
      <c r="GXZ7" s="254"/>
      <c r="GYA7" s="254"/>
      <c r="GYB7" s="254"/>
      <c r="GYC7" s="254"/>
      <c r="GYD7" s="254"/>
      <c r="GYE7" s="254"/>
      <c r="GYF7" s="254"/>
      <c r="GYG7" s="254"/>
      <c r="GYH7" s="254"/>
      <c r="GYI7" s="254"/>
      <c r="GYJ7" s="254"/>
      <c r="GYK7" s="254"/>
      <c r="GYL7" s="254"/>
      <c r="GYM7" s="254"/>
      <c r="GYN7" s="254"/>
      <c r="GYO7" s="254"/>
      <c r="GYP7" s="254"/>
      <c r="GYQ7" s="254"/>
      <c r="GYR7" s="254"/>
      <c r="GYS7" s="254"/>
      <c r="GYT7" s="254"/>
      <c r="GYU7" s="254"/>
      <c r="GYV7" s="254"/>
      <c r="GYW7" s="254"/>
      <c r="GYX7" s="254"/>
      <c r="GYY7" s="254"/>
      <c r="GYZ7" s="254"/>
      <c r="GZA7" s="254"/>
      <c r="GZB7" s="254"/>
      <c r="GZC7" s="254"/>
      <c r="GZD7" s="254"/>
      <c r="GZE7" s="254"/>
      <c r="GZF7" s="254"/>
      <c r="GZG7" s="254"/>
      <c r="GZH7" s="254"/>
      <c r="GZI7" s="254"/>
      <c r="GZJ7" s="254"/>
      <c r="GZK7" s="254"/>
      <c r="GZL7" s="254"/>
      <c r="GZM7" s="254"/>
      <c r="GZN7" s="254"/>
      <c r="GZO7" s="254"/>
      <c r="GZP7" s="254"/>
      <c r="GZQ7" s="254"/>
      <c r="GZR7" s="254"/>
      <c r="GZS7" s="254"/>
      <c r="GZT7" s="254"/>
      <c r="GZU7" s="254"/>
      <c r="GZV7" s="254"/>
      <c r="GZW7" s="254"/>
      <c r="GZX7" s="254"/>
      <c r="GZY7" s="254"/>
      <c r="GZZ7" s="254"/>
      <c r="HAA7" s="254"/>
      <c r="HAB7" s="254"/>
      <c r="HAC7" s="254"/>
      <c r="HAD7" s="254"/>
      <c r="HAE7" s="254"/>
      <c r="HAF7" s="254"/>
      <c r="HAG7" s="254"/>
      <c r="HAH7" s="254"/>
      <c r="HAI7" s="254"/>
      <c r="HAJ7" s="254"/>
      <c r="HAK7" s="254"/>
      <c r="HAL7" s="254"/>
      <c r="HAM7" s="254"/>
      <c r="HAN7" s="254"/>
      <c r="HAO7" s="254"/>
      <c r="HAP7" s="254"/>
      <c r="HAQ7" s="254"/>
      <c r="HAR7" s="254"/>
      <c r="HAS7" s="254"/>
      <c r="HAT7" s="254"/>
      <c r="HAU7" s="254"/>
      <c r="HAV7" s="254"/>
      <c r="HAW7" s="254"/>
      <c r="HAX7" s="254"/>
      <c r="HAY7" s="254"/>
      <c r="HAZ7" s="254"/>
      <c r="HBA7" s="254"/>
      <c r="HBB7" s="254"/>
      <c r="HBC7" s="254"/>
      <c r="HBD7" s="254"/>
      <c r="HBE7" s="254"/>
      <c r="HBF7" s="254"/>
      <c r="HBG7" s="254"/>
      <c r="HBH7" s="254"/>
      <c r="HBI7" s="254"/>
      <c r="HBJ7" s="254"/>
      <c r="HBK7" s="254"/>
      <c r="HBL7" s="254"/>
      <c r="HBM7" s="254"/>
      <c r="HBN7" s="254"/>
      <c r="HBO7" s="254"/>
      <c r="HBP7" s="254"/>
      <c r="HBQ7" s="254"/>
      <c r="HBR7" s="254"/>
      <c r="HBS7" s="254"/>
      <c r="HBT7" s="254"/>
      <c r="HBU7" s="254"/>
      <c r="HBV7" s="254"/>
      <c r="HBW7" s="254"/>
      <c r="HBX7" s="254"/>
      <c r="HBY7" s="254"/>
      <c r="HBZ7" s="254"/>
      <c r="HCA7" s="254"/>
      <c r="HCB7" s="254"/>
      <c r="HCC7" s="254"/>
      <c r="HCD7" s="254"/>
      <c r="HCE7" s="254"/>
      <c r="HCF7" s="254"/>
      <c r="HCG7" s="254"/>
      <c r="HCH7" s="254"/>
      <c r="HCI7" s="254"/>
      <c r="HCJ7" s="254"/>
      <c r="HCK7" s="254"/>
      <c r="HCL7" s="254"/>
      <c r="HCM7" s="254"/>
      <c r="HCN7" s="254"/>
      <c r="HCO7" s="254"/>
      <c r="HCP7" s="254"/>
      <c r="HCQ7" s="254"/>
      <c r="HCR7" s="254"/>
      <c r="HCS7" s="254"/>
      <c r="HCT7" s="254"/>
      <c r="HCU7" s="254"/>
      <c r="HCV7" s="254"/>
      <c r="HCW7" s="254"/>
      <c r="HCX7" s="254"/>
      <c r="HCY7" s="254"/>
      <c r="HCZ7" s="254"/>
      <c r="HDA7" s="254"/>
      <c r="HDB7" s="254"/>
      <c r="HDC7" s="254"/>
      <c r="HDD7" s="254"/>
      <c r="HDE7" s="254"/>
      <c r="HDF7" s="254"/>
      <c r="HDG7" s="254"/>
      <c r="HDH7" s="254"/>
      <c r="HDI7" s="254"/>
      <c r="HDJ7" s="254"/>
      <c r="HDK7" s="254"/>
      <c r="HDL7" s="254"/>
      <c r="HDM7" s="254"/>
      <c r="HDN7" s="254"/>
      <c r="HDO7" s="254"/>
      <c r="HDP7" s="254"/>
      <c r="HDQ7" s="254"/>
      <c r="HDR7" s="254"/>
      <c r="HDS7" s="254"/>
      <c r="HDT7" s="254"/>
      <c r="HDU7" s="254"/>
      <c r="HDV7" s="254"/>
      <c r="HDW7" s="254"/>
      <c r="HDX7" s="254"/>
      <c r="HDY7" s="254"/>
      <c r="HDZ7" s="254"/>
      <c r="HEA7" s="254"/>
      <c r="HEB7" s="254"/>
      <c r="HEC7" s="254"/>
      <c r="HED7" s="254"/>
      <c r="HEE7" s="254"/>
      <c r="HEF7" s="254"/>
      <c r="HEG7" s="254"/>
      <c r="HEH7" s="254"/>
      <c r="HEI7" s="254"/>
      <c r="HEJ7" s="254"/>
      <c r="HEK7" s="254"/>
      <c r="HEL7" s="254"/>
      <c r="HEM7" s="254"/>
      <c r="HEN7" s="254"/>
      <c r="HEO7" s="254"/>
      <c r="HEP7" s="254"/>
      <c r="HEQ7" s="254"/>
      <c r="HER7" s="254"/>
      <c r="HES7" s="254"/>
      <c r="HET7" s="254"/>
      <c r="HEU7" s="254"/>
      <c r="HEV7" s="254"/>
      <c r="HEW7" s="254"/>
      <c r="HEX7" s="254"/>
      <c r="HEY7" s="254"/>
      <c r="HEZ7" s="254"/>
      <c r="HFA7" s="254"/>
      <c r="HFB7" s="254"/>
      <c r="HFC7" s="254"/>
      <c r="HFD7" s="254"/>
      <c r="HFE7" s="254"/>
      <c r="HFF7" s="254"/>
      <c r="HFG7" s="254"/>
      <c r="HFH7" s="254"/>
      <c r="HFI7" s="254"/>
      <c r="HFJ7" s="254"/>
      <c r="HFK7" s="254"/>
      <c r="HFL7" s="254"/>
      <c r="HFM7" s="254"/>
      <c r="HFN7" s="254"/>
      <c r="HFO7" s="254"/>
      <c r="HFP7" s="254"/>
      <c r="HFQ7" s="254"/>
      <c r="HFR7" s="254"/>
      <c r="HFS7" s="254"/>
      <c r="HFT7" s="254"/>
      <c r="HFU7" s="254"/>
      <c r="HFV7" s="254"/>
      <c r="HFW7" s="254"/>
      <c r="HFX7" s="254"/>
      <c r="HFY7" s="254"/>
      <c r="HFZ7" s="254"/>
      <c r="HGA7" s="254"/>
      <c r="HGB7" s="254"/>
      <c r="HGC7" s="254"/>
      <c r="HGD7" s="254"/>
      <c r="HGE7" s="254"/>
      <c r="HGF7" s="254"/>
      <c r="HGG7" s="254"/>
      <c r="HGH7" s="254"/>
      <c r="HGI7" s="254"/>
      <c r="HGJ7" s="254"/>
      <c r="HGK7" s="254"/>
      <c r="HGL7" s="254"/>
      <c r="HGM7" s="254"/>
      <c r="HGN7" s="254"/>
      <c r="HGO7" s="254"/>
      <c r="HGP7" s="254"/>
      <c r="HGQ7" s="254"/>
      <c r="HGR7" s="254"/>
      <c r="HGS7" s="254"/>
      <c r="HGT7" s="254"/>
      <c r="HGU7" s="254"/>
      <c r="HGV7" s="254"/>
      <c r="HGW7" s="254"/>
      <c r="HGX7" s="254"/>
      <c r="HGY7" s="254"/>
      <c r="HGZ7" s="254"/>
      <c r="HHA7" s="254"/>
      <c r="HHB7" s="254"/>
      <c r="HHC7" s="254"/>
      <c r="HHD7" s="254"/>
      <c r="HHE7" s="254"/>
      <c r="HHF7" s="254"/>
      <c r="HHG7" s="254"/>
      <c r="HHH7" s="254"/>
      <c r="HHI7" s="254"/>
      <c r="HHJ7" s="254"/>
      <c r="HHK7" s="254"/>
      <c r="HHL7" s="254"/>
      <c r="HHM7" s="254"/>
      <c r="HHN7" s="254"/>
      <c r="HHO7" s="254"/>
      <c r="HHP7" s="254"/>
      <c r="HHQ7" s="254"/>
      <c r="HHR7" s="254"/>
      <c r="HHS7" s="254"/>
      <c r="HHT7" s="254"/>
      <c r="HHU7" s="254"/>
      <c r="HHV7" s="254"/>
      <c r="HHW7" s="254"/>
      <c r="HHX7" s="254"/>
      <c r="HHY7" s="254"/>
      <c r="HHZ7" s="254"/>
      <c r="HIA7" s="254"/>
      <c r="HIB7" s="254"/>
      <c r="HIC7" s="254"/>
      <c r="HID7" s="254"/>
      <c r="HIE7" s="254"/>
      <c r="HIF7" s="254"/>
      <c r="HIG7" s="254"/>
      <c r="HIH7" s="254"/>
      <c r="HII7" s="254"/>
      <c r="HIJ7" s="254"/>
      <c r="HIK7" s="254"/>
      <c r="HIL7" s="254"/>
      <c r="HIM7" s="254"/>
      <c r="HIN7" s="254"/>
      <c r="HIO7" s="254"/>
      <c r="HIP7" s="254"/>
      <c r="HIQ7" s="254"/>
      <c r="HIR7" s="254"/>
      <c r="HIS7" s="254"/>
      <c r="HIT7" s="254"/>
      <c r="HIU7" s="254"/>
      <c r="HIV7" s="254"/>
      <c r="HIW7" s="254"/>
      <c r="HIX7" s="254"/>
      <c r="HIY7" s="254"/>
      <c r="HIZ7" s="254"/>
      <c r="HJA7" s="254"/>
      <c r="HJB7" s="254"/>
      <c r="HJC7" s="254"/>
      <c r="HJD7" s="254"/>
      <c r="HJE7" s="254"/>
      <c r="HJF7" s="254"/>
      <c r="HJG7" s="254"/>
      <c r="HJH7" s="254"/>
      <c r="HJI7" s="254"/>
      <c r="HJJ7" s="254"/>
      <c r="HJK7" s="254"/>
      <c r="HJL7" s="254"/>
      <c r="HJM7" s="254"/>
      <c r="HJN7" s="254"/>
      <c r="HJO7" s="254"/>
      <c r="HJP7" s="254"/>
      <c r="HJQ7" s="254"/>
      <c r="HJR7" s="254"/>
      <c r="HJS7" s="254"/>
      <c r="HJT7" s="254"/>
      <c r="HJU7" s="254"/>
      <c r="HJV7" s="254"/>
      <c r="HJW7" s="254"/>
      <c r="HJX7" s="254"/>
      <c r="HJY7" s="254"/>
      <c r="HJZ7" s="254"/>
      <c r="HKA7" s="254"/>
      <c r="HKB7" s="254"/>
      <c r="HKC7" s="254"/>
      <c r="HKD7" s="254"/>
      <c r="HKE7" s="254"/>
      <c r="HKF7" s="254"/>
      <c r="HKG7" s="254"/>
      <c r="HKH7" s="254"/>
      <c r="HKI7" s="254"/>
      <c r="HKJ7" s="254"/>
      <c r="HKK7" s="254"/>
      <c r="HKL7" s="254"/>
      <c r="HKM7" s="254"/>
      <c r="HKN7" s="254"/>
      <c r="HKO7" s="254"/>
      <c r="HKP7" s="254"/>
      <c r="HKQ7" s="254"/>
      <c r="HKR7" s="254"/>
      <c r="HKS7" s="254"/>
      <c r="HKT7" s="254"/>
      <c r="HKU7" s="254"/>
      <c r="HKV7" s="254"/>
      <c r="HKW7" s="254"/>
      <c r="HKX7" s="254"/>
      <c r="HKY7" s="254"/>
      <c r="HKZ7" s="254"/>
      <c r="HLA7" s="254"/>
      <c r="HLB7" s="254"/>
      <c r="HLC7" s="254"/>
      <c r="HLD7" s="254"/>
      <c r="HLE7" s="254"/>
      <c r="HLF7" s="254"/>
      <c r="HLG7" s="254"/>
      <c r="HLH7" s="254"/>
      <c r="HLI7" s="254"/>
      <c r="HLJ7" s="254"/>
      <c r="HLK7" s="254"/>
      <c r="HLL7" s="254"/>
      <c r="HLM7" s="254"/>
      <c r="HLN7" s="254"/>
      <c r="HLO7" s="254"/>
      <c r="HLP7" s="254"/>
      <c r="HLQ7" s="254"/>
      <c r="HLR7" s="254"/>
      <c r="HLS7" s="254"/>
      <c r="HLT7" s="254"/>
      <c r="HLU7" s="254"/>
      <c r="HLV7" s="254"/>
      <c r="HLW7" s="254"/>
      <c r="HLX7" s="254"/>
      <c r="HLY7" s="254"/>
      <c r="HLZ7" s="254"/>
      <c r="HMA7" s="254"/>
      <c r="HMB7" s="254"/>
      <c r="HMC7" s="254"/>
      <c r="HMD7" s="254"/>
      <c r="HME7" s="254"/>
      <c r="HMF7" s="254"/>
      <c r="HMG7" s="254"/>
      <c r="HMH7" s="254"/>
      <c r="HMI7" s="254"/>
      <c r="HMJ7" s="254"/>
      <c r="HMK7" s="254"/>
      <c r="HML7" s="254"/>
      <c r="HMM7" s="254"/>
      <c r="HMN7" s="254"/>
      <c r="HMO7" s="254"/>
      <c r="HMP7" s="254"/>
      <c r="HMQ7" s="254"/>
      <c r="HMR7" s="254"/>
      <c r="HMS7" s="254"/>
      <c r="HMT7" s="254"/>
      <c r="HMU7" s="254"/>
      <c r="HMV7" s="254"/>
      <c r="HMW7" s="254"/>
      <c r="HMX7" s="254"/>
      <c r="HMY7" s="254"/>
      <c r="HMZ7" s="254"/>
      <c r="HNA7" s="254"/>
      <c r="HNB7" s="254"/>
      <c r="HNC7" s="254"/>
      <c r="HND7" s="254"/>
      <c r="HNE7" s="254"/>
      <c r="HNF7" s="254"/>
      <c r="HNG7" s="254"/>
      <c r="HNH7" s="254"/>
      <c r="HNI7" s="254"/>
      <c r="HNJ7" s="254"/>
      <c r="HNK7" s="254"/>
      <c r="HNL7" s="254"/>
      <c r="HNM7" s="254"/>
      <c r="HNN7" s="254"/>
      <c r="HNO7" s="254"/>
      <c r="HNP7" s="254"/>
      <c r="HNQ7" s="254"/>
      <c r="HNR7" s="254"/>
      <c r="HNS7" s="254"/>
      <c r="HNT7" s="254"/>
      <c r="HNU7" s="254"/>
      <c r="HNV7" s="254"/>
      <c r="HNW7" s="254"/>
      <c r="HNX7" s="254"/>
      <c r="HNY7" s="254"/>
      <c r="HNZ7" s="254"/>
      <c r="HOA7" s="254"/>
      <c r="HOB7" s="254"/>
      <c r="HOC7" s="254"/>
      <c r="HOD7" s="254"/>
      <c r="HOE7" s="254"/>
      <c r="HOF7" s="254"/>
      <c r="HOG7" s="254"/>
      <c r="HOH7" s="254"/>
      <c r="HOI7" s="254"/>
      <c r="HOJ7" s="254"/>
      <c r="HOK7" s="254"/>
      <c r="HOL7" s="254"/>
      <c r="HOM7" s="254"/>
      <c r="HON7" s="254"/>
      <c r="HOO7" s="254"/>
      <c r="HOP7" s="254"/>
      <c r="HOQ7" s="254"/>
      <c r="HOR7" s="254"/>
      <c r="HOS7" s="254"/>
      <c r="HOT7" s="254"/>
      <c r="HOU7" s="254"/>
      <c r="HOV7" s="254"/>
      <c r="HOW7" s="254"/>
      <c r="HOX7" s="254"/>
      <c r="HOY7" s="254"/>
      <c r="HOZ7" s="254"/>
      <c r="HPA7" s="254"/>
      <c r="HPB7" s="254"/>
      <c r="HPC7" s="254"/>
      <c r="HPD7" s="254"/>
      <c r="HPE7" s="254"/>
      <c r="HPF7" s="254"/>
      <c r="HPG7" s="254"/>
      <c r="HPH7" s="254"/>
      <c r="HPI7" s="254"/>
      <c r="HPJ7" s="254"/>
      <c r="HPK7" s="254"/>
      <c r="HPL7" s="254"/>
      <c r="HPM7" s="254"/>
      <c r="HPN7" s="254"/>
      <c r="HPO7" s="254"/>
      <c r="HPP7" s="254"/>
      <c r="HPQ7" s="254"/>
      <c r="HPR7" s="254"/>
      <c r="HPS7" s="254"/>
      <c r="HPT7" s="254"/>
      <c r="HPU7" s="254"/>
      <c r="HPV7" s="254"/>
      <c r="HPW7" s="254"/>
      <c r="HPX7" s="254"/>
      <c r="HPY7" s="254"/>
      <c r="HPZ7" s="254"/>
      <c r="HQA7" s="254"/>
      <c r="HQB7" s="254"/>
      <c r="HQC7" s="254"/>
      <c r="HQD7" s="254"/>
      <c r="HQE7" s="254"/>
      <c r="HQF7" s="254"/>
      <c r="HQG7" s="254"/>
      <c r="HQH7" s="254"/>
      <c r="HQI7" s="254"/>
      <c r="HQJ7" s="254"/>
      <c r="HQK7" s="254"/>
      <c r="HQL7" s="254"/>
      <c r="HQM7" s="254"/>
      <c r="HQN7" s="254"/>
      <c r="HQO7" s="254"/>
      <c r="HQP7" s="254"/>
      <c r="HQQ7" s="254"/>
      <c r="HQR7" s="254"/>
      <c r="HQS7" s="254"/>
      <c r="HQT7" s="254"/>
      <c r="HQU7" s="254"/>
      <c r="HQV7" s="254"/>
      <c r="HQW7" s="254"/>
      <c r="HQX7" s="254"/>
      <c r="HQY7" s="254"/>
      <c r="HQZ7" s="254"/>
      <c r="HRA7" s="254"/>
      <c r="HRB7" s="254"/>
      <c r="HRC7" s="254"/>
      <c r="HRD7" s="254"/>
      <c r="HRE7" s="254"/>
      <c r="HRF7" s="254"/>
      <c r="HRG7" s="254"/>
      <c r="HRH7" s="254"/>
      <c r="HRI7" s="254"/>
      <c r="HRJ7" s="254"/>
      <c r="HRK7" s="254"/>
      <c r="HRL7" s="254"/>
      <c r="HRM7" s="254"/>
      <c r="HRN7" s="254"/>
      <c r="HRO7" s="254"/>
      <c r="HRP7" s="254"/>
      <c r="HRQ7" s="254"/>
      <c r="HRR7" s="254"/>
      <c r="HRS7" s="254"/>
      <c r="HRT7" s="254"/>
      <c r="HRU7" s="254"/>
      <c r="HRV7" s="254"/>
      <c r="HRW7" s="254"/>
      <c r="HRX7" s="254"/>
      <c r="HRY7" s="254"/>
      <c r="HRZ7" s="254"/>
      <c r="HSA7" s="254"/>
      <c r="HSB7" s="254"/>
      <c r="HSC7" s="254"/>
      <c r="HSD7" s="254"/>
      <c r="HSE7" s="254"/>
      <c r="HSF7" s="254"/>
      <c r="HSG7" s="254"/>
      <c r="HSH7" s="254"/>
      <c r="HSI7" s="254"/>
      <c r="HSJ7" s="254"/>
      <c r="HSK7" s="254"/>
      <c r="HSL7" s="254"/>
      <c r="HSM7" s="254"/>
      <c r="HSN7" s="254"/>
      <c r="HSO7" s="254"/>
      <c r="HSP7" s="254"/>
      <c r="HSQ7" s="254"/>
      <c r="HSR7" s="254"/>
      <c r="HSS7" s="254"/>
      <c r="HST7" s="254"/>
      <c r="HSU7" s="254"/>
      <c r="HSV7" s="254"/>
      <c r="HSW7" s="254"/>
      <c r="HSX7" s="254"/>
      <c r="HSY7" s="254"/>
      <c r="HSZ7" s="254"/>
      <c r="HTA7" s="254"/>
      <c r="HTB7" s="254"/>
      <c r="HTC7" s="254"/>
      <c r="HTD7" s="254"/>
      <c r="HTE7" s="254"/>
      <c r="HTF7" s="254"/>
      <c r="HTG7" s="254"/>
      <c r="HTH7" s="254"/>
      <c r="HTI7" s="254"/>
      <c r="HTJ7" s="254"/>
      <c r="HTK7" s="254"/>
      <c r="HTL7" s="254"/>
      <c r="HTM7" s="254"/>
      <c r="HTN7" s="254"/>
      <c r="HTO7" s="254"/>
      <c r="HTP7" s="254"/>
      <c r="HTQ7" s="254"/>
      <c r="HTR7" s="254"/>
      <c r="HTS7" s="254"/>
      <c r="HTT7" s="254"/>
      <c r="HTU7" s="254"/>
      <c r="HTV7" s="254"/>
      <c r="HTW7" s="254"/>
      <c r="HTX7" s="254"/>
      <c r="HTY7" s="254"/>
      <c r="HTZ7" s="254"/>
      <c r="HUA7" s="254"/>
      <c r="HUB7" s="254"/>
      <c r="HUC7" s="254"/>
      <c r="HUD7" s="254"/>
      <c r="HUE7" s="254"/>
      <c r="HUF7" s="254"/>
      <c r="HUG7" s="254"/>
      <c r="HUH7" s="254"/>
      <c r="HUI7" s="254"/>
      <c r="HUJ7" s="254"/>
      <c r="HUK7" s="254"/>
      <c r="HUL7" s="254"/>
      <c r="HUM7" s="254"/>
      <c r="HUN7" s="254"/>
      <c r="HUO7" s="254"/>
      <c r="HUP7" s="254"/>
      <c r="HUQ7" s="254"/>
      <c r="HUR7" s="254"/>
      <c r="HUS7" s="254"/>
      <c r="HUT7" s="254"/>
      <c r="HUU7" s="254"/>
      <c r="HUV7" s="254"/>
      <c r="HUW7" s="254"/>
      <c r="HUX7" s="254"/>
      <c r="HUY7" s="254"/>
      <c r="HUZ7" s="254"/>
      <c r="HVA7" s="254"/>
      <c r="HVB7" s="254"/>
      <c r="HVC7" s="254"/>
      <c r="HVD7" s="254"/>
      <c r="HVE7" s="254"/>
      <c r="HVF7" s="254"/>
      <c r="HVG7" s="254"/>
      <c r="HVH7" s="254"/>
      <c r="HVI7" s="254"/>
      <c r="HVJ7" s="254"/>
      <c r="HVK7" s="254"/>
      <c r="HVL7" s="254"/>
      <c r="HVM7" s="254"/>
      <c r="HVN7" s="254"/>
      <c r="HVO7" s="254"/>
      <c r="HVP7" s="254"/>
      <c r="HVQ7" s="254"/>
      <c r="HVR7" s="254"/>
      <c r="HVS7" s="254"/>
      <c r="HVT7" s="254"/>
      <c r="HVU7" s="254"/>
      <c r="HVV7" s="254"/>
      <c r="HVW7" s="254"/>
      <c r="HVX7" s="254"/>
      <c r="HVY7" s="254"/>
      <c r="HVZ7" s="254"/>
      <c r="HWA7" s="254"/>
      <c r="HWB7" s="254"/>
      <c r="HWC7" s="254"/>
      <c r="HWD7" s="254"/>
      <c r="HWE7" s="254"/>
      <c r="HWF7" s="254"/>
      <c r="HWG7" s="254"/>
      <c r="HWH7" s="254"/>
      <c r="HWI7" s="254"/>
      <c r="HWJ7" s="254"/>
      <c r="HWK7" s="254"/>
      <c r="HWL7" s="254"/>
      <c r="HWM7" s="254"/>
      <c r="HWN7" s="254"/>
      <c r="HWO7" s="254"/>
      <c r="HWP7" s="254"/>
      <c r="HWQ7" s="254"/>
      <c r="HWR7" s="254"/>
      <c r="HWS7" s="254"/>
      <c r="HWT7" s="254"/>
      <c r="HWU7" s="254"/>
      <c r="HWV7" s="254"/>
      <c r="HWW7" s="254"/>
      <c r="HWX7" s="254"/>
      <c r="HWY7" s="254"/>
      <c r="HWZ7" s="254"/>
      <c r="HXA7" s="254"/>
      <c r="HXB7" s="254"/>
      <c r="HXC7" s="254"/>
      <c r="HXD7" s="254"/>
      <c r="HXE7" s="254"/>
      <c r="HXF7" s="254"/>
      <c r="HXG7" s="254"/>
      <c r="HXH7" s="254"/>
      <c r="HXI7" s="254"/>
      <c r="HXJ7" s="254"/>
      <c r="HXK7" s="254"/>
      <c r="HXL7" s="254"/>
      <c r="HXM7" s="254"/>
      <c r="HXN7" s="254"/>
      <c r="HXO7" s="254"/>
      <c r="HXP7" s="254"/>
      <c r="HXQ7" s="254"/>
      <c r="HXR7" s="254"/>
      <c r="HXS7" s="254"/>
      <c r="HXT7" s="254"/>
      <c r="HXU7" s="254"/>
      <c r="HXV7" s="254"/>
      <c r="HXW7" s="254"/>
      <c r="HXX7" s="254"/>
      <c r="HXY7" s="254"/>
      <c r="HXZ7" s="254"/>
      <c r="HYA7" s="254"/>
      <c r="HYB7" s="254"/>
      <c r="HYC7" s="254"/>
      <c r="HYD7" s="254"/>
      <c r="HYE7" s="254"/>
      <c r="HYF7" s="254"/>
      <c r="HYG7" s="254"/>
      <c r="HYH7" s="254"/>
      <c r="HYI7" s="254"/>
      <c r="HYJ7" s="254"/>
      <c r="HYK7" s="254"/>
      <c r="HYL7" s="254"/>
      <c r="HYM7" s="254"/>
      <c r="HYN7" s="254"/>
      <c r="HYO7" s="254"/>
      <c r="HYP7" s="254"/>
      <c r="HYQ7" s="254"/>
      <c r="HYR7" s="254"/>
      <c r="HYS7" s="254"/>
      <c r="HYT7" s="254"/>
      <c r="HYU7" s="254"/>
      <c r="HYV7" s="254"/>
      <c r="HYW7" s="254"/>
      <c r="HYX7" s="254"/>
      <c r="HYY7" s="254"/>
      <c r="HYZ7" s="254"/>
      <c r="HZA7" s="254"/>
      <c r="HZB7" s="254"/>
      <c r="HZC7" s="254"/>
      <c r="HZD7" s="254"/>
      <c r="HZE7" s="254"/>
      <c r="HZF7" s="254"/>
      <c r="HZG7" s="254"/>
      <c r="HZH7" s="254"/>
      <c r="HZI7" s="254"/>
      <c r="HZJ7" s="254"/>
      <c r="HZK7" s="254"/>
      <c r="HZL7" s="254"/>
      <c r="HZM7" s="254"/>
      <c r="HZN7" s="254"/>
      <c r="HZO7" s="254"/>
      <c r="HZP7" s="254"/>
      <c r="HZQ7" s="254"/>
      <c r="HZR7" s="254"/>
      <c r="HZS7" s="254"/>
      <c r="HZT7" s="254"/>
      <c r="HZU7" s="254"/>
      <c r="HZV7" s="254"/>
      <c r="HZW7" s="254"/>
      <c r="HZX7" s="254"/>
      <c r="HZY7" s="254"/>
      <c r="HZZ7" s="254"/>
      <c r="IAA7" s="254"/>
      <c r="IAB7" s="254"/>
      <c r="IAC7" s="254"/>
      <c r="IAD7" s="254"/>
      <c r="IAE7" s="254"/>
      <c r="IAF7" s="254"/>
      <c r="IAG7" s="254"/>
      <c r="IAH7" s="254"/>
      <c r="IAI7" s="254"/>
      <c r="IAJ7" s="254"/>
      <c r="IAK7" s="254"/>
      <c r="IAL7" s="254"/>
      <c r="IAM7" s="254"/>
      <c r="IAN7" s="254"/>
      <c r="IAO7" s="254"/>
      <c r="IAP7" s="254"/>
      <c r="IAQ7" s="254"/>
      <c r="IAR7" s="254"/>
      <c r="IAS7" s="254"/>
      <c r="IAT7" s="254"/>
      <c r="IAU7" s="254"/>
      <c r="IAV7" s="254"/>
      <c r="IAW7" s="254"/>
      <c r="IAX7" s="254"/>
      <c r="IAY7" s="254"/>
      <c r="IAZ7" s="254"/>
      <c r="IBA7" s="254"/>
      <c r="IBB7" s="254"/>
      <c r="IBC7" s="254"/>
      <c r="IBD7" s="254"/>
      <c r="IBE7" s="254"/>
      <c r="IBF7" s="254"/>
      <c r="IBG7" s="254"/>
      <c r="IBH7" s="254"/>
      <c r="IBI7" s="254"/>
      <c r="IBJ7" s="254"/>
      <c r="IBK7" s="254"/>
      <c r="IBL7" s="254"/>
      <c r="IBM7" s="254"/>
      <c r="IBN7" s="254"/>
      <c r="IBO7" s="254"/>
      <c r="IBP7" s="254"/>
      <c r="IBQ7" s="254"/>
      <c r="IBR7" s="254"/>
      <c r="IBS7" s="254"/>
      <c r="IBT7" s="254"/>
      <c r="IBU7" s="254"/>
      <c r="IBV7" s="254"/>
      <c r="IBW7" s="254"/>
      <c r="IBX7" s="254"/>
      <c r="IBY7" s="254"/>
      <c r="IBZ7" s="254"/>
      <c r="ICA7" s="254"/>
      <c r="ICB7" s="254"/>
      <c r="ICC7" s="254"/>
      <c r="ICD7" s="254"/>
      <c r="ICE7" s="254"/>
      <c r="ICF7" s="254"/>
      <c r="ICG7" s="254"/>
      <c r="ICH7" s="254"/>
      <c r="ICI7" s="254"/>
      <c r="ICJ7" s="254"/>
      <c r="ICK7" s="254"/>
      <c r="ICL7" s="254"/>
      <c r="ICM7" s="254"/>
      <c r="ICN7" s="254"/>
      <c r="ICO7" s="254"/>
      <c r="ICP7" s="254"/>
      <c r="ICQ7" s="254"/>
      <c r="ICR7" s="254"/>
      <c r="ICS7" s="254"/>
      <c r="ICT7" s="254"/>
      <c r="ICU7" s="254"/>
      <c r="ICV7" s="254"/>
      <c r="ICW7" s="254"/>
      <c r="ICX7" s="254"/>
      <c r="ICY7" s="254"/>
      <c r="ICZ7" s="254"/>
      <c r="IDA7" s="254"/>
      <c r="IDB7" s="254"/>
      <c r="IDC7" s="254"/>
      <c r="IDD7" s="254"/>
      <c r="IDE7" s="254"/>
      <c r="IDF7" s="254"/>
      <c r="IDG7" s="254"/>
      <c r="IDH7" s="254"/>
      <c r="IDI7" s="254"/>
      <c r="IDJ7" s="254"/>
      <c r="IDK7" s="254"/>
      <c r="IDL7" s="254"/>
      <c r="IDM7" s="254"/>
      <c r="IDN7" s="254"/>
      <c r="IDO7" s="254"/>
      <c r="IDP7" s="254"/>
      <c r="IDQ7" s="254"/>
      <c r="IDR7" s="254"/>
      <c r="IDS7" s="254"/>
      <c r="IDT7" s="254"/>
      <c r="IDU7" s="254"/>
      <c r="IDV7" s="254"/>
      <c r="IDW7" s="254"/>
      <c r="IDX7" s="254"/>
      <c r="IDY7" s="254"/>
      <c r="IDZ7" s="254"/>
      <c r="IEA7" s="254"/>
      <c r="IEB7" s="254"/>
      <c r="IEC7" s="254"/>
      <c r="IED7" s="254"/>
      <c r="IEE7" s="254"/>
      <c r="IEF7" s="254"/>
      <c r="IEG7" s="254"/>
      <c r="IEH7" s="254"/>
      <c r="IEI7" s="254"/>
      <c r="IEJ7" s="254"/>
      <c r="IEK7" s="254"/>
      <c r="IEL7" s="254"/>
      <c r="IEM7" s="254"/>
      <c r="IEN7" s="254"/>
      <c r="IEO7" s="254"/>
      <c r="IEP7" s="254"/>
      <c r="IEQ7" s="254"/>
      <c r="IER7" s="254"/>
      <c r="IES7" s="254"/>
      <c r="IET7" s="254"/>
      <c r="IEU7" s="254"/>
      <c r="IEV7" s="254"/>
      <c r="IEW7" s="254"/>
      <c r="IEX7" s="254"/>
      <c r="IEY7" s="254"/>
      <c r="IEZ7" s="254"/>
      <c r="IFA7" s="254"/>
      <c r="IFB7" s="254"/>
      <c r="IFC7" s="254"/>
      <c r="IFD7" s="254"/>
      <c r="IFE7" s="254"/>
      <c r="IFF7" s="254"/>
      <c r="IFG7" s="254"/>
      <c r="IFH7" s="254"/>
      <c r="IFI7" s="254"/>
      <c r="IFJ7" s="254"/>
      <c r="IFK7" s="254"/>
      <c r="IFL7" s="254"/>
      <c r="IFM7" s="254"/>
      <c r="IFN7" s="254"/>
      <c r="IFO7" s="254"/>
      <c r="IFP7" s="254"/>
      <c r="IFQ7" s="254"/>
      <c r="IFR7" s="254"/>
      <c r="IFS7" s="254"/>
      <c r="IFT7" s="254"/>
      <c r="IFU7" s="254"/>
      <c r="IFV7" s="254"/>
      <c r="IFW7" s="254"/>
      <c r="IFX7" s="254"/>
      <c r="IFY7" s="254"/>
      <c r="IFZ7" s="254"/>
      <c r="IGA7" s="254"/>
      <c r="IGB7" s="254"/>
      <c r="IGC7" s="254"/>
      <c r="IGD7" s="254"/>
      <c r="IGE7" s="254"/>
      <c r="IGF7" s="254"/>
      <c r="IGG7" s="254"/>
      <c r="IGH7" s="254"/>
      <c r="IGI7" s="254"/>
      <c r="IGJ7" s="254"/>
      <c r="IGK7" s="254"/>
      <c r="IGL7" s="254"/>
      <c r="IGM7" s="254"/>
      <c r="IGN7" s="254"/>
      <c r="IGO7" s="254"/>
      <c r="IGP7" s="254"/>
      <c r="IGQ7" s="254"/>
      <c r="IGR7" s="254"/>
      <c r="IGS7" s="254"/>
      <c r="IGT7" s="254"/>
      <c r="IGU7" s="254"/>
      <c r="IGV7" s="254"/>
      <c r="IGW7" s="254"/>
      <c r="IGX7" s="254"/>
      <c r="IGY7" s="254"/>
      <c r="IGZ7" s="254"/>
      <c r="IHA7" s="254"/>
      <c r="IHB7" s="254"/>
      <c r="IHC7" s="254"/>
      <c r="IHD7" s="254"/>
      <c r="IHE7" s="254"/>
      <c r="IHF7" s="254"/>
      <c r="IHG7" s="254"/>
      <c r="IHH7" s="254"/>
      <c r="IHI7" s="254"/>
      <c r="IHJ7" s="254"/>
      <c r="IHK7" s="254"/>
      <c r="IHL7" s="254"/>
      <c r="IHM7" s="254"/>
      <c r="IHN7" s="254"/>
      <c r="IHO7" s="254"/>
      <c r="IHP7" s="254"/>
      <c r="IHQ7" s="254"/>
      <c r="IHR7" s="254"/>
      <c r="IHS7" s="254"/>
      <c r="IHT7" s="254"/>
      <c r="IHU7" s="254"/>
      <c r="IHV7" s="254"/>
      <c r="IHW7" s="254"/>
      <c r="IHX7" s="254"/>
      <c r="IHY7" s="254"/>
      <c r="IHZ7" s="254"/>
      <c r="IIA7" s="254"/>
      <c r="IIB7" s="254"/>
      <c r="IIC7" s="254"/>
      <c r="IID7" s="254"/>
      <c r="IIE7" s="254"/>
      <c r="IIF7" s="254"/>
      <c r="IIG7" s="254"/>
      <c r="IIH7" s="254"/>
      <c r="III7" s="254"/>
      <c r="IIJ7" s="254"/>
      <c r="IIK7" s="254"/>
      <c r="IIL7" s="254"/>
      <c r="IIM7" s="254"/>
      <c r="IIN7" s="254"/>
      <c r="IIO7" s="254"/>
      <c r="IIP7" s="254"/>
      <c r="IIQ7" s="254"/>
      <c r="IIR7" s="254"/>
      <c r="IIS7" s="254"/>
      <c r="IIT7" s="254"/>
      <c r="IIU7" s="254"/>
      <c r="IIV7" s="254"/>
      <c r="IIW7" s="254"/>
      <c r="IIX7" s="254"/>
      <c r="IIY7" s="254"/>
      <c r="IIZ7" s="254"/>
      <c r="IJA7" s="254"/>
      <c r="IJB7" s="254"/>
      <c r="IJC7" s="254"/>
      <c r="IJD7" s="254"/>
      <c r="IJE7" s="254"/>
      <c r="IJF7" s="254"/>
      <c r="IJG7" s="254"/>
      <c r="IJH7" s="254"/>
      <c r="IJI7" s="254"/>
      <c r="IJJ7" s="254"/>
      <c r="IJK7" s="254"/>
      <c r="IJL7" s="254"/>
      <c r="IJM7" s="254"/>
      <c r="IJN7" s="254"/>
      <c r="IJO7" s="254"/>
      <c r="IJP7" s="254"/>
      <c r="IJQ7" s="254"/>
      <c r="IJR7" s="254"/>
      <c r="IJS7" s="254"/>
      <c r="IJT7" s="254"/>
      <c r="IJU7" s="254"/>
      <c r="IJV7" s="254"/>
      <c r="IJW7" s="254"/>
      <c r="IJX7" s="254"/>
      <c r="IJY7" s="254"/>
      <c r="IJZ7" s="254"/>
      <c r="IKA7" s="254"/>
      <c r="IKB7" s="254"/>
      <c r="IKC7" s="254"/>
      <c r="IKD7" s="254"/>
      <c r="IKE7" s="254"/>
      <c r="IKF7" s="254"/>
      <c r="IKG7" s="254"/>
      <c r="IKH7" s="254"/>
      <c r="IKI7" s="254"/>
      <c r="IKJ7" s="254"/>
      <c r="IKK7" s="254"/>
      <c r="IKL7" s="254"/>
      <c r="IKM7" s="254"/>
      <c r="IKN7" s="254"/>
      <c r="IKO7" s="254"/>
      <c r="IKP7" s="254"/>
      <c r="IKQ7" s="254"/>
      <c r="IKR7" s="254"/>
      <c r="IKS7" s="254"/>
      <c r="IKT7" s="254"/>
      <c r="IKU7" s="254"/>
      <c r="IKV7" s="254"/>
      <c r="IKW7" s="254"/>
      <c r="IKX7" s="254"/>
      <c r="IKY7" s="254"/>
      <c r="IKZ7" s="254"/>
      <c r="ILA7" s="254"/>
      <c r="ILB7" s="254"/>
      <c r="ILC7" s="254"/>
      <c r="ILD7" s="254"/>
      <c r="ILE7" s="254"/>
      <c r="ILF7" s="254"/>
      <c r="ILG7" s="254"/>
      <c r="ILH7" s="254"/>
      <c r="ILI7" s="254"/>
      <c r="ILJ7" s="254"/>
      <c r="ILK7" s="254"/>
      <c r="ILL7" s="254"/>
      <c r="ILM7" s="254"/>
      <c r="ILN7" s="254"/>
      <c r="ILO7" s="254"/>
      <c r="ILP7" s="254"/>
      <c r="ILQ7" s="254"/>
      <c r="ILR7" s="254"/>
      <c r="ILS7" s="254"/>
      <c r="ILT7" s="254"/>
      <c r="ILU7" s="254"/>
      <c r="ILV7" s="254"/>
      <c r="ILW7" s="254"/>
      <c r="ILX7" s="254"/>
      <c r="ILY7" s="254"/>
      <c r="ILZ7" s="254"/>
      <c r="IMA7" s="254"/>
      <c r="IMB7" s="254"/>
      <c r="IMC7" s="254"/>
      <c r="IMD7" s="254"/>
      <c r="IME7" s="254"/>
      <c r="IMF7" s="254"/>
      <c r="IMG7" s="254"/>
      <c r="IMH7" s="254"/>
      <c r="IMI7" s="254"/>
      <c r="IMJ7" s="254"/>
      <c r="IMK7" s="254"/>
      <c r="IML7" s="254"/>
      <c r="IMM7" s="254"/>
      <c r="IMN7" s="254"/>
      <c r="IMO7" s="254"/>
      <c r="IMP7" s="254"/>
      <c r="IMQ7" s="254"/>
      <c r="IMR7" s="254"/>
      <c r="IMS7" s="254"/>
      <c r="IMT7" s="254"/>
      <c r="IMU7" s="254"/>
      <c r="IMV7" s="254"/>
      <c r="IMW7" s="254"/>
      <c r="IMX7" s="254"/>
      <c r="IMY7" s="254"/>
      <c r="IMZ7" s="254"/>
      <c r="INA7" s="254"/>
      <c r="INB7" s="254"/>
      <c r="INC7" s="254"/>
      <c r="IND7" s="254"/>
      <c r="INE7" s="254"/>
      <c r="INF7" s="254"/>
      <c r="ING7" s="254"/>
      <c r="INH7" s="254"/>
      <c r="INI7" s="254"/>
      <c r="INJ7" s="254"/>
      <c r="INK7" s="254"/>
      <c r="INL7" s="254"/>
      <c r="INM7" s="254"/>
      <c r="INN7" s="254"/>
      <c r="INO7" s="254"/>
      <c r="INP7" s="254"/>
      <c r="INQ7" s="254"/>
      <c r="INR7" s="254"/>
      <c r="INS7" s="254"/>
      <c r="INT7" s="254"/>
      <c r="INU7" s="254"/>
      <c r="INV7" s="254"/>
      <c r="INW7" s="254"/>
      <c r="INX7" s="254"/>
      <c r="INY7" s="254"/>
      <c r="INZ7" s="254"/>
      <c r="IOA7" s="254"/>
      <c r="IOB7" s="254"/>
      <c r="IOC7" s="254"/>
      <c r="IOD7" s="254"/>
      <c r="IOE7" s="254"/>
      <c r="IOF7" s="254"/>
      <c r="IOG7" s="254"/>
      <c r="IOH7" s="254"/>
      <c r="IOI7" s="254"/>
      <c r="IOJ7" s="254"/>
      <c r="IOK7" s="254"/>
      <c r="IOL7" s="254"/>
      <c r="IOM7" s="254"/>
      <c r="ION7" s="254"/>
      <c r="IOO7" s="254"/>
      <c r="IOP7" s="254"/>
      <c r="IOQ7" s="254"/>
      <c r="IOR7" s="254"/>
      <c r="IOS7" s="254"/>
      <c r="IOT7" s="254"/>
      <c r="IOU7" s="254"/>
      <c r="IOV7" s="254"/>
      <c r="IOW7" s="254"/>
      <c r="IOX7" s="254"/>
      <c r="IOY7" s="254"/>
      <c r="IOZ7" s="254"/>
      <c r="IPA7" s="254"/>
      <c r="IPB7" s="254"/>
      <c r="IPC7" s="254"/>
      <c r="IPD7" s="254"/>
      <c r="IPE7" s="254"/>
      <c r="IPF7" s="254"/>
      <c r="IPG7" s="254"/>
      <c r="IPH7" s="254"/>
      <c r="IPI7" s="254"/>
      <c r="IPJ7" s="254"/>
      <c r="IPK7" s="254"/>
      <c r="IPL7" s="254"/>
      <c r="IPM7" s="254"/>
      <c r="IPN7" s="254"/>
      <c r="IPO7" s="254"/>
      <c r="IPP7" s="254"/>
      <c r="IPQ7" s="254"/>
      <c r="IPR7" s="254"/>
      <c r="IPS7" s="254"/>
      <c r="IPT7" s="254"/>
      <c r="IPU7" s="254"/>
      <c r="IPV7" s="254"/>
      <c r="IPW7" s="254"/>
      <c r="IPX7" s="254"/>
      <c r="IPY7" s="254"/>
      <c r="IPZ7" s="254"/>
      <c r="IQA7" s="254"/>
      <c r="IQB7" s="254"/>
      <c r="IQC7" s="254"/>
      <c r="IQD7" s="254"/>
      <c r="IQE7" s="254"/>
      <c r="IQF7" s="254"/>
      <c r="IQG7" s="254"/>
      <c r="IQH7" s="254"/>
      <c r="IQI7" s="254"/>
      <c r="IQJ7" s="254"/>
      <c r="IQK7" s="254"/>
      <c r="IQL7" s="254"/>
      <c r="IQM7" s="254"/>
      <c r="IQN7" s="254"/>
      <c r="IQO7" s="254"/>
      <c r="IQP7" s="254"/>
      <c r="IQQ7" s="254"/>
      <c r="IQR7" s="254"/>
      <c r="IQS7" s="254"/>
      <c r="IQT7" s="254"/>
      <c r="IQU7" s="254"/>
      <c r="IQV7" s="254"/>
      <c r="IQW7" s="254"/>
      <c r="IQX7" s="254"/>
      <c r="IQY7" s="254"/>
      <c r="IQZ7" s="254"/>
      <c r="IRA7" s="254"/>
      <c r="IRB7" s="254"/>
      <c r="IRC7" s="254"/>
      <c r="IRD7" s="254"/>
      <c r="IRE7" s="254"/>
      <c r="IRF7" s="254"/>
      <c r="IRG7" s="254"/>
      <c r="IRH7" s="254"/>
      <c r="IRI7" s="254"/>
      <c r="IRJ7" s="254"/>
      <c r="IRK7" s="254"/>
      <c r="IRL7" s="254"/>
      <c r="IRM7" s="254"/>
      <c r="IRN7" s="254"/>
      <c r="IRO7" s="254"/>
      <c r="IRP7" s="254"/>
      <c r="IRQ7" s="254"/>
      <c r="IRR7" s="254"/>
      <c r="IRS7" s="254"/>
      <c r="IRT7" s="254"/>
      <c r="IRU7" s="254"/>
      <c r="IRV7" s="254"/>
      <c r="IRW7" s="254"/>
      <c r="IRX7" s="254"/>
      <c r="IRY7" s="254"/>
      <c r="IRZ7" s="254"/>
      <c r="ISA7" s="254"/>
      <c r="ISB7" s="254"/>
      <c r="ISC7" s="254"/>
      <c r="ISD7" s="254"/>
      <c r="ISE7" s="254"/>
      <c r="ISF7" s="254"/>
      <c r="ISG7" s="254"/>
      <c r="ISH7" s="254"/>
      <c r="ISI7" s="254"/>
      <c r="ISJ7" s="254"/>
      <c r="ISK7" s="254"/>
      <c r="ISL7" s="254"/>
      <c r="ISM7" s="254"/>
      <c r="ISN7" s="254"/>
      <c r="ISO7" s="254"/>
      <c r="ISP7" s="254"/>
      <c r="ISQ7" s="254"/>
      <c r="ISR7" s="254"/>
      <c r="ISS7" s="254"/>
      <c r="IST7" s="254"/>
      <c r="ISU7" s="254"/>
      <c r="ISV7" s="254"/>
      <c r="ISW7" s="254"/>
      <c r="ISX7" s="254"/>
      <c r="ISY7" s="254"/>
      <c r="ISZ7" s="254"/>
      <c r="ITA7" s="254"/>
      <c r="ITB7" s="254"/>
      <c r="ITC7" s="254"/>
      <c r="ITD7" s="254"/>
      <c r="ITE7" s="254"/>
      <c r="ITF7" s="254"/>
      <c r="ITG7" s="254"/>
      <c r="ITH7" s="254"/>
      <c r="ITI7" s="254"/>
      <c r="ITJ7" s="254"/>
      <c r="ITK7" s="254"/>
      <c r="ITL7" s="254"/>
      <c r="ITM7" s="254"/>
      <c r="ITN7" s="254"/>
      <c r="ITO7" s="254"/>
      <c r="ITP7" s="254"/>
      <c r="ITQ7" s="254"/>
      <c r="ITR7" s="254"/>
      <c r="ITS7" s="254"/>
      <c r="ITT7" s="254"/>
      <c r="ITU7" s="254"/>
      <c r="ITV7" s="254"/>
      <c r="ITW7" s="254"/>
      <c r="ITX7" s="254"/>
      <c r="ITY7" s="254"/>
      <c r="ITZ7" s="254"/>
      <c r="IUA7" s="254"/>
      <c r="IUB7" s="254"/>
      <c r="IUC7" s="254"/>
      <c r="IUD7" s="254"/>
      <c r="IUE7" s="254"/>
      <c r="IUF7" s="254"/>
      <c r="IUG7" s="254"/>
      <c r="IUH7" s="254"/>
      <c r="IUI7" s="254"/>
      <c r="IUJ7" s="254"/>
      <c r="IUK7" s="254"/>
      <c r="IUL7" s="254"/>
      <c r="IUM7" s="254"/>
      <c r="IUN7" s="254"/>
      <c r="IUO7" s="254"/>
      <c r="IUP7" s="254"/>
      <c r="IUQ7" s="254"/>
      <c r="IUR7" s="254"/>
      <c r="IUS7" s="254"/>
      <c r="IUT7" s="254"/>
      <c r="IUU7" s="254"/>
      <c r="IUV7" s="254"/>
      <c r="IUW7" s="254"/>
      <c r="IUX7" s="254"/>
      <c r="IUY7" s="254"/>
      <c r="IUZ7" s="254"/>
      <c r="IVA7" s="254"/>
      <c r="IVB7" s="254"/>
      <c r="IVC7" s="254"/>
      <c r="IVD7" s="254"/>
      <c r="IVE7" s="254"/>
      <c r="IVF7" s="254"/>
      <c r="IVG7" s="254"/>
      <c r="IVH7" s="254"/>
      <c r="IVI7" s="254"/>
      <c r="IVJ7" s="254"/>
      <c r="IVK7" s="254"/>
      <c r="IVL7" s="254"/>
      <c r="IVM7" s="254"/>
      <c r="IVN7" s="254"/>
      <c r="IVO7" s="254"/>
      <c r="IVP7" s="254"/>
      <c r="IVQ7" s="254"/>
      <c r="IVR7" s="254"/>
      <c r="IVS7" s="254"/>
      <c r="IVT7" s="254"/>
      <c r="IVU7" s="254"/>
      <c r="IVV7" s="254"/>
      <c r="IVW7" s="254"/>
      <c r="IVX7" s="254"/>
      <c r="IVY7" s="254"/>
      <c r="IVZ7" s="254"/>
      <c r="IWA7" s="254"/>
      <c r="IWB7" s="254"/>
      <c r="IWC7" s="254"/>
      <c r="IWD7" s="254"/>
      <c r="IWE7" s="254"/>
      <c r="IWF7" s="254"/>
      <c r="IWG7" s="254"/>
      <c r="IWH7" s="254"/>
      <c r="IWI7" s="254"/>
      <c r="IWJ7" s="254"/>
      <c r="IWK7" s="254"/>
      <c r="IWL7" s="254"/>
      <c r="IWM7" s="254"/>
      <c r="IWN7" s="254"/>
      <c r="IWO7" s="254"/>
      <c r="IWP7" s="254"/>
      <c r="IWQ7" s="254"/>
      <c r="IWR7" s="254"/>
      <c r="IWS7" s="254"/>
      <c r="IWT7" s="254"/>
      <c r="IWU7" s="254"/>
      <c r="IWV7" s="254"/>
      <c r="IWW7" s="254"/>
      <c r="IWX7" s="254"/>
      <c r="IWY7" s="254"/>
      <c r="IWZ7" s="254"/>
      <c r="IXA7" s="254"/>
      <c r="IXB7" s="254"/>
      <c r="IXC7" s="254"/>
      <c r="IXD7" s="254"/>
      <c r="IXE7" s="254"/>
      <c r="IXF7" s="254"/>
      <c r="IXG7" s="254"/>
      <c r="IXH7" s="254"/>
      <c r="IXI7" s="254"/>
      <c r="IXJ7" s="254"/>
      <c r="IXK7" s="254"/>
      <c r="IXL7" s="254"/>
      <c r="IXM7" s="254"/>
      <c r="IXN7" s="254"/>
      <c r="IXO7" s="254"/>
      <c r="IXP7" s="254"/>
      <c r="IXQ7" s="254"/>
      <c r="IXR7" s="254"/>
      <c r="IXS7" s="254"/>
      <c r="IXT7" s="254"/>
      <c r="IXU7" s="254"/>
      <c r="IXV7" s="254"/>
      <c r="IXW7" s="254"/>
      <c r="IXX7" s="254"/>
      <c r="IXY7" s="254"/>
      <c r="IXZ7" s="254"/>
      <c r="IYA7" s="254"/>
      <c r="IYB7" s="254"/>
      <c r="IYC7" s="254"/>
      <c r="IYD7" s="254"/>
      <c r="IYE7" s="254"/>
      <c r="IYF7" s="254"/>
      <c r="IYG7" s="254"/>
      <c r="IYH7" s="254"/>
      <c r="IYI7" s="254"/>
      <c r="IYJ7" s="254"/>
      <c r="IYK7" s="254"/>
      <c r="IYL7" s="254"/>
      <c r="IYM7" s="254"/>
      <c r="IYN7" s="254"/>
      <c r="IYO7" s="254"/>
      <c r="IYP7" s="254"/>
      <c r="IYQ7" s="254"/>
      <c r="IYR7" s="254"/>
      <c r="IYS7" s="254"/>
      <c r="IYT7" s="254"/>
      <c r="IYU7" s="254"/>
      <c r="IYV7" s="254"/>
      <c r="IYW7" s="254"/>
      <c r="IYX7" s="254"/>
      <c r="IYY7" s="254"/>
      <c r="IYZ7" s="254"/>
      <c r="IZA7" s="254"/>
      <c r="IZB7" s="254"/>
      <c r="IZC7" s="254"/>
      <c r="IZD7" s="254"/>
      <c r="IZE7" s="254"/>
      <c r="IZF7" s="254"/>
      <c r="IZG7" s="254"/>
      <c r="IZH7" s="254"/>
      <c r="IZI7" s="254"/>
      <c r="IZJ7" s="254"/>
      <c r="IZK7" s="254"/>
      <c r="IZL7" s="254"/>
      <c r="IZM7" s="254"/>
      <c r="IZN7" s="254"/>
      <c r="IZO7" s="254"/>
      <c r="IZP7" s="254"/>
      <c r="IZQ7" s="254"/>
      <c r="IZR7" s="254"/>
      <c r="IZS7" s="254"/>
      <c r="IZT7" s="254"/>
      <c r="IZU7" s="254"/>
      <c r="IZV7" s="254"/>
      <c r="IZW7" s="254"/>
      <c r="IZX7" s="254"/>
      <c r="IZY7" s="254"/>
      <c r="IZZ7" s="254"/>
      <c r="JAA7" s="254"/>
      <c r="JAB7" s="254"/>
      <c r="JAC7" s="254"/>
      <c r="JAD7" s="254"/>
      <c r="JAE7" s="254"/>
      <c r="JAF7" s="254"/>
      <c r="JAG7" s="254"/>
      <c r="JAH7" s="254"/>
      <c r="JAI7" s="254"/>
      <c r="JAJ7" s="254"/>
      <c r="JAK7" s="254"/>
      <c r="JAL7" s="254"/>
      <c r="JAM7" s="254"/>
      <c r="JAN7" s="254"/>
      <c r="JAO7" s="254"/>
      <c r="JAP7" s="254"/>
      <c r="JAQ7" s="254"/>
      <c r="JAR7" s="254"/>
      <c r="JAS7" s="254"/>
      <c r="JAT7" s="254"/>
      <c r="JAU7" s="254"/>
      <c r="JAV7" s="254"/>
      <c r="JAW7" s="254"/>
      <c r="JAX7" s="254"/>
      <c r="JAY7" s="254"/>
      <c r="JAZ7" s="254"/>
      <c r="JBA7" s="254"/>
      <c r="JBB7" s="254"/>
      <c r="JBC7" s="254"/>
      <c r="JBD7" s="254"/>
      <c r="JBE7" s="254"/>
      <c r="JBF7" s="254"/>
      <c r="JBG7" s="254"/>
      <c r="JBH7" s="254"/>
      <c r="JBI7" s="254"/>
      <c r="JBJ7" s="254"/>
      <c r="JBK7" s="254"/>
      <c r="JBL7" s="254"/>
      <c r="JBM7" s="254"/>
      <c r="JBN7" s="254"/>
      <c r="JBO7" s="254"/>
      <c r="JBP7" s="254"/>
      <c r="JBQ7" s="254"/>
      <c r="JBR7" s="254"/>
      <c r="JBS7" s="254"/>
      <c r="JBT7" s="254"/>
      <c r="JBU7" s="254"/>
      <c r="JBV7" s="254"/>
      <c r="JBW7" s="254"/>
      <c r="JBX7" s="254"/>
      <c r="JBY7" s="254"/>
      <c r="JBZ7" s="254"/>
      <c r="JCA7" s="254"/>
      <c r="JCB7" s="254"/>
      <c r="JCC7" s="254"/>
      <c r="JCD7" s="254"/>
      <c r="JCE7" s="254"/>
      <c r="JCF7" s="254"/>
      <c r="JCG7" s="254"/>
      <c r="JCH7" s="254"/>
      <c r="JCI7" s="254"/>
      <c r="JCJ7" s="254"/>
      <c r="JCK7" s="254"/>
      <c r="JCL7" s="254"/>
      <c r="JCM7" s="254"/>
      <c r="JCN7" s="254"/>
      <c r="JCO7" s="254"/>
      <c r="JCP7" s="254"/>
      <c r="JCQ7" s="254"/>
      <c r="JCR7" s="254"/>
      <c r="JCS7" s="254"/>
      <c r="JCT7" s="254"/>
      <c r="JCU7" s="254"/>
      <c r="JCV7" s="254"/>
      <c r="JCW7" s="254"/>
      <c r="JCX7" s="254"/>
      <c r="JCY7" s="254"/>
      <c r="JCZ7" s="254"/>
      <c r="JDA7" s="254"/>
      <c r="JDB7" s="254"/>
      <c r="JDC7" s="254"/>
      <c r="JDD7" s="254"/>
      <c r="JDE7" s="254"/>
      <c r="JDF7" s="254"/>
      <c r="JDG7" s="254"/>
      <c r="JDH7" s="254"/>
      <c r="JDI7" s="254"/>
      <c r="JDJ7" s="254"/>
      <c r="JDK7" s="254"/>
      <c r="JDL7" s="254"/>
      <c r="JDM7" s="254"/>
      <c r="JDN7" s="254"/>
      <c r="JDO7" s="254"/>
      <c r="JDP7" s="254"/>
      <c r="JDQ7" s="254"/>
      <c r="JDR7" s="254"/>
      <c r="JDS7" s="254"/>
      <c r="JDT7" s="254"/>
      <c r="JDU7" s="254"/>
      <c r="JDV7" s="254"/>
      <c r="JDW7" s="254"/>
      <c r="JDX7" s="254"/>
      <c r="JDY7" s="254"/>
      <c r="JDZ7" s="254"/>
      <c r="JEA7" s="254"/>
      <c r="JEB7" s="254"/>
      <c r="JEC7" s="254"/>
      <c r="JED7" s="254"/>
      <c r="JEE7" s="254"/>
      <c r="JEF7" s="254"/>
      <c r="JEG7" s="254"/>
      <c r="JEH7" s="254"/>
      <c r="JEI7" s="254"/>
      <c r="JEJ7" s="254"/>
      <c r="JEK7" s="254"/>
      <c r="JEL7" s="254"/>
      <c r="JEM7" s="254"/>
      <c r="JEN7" s="254"/>
      <c r="JEO7" s="254"/>
      <c r="JEP7" s="254"/>
      <c r="JEQ7" s="254"/>
      <c r="JER7" s="254"/>
      <c r="JES7" s="254"/>
      <c r="JET7" s="254"/>
      <c r="JEU7" s="254"/>
      <c r="JEV7" s="254"/>
      <c r="JEW7" s="254"/>
      <c r="JEX7" s="254"/>
      <c r="JEY7" s="254"/>
      <c r="JEZ7" s="254"/>
      <c r="JFA7" s="254"/>
      <c r="JFB7" s="254"/>
      <c r="JFC7" s="254"/>
      <c r="JFD7" s="254"/>
      <c r="JFE7" s="254"/>
      <c r="JFF7" s="254"/>
      <c r="JFG7" s="254"/>
      <c r="JFH7" s="254"/>
      <c r="JFI7" s="254"/>
      <c r="JFJ7" s="254"/>
      <c r="JFK7" s="254"/>
      <c r="JFL7" s="254"/>
      <c r="JFM7" s="254"/>
      <c r="JFN7" s="254"/>
      <c r="JFO7" s="254"/>
      <c r="JFP7" s="254"/>
      <c r="JFQ7" s="254"/>
      <c r="JFR7" s="254"/>
      <c r="JFS7" s="254"/>
      <c r="JFT7" s="254"/>
      <c r="JFU7" s="254"/>
      <c r="JFV7" s="254"/>
      <c r="JFW7" s="254"/>
      <c r="JFX7" s="254"/>
      <c r="JFY7" s="254"/>
      <c r="JFZ7" s="254"/>
      <c r="JGA7" s="254"/>
      <c r="JGB7" s="254"/>
      <c r="JGC7" s="254"/>
      <c r="JGD7" s="254"/>
      <c r="JGE7" s="254"/>
      <c r="JGF7" s="254"/>
      <c r="JGG7" s="254"/>
      <c r="JGH7" s="254"/>
      <c r="JGI7" s="254"/>
      <c r="JGJ7" s="254"/>
      <c r="JGK7" s="254"/>
      <c r="JGL7" s="254"/>
      <c r="JGM7" s="254"/>
      <c r="JGN7" s="254"/>
      <c r="JGO7" s="254"/>
      <c r="JGP7" s="254"/>
      <c r="JGQ7" s="254"/>
      <c r="JGR7" s="254"/>
      <c r="JGS7" s="254"/>
      <c r="JGT7" s="254"/>
      <c r="JGU7" s="254"/>
      <c r="JGV7" s="254"/>
      <c r="JGW7" s="254"/>
      <c r="JGX7" s="254"/>
      <c r="JGY7" s="254"/>
      <c r="JGZ7" s="254"/>
      <c r="JHA7" s="254"/>
      <c r="JHB7" s="254"/>
      <c r="JHC7" s="254"/>
      <c r="JHD7" s="254"/>
      <c r="JHE7" s="254"/>
      <c r="JHF7" s="254"/>
      <c r="JHG7" s="254"/>
      <c r="JHH7" s="254"/>
      <c r="JHI7" s="254"/>
      <c r="JHJ7" s="254"/>
      <c r="JHK7" s="254"/>
      <c r="JHL7" s="254"/>
      <c r="JHM7" s="254"/>
      <c r="JHN7" s="254"/>
      <c r="JHO7" s="254"/>
      <c r="JHP7" s="254"/>
      <c r="JHQ7" s="254"/>
      <c r="JHR7" s="254"/>
      <c r="JHS7" s="254"/>
      <c r="JHT7" s="254"/>
      <c r="JHU7" s="254"/>
      <c r="JHV7" s="254"/>
      <c r="JHW7" s="254"/>
      <c r="JHX7" s="254"/>
      <c r="JHY7" s="254"/>
      <c r="JHZ7" s="254"/>
      <c r="JIA7" s="254"/>
      <c r="JIB7" s="254"/>
      <c r="JIC7" s="254"/>
      <c r="JID7" s="254"/>
      <c r="JIE7" s="254"/>
      <c r="JIF7" s="254"/>
      <c r="JIG7" s="254"/>
      <c r="JIH7" s="254"/>
      <c r="JII7" s="254"/>
      <c r="JIJ7" s="254"/>
      <c r="JIK7" s="254"/>
      <c r="JIL7" s="254"/>
      <c r="JIM7" s="254"/>
      <c r="JIN7" s="254"/>
      <c r="JIO7" s="254"/>
      <c r="JIP7" s="254"/>
      <c r="JIQ7" s="254"/>
      <c r="JIR7" s="254"/>
      <c r="JIS7" s="254"/>
      <c r="JIT7" s="254"/>
      <c r="JIU7" s="254"/>
      <c r="JIV7" s="254"/>
      <c r="JIW7" s="254"/>
      <c r="JIX7" s="254"/>
      <c r="JIY7" s="254"/>
      <c r="JIZ7" s="254"/>
      <c r="JJA7" s="254"/>
      <c r="JJB7" s="254"/>
      <c r="JJC7" s="254"/>
      <c r="JJD7" s="254"/>
      <c r="JJE7" s="254"/>
      <c r="JJF7" s="254"/>
      <c r="JJG7" s="254"/>
      <c r="JJH7" s="254"/>
      <c r="JJI7" s="254"/>
      <c r="JJJ7" s="254"/>
      <c r="JJK7" s="254"/>
      <c r="JJL7" s="254"/>
      <c r="JJM7" s="254"/>
      <c r="JJN7" s="254"/>
      <c r="JJO7" s="254"/>
      <c r="JJP7" s="254"/>
      <c r="JJQ7" s="254"/>
      <c r="JJR7" s="254"/>
      <c r="JJS7" s="254"/>
      <c r="JJT7" s="254"/>
      <c r="JJU7" s="254"/>
      <c r="JJV7" s="254"/>
      <c r="JJW7" s="254"/>
      <c r="JJX7" s="254"/>
      <c r="JJY7" s="254"/>
      <c r="JJZ7" s="254"/>
      <c r="JKA7" s="254"/>
      <c r="JKB7" s="254"/>
      <c r="JKC7" s="254"/>
      <c r="JKD7" s="254"/>
      <c r="JKE7" s="254"/>
      <c r="JKF7" s="254"/>
      <c r="JKG7" s="254"/>
      <c r="JKH7" s="254"/>
      <c r="JKI7" s="254"/>
      <c r="JKJ7" s="254"/>
      <c r="JKK7" s="254"/>
      <c r="JKL7" s="254"/>
      <c r="JKM7" s="254"/>
      <c r="JKN7" s="254"/>
      <c r="JKO7" s="254"/>
      <c r="JKP7" s="254"/>
      <c r="JKQ7" s="254"/>
      <c r="JKR7" s="254"/>
      <c r="JKS7" s="254"/>
      <c r="JKT7" s="254"/>
      <c r="JKU7" s="254"/>
      <c r="JKV7" s="254"/>
      <c r="JKW7" s="254"/>
      <c r="JKX7" s="254"/>
      <c r="JKY7" s="254"/>
      <c r="JKZ7" s="254"/>
      <c r="JLA7" s="254"/>
      <c r="JLB7" s="254"/>
      <c r="JLC7" s="254"/>
      <c r="JLD7" s="254"/>
      <c r="JLE7" s="254"/>
      <c r="JLF7" s="254"/>
      <c r="JLG7" s="254"/>
      <c r="JLH7" s="254"/>
      <c r="JLI7" s="254"/>
      <c r="JLJ7" s="254"/>
      <c r="JLK7" s="254"/>
      <c r="JLL7" s="254"/>
      <c r="JLM7" s="254"/>
      <c r="JLN7" s="254"/>
      <c r="JLO7" s="254"/>
      <c r="JLP7" s="254"/>
      <c r="JLQ7" s="254"/>
      <c r="JLR7" s="254"/>
      <c r="JLS7" s="254"/>
      <c r="JLT7" s="254"/>
      <c r="JLU7" s="254"/>
      <c r="JLV7" s="254"/>
      <c r="JLW7" s="254"/>
      <c r="JLX7" s="254"/>
      <c r="JLY7" s="254"/>
      <c r="JLZ7" s="254"/>
      <c r="JMA7" s="254"/>
      <c r="JMB7" s="254"/>
      <c r="JMC7" s="254"/>
      <c r="JMD7" s="254"/>
      <c r="JME7" s="254"/>
      <c r="JMF7" s="254"/>
      <c r="JMG7" s="254"/>
      <c r="JMH7" s="254"/>
      <c r="JMI7" s="254"/>
      <c r="JMJ7" s="254"/>
      <c r="JMK7" s="254"/>
      <c r="JML7" s="254"/>
      <c r="JMM7" s="254"/>
      <c r="JMN7" s="254"/>
      <c r="JMO7" s="254"/>
      <c r="JMP7" s="254"/>
      <c r="JMQ7" s="254"/>
      <c r="JMR7" s="254"/>
      <c r="JMS7" s="254"/>
      <c r="JMT7" s="254"/>
      <c r="JMU7" s="254"/>
      <c r="JMV7" s="254"/>
      <c r="JMW7" s="254"/>
      <c r="JMX7" s="254"/>
      <c r="JMY7" s="254"/>
      <c r="JMZ7" s="254"/>
      <c r="JNA7" s="254"/>
      <c r="JNB7" s="254"/>
      <c r="JNC7" s="254"/>
      <c r="JND7" s="254"/>
      <c r="JNE7" s="254"/>
      <c r="JNF7" s="254"/>
      <c r="JNG7" s="254"/>
      <c r="JNH7" s="254"/>
      <c r="JNI7" s="254"/>
      <c r="JNJ7" s="254"/>
      <c r="JNK7" s="254"/>
      <c r="JNL7" s="254"/>
      <c r="JNM7" s="254"/>
      <c r="JNN7" s="254"/>
      <c r="JNO7" s="254"/>
      <c r="JNP7" s="254"/>
      <c r="JNQ7" s="254"/>
      <c r="JNR7" s="254"/>
      <c r="JNS7" s="254"/>
      <c r="JNT7" s="254"/>
      <c r="JNU7" s="254"/>
      <c r="JNV7" s="254"/>
      <c r="JNW7" s="254"/>
      <c r="JNX7" s="254"/>
      <c r="JNY7" s="254"/>
      <c r="JNZ7" s="254"/>
      <c r="JOA7" s="254"/>
      <c r="JOB7" s="254"/>
      <c r="JOC7" s="254"/>
      <c r="JOD7" s="254"/>
      <c r="JOE7" s="254"/>
      <c r="JOF7" s="254"/>
      <c r="JOG7" s="254"/>
      <c r="JOH7" s="254"/>
      <c r="JOI7" s="254"/>
      <c r="JOJ7" s="254"/>
      <c r="JOK7" s="254"/>
      <c r="JOL7" s="254"/>
      <c r="JOM7" s="254"/>
      <c r="JON7" s="254"/>
      <c r="JOO7" s="254"/>
      <c r="JOP7" s="254"/>
      <c r="JOQ7" s="254"/>
      <c r="JOR7" s="254"/>
      <c r="JOS7" s="254"/>
      <c r="JOT7" s="254"/>
      <c r="JOU7" s="254"/>
      <c r="JOV7" s="254"/>
      <c r="JOW7" s="254"/>
      <c r="JOX7" s="254"/>
      <c r="JOY7" s="254"/>
      <c r="JOZ7" s="254"/>
      <c r="JPA7" s="254"/>
      <c r="JPB7" s="254"/>
      <c r="JPC7" s="254"/>
      <c r="JPD7" s="254"/>
      <c r="JPE7" s="254"/>
      <c r="JPF7" s="254"/>
      <c r="JPG7" s="254"/>
      <c r="JPH7" s="254"/>
      <c r="JPI7" s="254"/>
      <c r="JPJ7" s="254"/>
      <c r="JPK7" s="254"/>
      <c r="JPL7" s="254"/>
      <c r="JPM7" s="254"/>
      <c r="JPN7" s="254"/>
      <c r="JPO7" s="254"/>
      <c r="JPP7" s="254"/>
      <c r="JPQ7" s="254"/>
      <c r="JPR7" s="254"/>
      <c r="JPS7" s="254"/>
      <c r="JPT7" s="254"/>
      <c r="JPU7" s="254"/>
      <c r="JPV7" s="254"/>
      <c r="JPW7" s="254"/>
      <c r="JPX7" s="254"/>
      <c r="JPY7" s="254"/>
      <c r="JPZ7" s="254"/>
      <c r="JQA7" s="254"/>
      <c r="JQB7" s="254"/>
      <c r="JQC7" s="254"/>
      <c r="JQD7" s="254"/>
      <c r="JQE7" s="254"/>
      <c r="JQF7" s="254"/>
      <c r="JQG7" s="254"/>
      <c r="JQH7" s="254"/>
      <c r="JQI7" s="254"/>
      <c r="JQJ7" s="254"/>
      <c r="JQK7" s="254"/>
      <c r="JQL7" s="254"/>
      <c r="JQM7" s="254"/>
      <c r="JQN7" s="254"/>
      <c r="JQO7" s="254"/>
      <c r="JQP7" s="254"/>
      <c r="JQQ7" s="254"/>
      <c r="JQR7" s="254"/>
      <c r="JQS7" s="254"/>
      <c r="JQT7" s="254"/>
      <c r="JQU7" s="254"/>
      <c r="JQV7" s="254"/>
      <c r="JQW7" s="254"/>
      <c r="JQX7" s="254"/>
      <c r="JQY7" s="254"/>
      <c r="JQZ7" s="254"/>
      <c r="JRA7" s="254"/>
      <c r="JRB7" s="254"/>
      <c r="JRC7" s="254"/>
      <c r="JRD7" s="254"/>
      <c r="JRE7" s="254"/>
      <c r="JRF7" s="254"/>
      <c r="JRG7" s="254"/>
      <c r="JRH7" s="254"/>
      <c r="JRI7" s="254"/>
      <c r="JRJ7" s="254"/>
      <c r="JRK7" s="254"/>
      <c r="JRL7" s="254"/>
      <c r="JRM7" s="254"/>
      <c r="JRN7" s="254"/>
      <c r="JRO7" s="254"/>
      <c r="JRP7" s="254"/>
      <c r="JRQ7" s="254"/>
      <c r="JRR7" s="254"/>
      <c r="JRS7" s="254"/>
      <c r="JRT7" s="254"/>
      <c r="JRU7" s="254"/>
      <c r="JRV7" s="254"/>
      <c r="JRW7" s="254"/>
      <c r="JRX7" s="254"/>
      <c r="JRY7" s="254"/>
      <c r="JRZ7" s="254"/>
      <c r="JSA7" s="254"/>
      <c r="JSB7" s="254"/>
      <c r="JSC7" s="254"/>
      <c r="JSD7" s="254"/>
      <c r="JSE7" s="254"/>
      <c r="JSF7" s="254"/>
      <c r="JSG7" s="254"/>
      <c r="JSH7" s="254"/>
      <c r="JSI7" s="254"/>
      <c r="JSJ7" s="254"/>
      <c r="JSK7" s="254"/>
      <c r="JSL7" s="254"/>
      <c r="JSM7" s="254"/>
      <c r="JSN7" s="254"/>
      <c r="JSO7" s="254"/>
      <c r="JSP7" s="254"/>
      <c r="JSQ7" s="254"/>
      <c r="JSR7" s="254"/>
      <c r="JSS7" s="254"/>
      <c r="JST7" s="254"/>
      <c r="JSU7" s="254"/>
      <c r="JSV7" s="254"/>
      <c r="JSW7" s="254"/>
      <c r="JSX7" s="254"/>
      <c r="JSY7" s="254"/>
      <c r="JSZ7" s="254"/>
      <c r="JTA7" s="254"/>
      <c r="JTB7" s="254"/>
      <c r="JTC7" s="254"/>
      <c r="JTD7" s="254"/>
      <c r="JTE7" s="254"/>
      <c r="JTF7" s="254"/>
      <c r="JTG7" s="254"/>
      <c r="JTH7" s="254"/>
      <c r="JTI7" s="254"/>
      <c r="JTJ7" s="254"/>
      <c r="JTK7" s="254"/>
      <c r="JTL7" s="254"/>
      <c r="JTM7" s="254"/>
      <c r="JTN7" s="254"/>
      <c r="JTO7" s="254"/>
      <c r="JTP7" s="254"/>
      <c r="JTQ7" s="254"/>
      <c r="JTR7" s="254"/>
      <c r="JTS7" s="254"/>
      <c r="JTT7" s="254"/>
      <c r="JTU7" s="254"/>
      <c r="JTV7" s="254"/>
      <c r="JTW7" s="254"/>
      <c r="JTX7" s="254"/>
      <c r="JTY7" s="254"/>
      <c r="JTZ7" s="254"/>
      <c r="JUA7" s="254"/>
      <c r="JUB7" s="254"/>
      <c r="JUC7" s="254"/>
      <c r="JUD7" s="254"/>
      <c r="JUE7" s="254"/>
      <c r="JUF7" s="254"/>
      <c r="JUG7" s="254"/>
      <c r="JUH7" s="254"/>
      <c r="JUI7" s="254"/>
      <c r="JUJ7" s="254"/>
      <c r="JUK7" s="254"/>
      <c r="JUL7" s="254"/>
      <c r="JUM7" s="254"/>
      <c r="JUN7" s="254"/>
      <c r="JUO7" s="254"/>
      <c r="JUP7" s="254"/>
      <c r="JUQ7" s="254"/>
      <c r="JUR7" s="254"/>
      <c r="JUS7" s="254"/>
      <c r="JUT7" s="254"/>
      <c r="JUU7" s="254"/>
      <c r="JUV7" s="254"/>
      <c r="JUW7" s="254"/>
      <c r="JUX7" s="254"/>
      <c r="JUY7" s="254"/>
      <c r="JUZ7" s="254"/>
      <c r="JVA7" s="254"/>
      <c r="JVB7" s="254"/>
      <c r="JVC7" s="254"/>
      <c r="JVD7" s="254"/>
      <c r="JVE7" s="254"/>
      <c r="JVF7" s="254"/>
      <c r="JVG7" s="254"/>
      <c r="JVH7" s="254"/>
      <c r="JVI7" s="254"/>
      <c r="JVJ7" s="254"/>
      <c r="JVK7" s="254"/>
      <c r="JVL7" s="254"/>
      <c r="JVM7" s="254"/>
      <c r="JVN7" s="254"/>
      <c r="JVO7" s="254"/>
      <c r="JVP7" s="254"/>
      <c r="JVQ7" s="254"/>
      <c r="JVR7" s="254"/>
      <c r="JVS7" s="254"/>
      <c r="JVT7" s="254"/>
      <c r="JVU7" s="254"/>
      <c r="JVV7" s="254"/>
      <c r="JVW7" s="254"/>
      <c r="JVX7" s="254"/>
      <c r="JVY7" s="254"/>
      <c r="JVZ7" s="254"/>
      <c r="JWA7" s="254"/>
      <c r="JWB7" s="254"/>
      <c r="JWC7" s="254"/>
      <c r="JWD7" s="254"/>
      <c r="JWE7" s="254"/>
      <c r="JWF7" s="254"/>
      <c r="JWG7" s="254"/>
      <c r="JWH7" s="254"/>
      <c r="JWI7" s="254"/>
      <c r="JWJ7" s="254"/>
      <c r="JWK7" s="254"/>
      <c r="JWL7" s="254"/>
      <c r="JWM7" s="254"/>
      <c r="JWN7" s="254"/>
      <c r="JWO7" s="254"/>
      <c r="JWP7" s="254"/>
      <c r="JWQ7" s="254"/>
      <c r="JWR7" s="254"/>
      <c r="JWS7" s="254"/>
      <c r="JWT7" s="254"/>
      <c r="JWU7" s="254"/>
      <c r="JWV7" s="254"/>
      <c r="JWW7" s="254"/>
      <c r="JWX7" s="254"/>
      <c r="JWY7" s="254"/>
      <c r="JWZ7" s="254"/>
      <c r="JXA7" s="254"/>
      <c r="JXB7" s="254"/>
      <c r="JXC7" s="254"/>
      <c r="JXD7" s="254"/>
      <c r="JXE7" s="254"/>
      <c r="JXF7" s="254"/>
      <c r="JXG7" s="254"/>
      <c r="JXH7" s="254"/>
      <c r="JXI7" s="254"/>
      <c r="JXJ7" s="254"/>
      <c r="JXK7" s="254"/>
      <c r="JXL7" s="254"/>
      <c r="JXM7" s="254"/>
      <c r="JXN7" s="254"/>
      <c r="JXO7" s="254"/>
      <c r="JXP7" s="254"/>
      <c r="JXQ7" s="254"/>
      <c r="JXR7" s="254"/>
      <c r="JXS7" s="254"/>
      <c r="JXT7" s="254"/>
      <c r="JXU7" s="254"/>
      <c r="JXV7" s="254"/>
      <c r="JXW7" s="254"/>
      <c r="JXX7" s="254"/>
      <c r="JXY7" s="254"/>
      <c r="JXZ7" s="254"/>
      <c r="JYA7" s="254"/>
      <c r="JYB7" s="254"/>
      <c r="JYC7" s="254"/>
      <c r="JYD7" s="254"/>
      <c r="JYE7" s="254"/>
      <c r="JYF7" s="254"/>
      <c r="JYG7" s="254"/>
      <c r="JYH7" s="254"/>
      <c r="JYI7" s="254"/>
      <c r="JYJ7" s="254"/>
      <c r="JYK7" s="254"/>
      <c r="JYL7" s="254"/>
      <c r="JYM7" s="254"/>
      <c r="JYN7" s="254"/>
      <c r="JYO7" s="254"/>
      <c r="JYP7" s="254"/>
      <c r="JYQ7" s="254"/>
      <c r="JYR7" s="254"/>
      <c r="JYS7" s="254"/>
      <c r="JYT7" s="254"/>
      <c r="JYU7" s="254"/>
      <c r="JYV7" s="254"/>
      <c r="JYW7" s="254"/>
      <c r="JYX7" s="254"/>
      <c r="JYY7" s="254"/>
      <c r="JYZ7" s="254"/>
      <c r="JZA7" s="254"/>
      <c r="JZB7" s="254"/>
      <c r="JZC7" s="254"/>
      <c r="JZD7" s="254"/>
      <c r="JZE7" s="254"/>
      <c r="JZF7" s="254"/>
      <c r="JZG7" s="254"/>
      <c r="JZH7" s="254"/>
      <c r="JZI7" s="254"/>
      <c r="JZJ7" s="254"/>
      <c r="JZK7" s="254"/>
      <c r="JZL7" s="254"/>
      <c r="JZM7" s="254"/>
      <c r="JZN7" s="254"/>
      <c r="JZO7" s="254"/>
      <c r="JZP7" s="254"/>
      <c r="JZQ7" s="254"/>
      <c r="JZR7" s="254"/>
      <c r="JZS7" s="254"/>
      <c r="JZT7" s="254"/>
      <c r="JZU7" s="254"/>
      <c r="JZV7" s="254"/>
      <c r="JZW7" s="254"/>
      <c r="JZX7" s="254"/>
      <c r="JZY7" s="254"/>
      <c r="JZZ7" s="254"/>
      <c r="KAA7" s="254"/>
      <c r="KAB7" s="254"/>
      <c r="KAC7" s="254"/>
      <c r="KAD7" s="254"/>
      <c r="KAE7" s="254"/>
      <c r="KAF7" s="254"/>
      <c r="KAG7" s="254"/>
      <c r="KAH7" s="254"/>
      <c r="KAI7" s="254"/>
      <c r="KAJ7" s="254"/>
      <c r="KAK7" s="254"/>
      <c r="KAL7" s="254"/>
      <c r="KAM7" s="254"/>
      <c r="KAN7" s="254"/>
      <c r="KAO7" s="254"/>
      <c r="KAP7" s="254"/>
      <c r="KAQ7" s="254"/>
      <c r="KAR7" s="254"/>
      <c r="KAS7" s="254"/>
      <c r="KAT7" s="254"/>
      <c r="KAU7" s="254"/>
      <c r="KAV7" s="254"/>
      <c r="KAW7" s="254"/>
      <c r="KAX7" s="254"/>
      <c r="KAY7" s="254"/>
      <c r="KAZ7" s="254"/>
      <c r="KBA7" s="254"/>
      <c r="KBB7" s="254"/>
      <c r="KBC7" s="254"/>
      <c r="KBD7" s="254"/>
      <c r="KBE7" s="254"/>
      <c r="KBF7" s="254"/>
      <c r="KBG7" s="254"/>
      <c r="KBH7" s="254"/>
      <c r="KBI7" s="254"/>
      <c r="KBJ7" s="254"/>
      <c r="KBK7" s="254"/>
      <c r="KBL7" s="254"/>
      <c r="KBM7" s="254"/>
      <c r="KBN7" s="254"/>
      <c r="KBO7" s="254"/>
      <c r="KBP7" s="254"/>
      <c r="KBQ7" s="254"/>
      <c r="KBR7" s="254"/>
      <c r="KBS7" s="254"/>
      <c r="KBT7" s="254"/>
      <c r="KBU7" s="254"/>
      <c r="KBV7" s="254"/>
      <c r="KBW7" s="254"/>
      <c r="KBX7" s="254"/>
      <c r="KBY7" s="254"/>
      <c r="KBZ7" s="254"/>
      <c r="KCA7" s="254"/>
      <c r="KCB7" s="254"/>
      <c r="KCC7" s="254"/>
      <c r="KCD7" s="254"/>
      <c r="KCE7" s="254"/>
      <c r="KCF7" s="254"/>
      <c r="KCG7" s="254"/>
      <c r="KCH7" s="254"/>
      <c r="KCI7" s="254"/>
      <c r="KCJ7" s="254"/>
      <c r="KCK7" s="254"/>
      <c r="KCL7" s="254"/>
      <c r="KCM7" s="254"/>
      <c r="KCN7" s="254"/>
      <c r="KCO7" s="254"/>
      <c r="KCP7" s="254"/>
      <c r="KCQ7" s="254"/>
      <c r="KCR7" s="254"/>
      <c r="KCS7" s="254"/>
      <c r="KCT7" s="254"/>
      <c r="KCU7" s="254"/>
      <c r="KCV7" s="254"/>
      <c r="KCW7" s="254"/>
      <c r="KCX7" s="254"/>
      <c r="KCY7" s="254"/>
      <c r="KCZ7" s="254"/>
      <c r="KDA7" s="254"/>
      <c r="KDB7" s="254"/>
      <c r="KDC7" s="254"/>
      <c r="KDD7" s="254"/>
      <c r="KDE7" s="254"/>
      <c r="KDF7" s="254"/>
      <c r="KDG7" s="254"/>
      <c r="KDH7" s="254"/>
      <c r="KDI7" s="254"/>
      <c r="KDJ7" s="254"/>
      <c r="KDK7" s="254"/>
      <c r="KDL7" s="254"/>
      <c r="KDM7" s="254"/>
      <c r="KDN7" s="254"/>
      <c r="KDO7" s="254"/>
      <c r="KDP7" s="254"/>
      <c r="KDQ7" s="254"/>
      <c r="KDR7" s="254"/>
      <c r="KDS7" s="254"/>
      <c r="KDT7" s="254"/>
      <c r="KDU7" s="254"/>
      <c r="KDV7" s="254"/>
      <c r="KDW7" s="254"/>
      <c r="KDX7" s="254"/>
      <c r="KDY7" s="254"/>
      <c r="KDZ7" s="254"/>
      <c r="KEA7" s="254"/>
      <c r="KEB7" s="254"/>
      <c r="KEC7" s="254"/>
      <c r="KED7" s="254"/>
      <c r="KEE7" s="254"/>
      <c r="KEF7" s="254"/>
      <c r="KEG7" s="254"/>
      <c r="KEH7" s="254"/>
      <c r="KEI7" s="254"/>
      <c r="KEJ7" s="254"/>
      <c r="KEK7" s="254"/>
      <c r="KEL7" s="254"/>
      <c r="KEM7" s="254"/>
      <c r="KEN7" s="254"/>
      <c r="KEO7" s="254"/>
      <c r="KEP7" s="254"/>
      <c r="KEQ7" s="254"/>
      <c r="KER7" s="254"/>
      <c r="KES7" s="254"/>
      <c r="KET7" s="254"/>
      <c r="KEU7" s="254"/>
      <c r="KEV7" s="254"/>
      <c r="KEW7" s="254"/>
      <c r="KEX7" s="254"/>
      <c r="KEY7" s="254"/>
      <c r="KEZ7" s="254"/>
      <c r="KFA7" s="254"/>
      <c r="KFB7" s="254"/>
      <c r="KFC7" s="254"/>
      <c r="KFD7" s="254"/>
      <c r="KFE7" s="254"/>
      <c r="KFF7" s="254"/>
      <c r="KFG7" s="254"/>
      <c r="KFH7" s="254"/>
      <c r="KFI7" s="254"/>
      <c r="KFJ7" s="254"/>
      <c r="KFK7" s="254"/>
      <c r="KFL7" s="254"/>
      <c r="KFM7" s="254"/>
      <c r="KFN7" s="254"/>
      <c r="KFO7" s="254"/>
      <c r="KFP7" s="254"/>
      <c r="KFQ7" s="254"/>
      <c r="KFR7" s="254"/>
      <c r="KFS7" s="254"/>
      <c r="KFT7" s="254"/>
      <c r="KFU7" s="254"/>
      <c r="KFV7" s="254"/>
      <c r="KFW7" s="254"/>
      <c r="KFX7" s="254"/>
      <c r="KFY7" s="254"/>
      <c r="KFZ7" s="254"/>
      <c r="KGA7" s="254"/>
      <c r="KGB7" s="254"/>
      <c r="KGC7" s="254"/>
      <c r="KGD7" s="254"/>
      <c r="KGE7" s="254"/>
      <c r="KGF7" s="254"/>
      <c r="KGG7" s="254"/>
      <c r="KGH7" s="254"/>
      <c r="KGI7" s="254"/>
      <c r="KGJ7" s="254"/>
      <c r="KGK7" s="254"/>
      <c r="KGL7" s="254"/>
      <c r="KGM7" s="254"/>
      <c r="KGN7" s="254"/>
      <c r="KGO7" s="254"/>
      <c r="KGP7" s="254"/>
      <c r="KGQ7" s="254"/>
      <c r="KGR7" s="254"/>
      <c r="KGS7" s="254"/>
      <c r="KGT7" s="254"/>
      <c r="KGU7" s="254"/>
      <c r="KGV7" s="254"/>
      <c r="KGW7" s="254"/>
      <c r="KGX7" s="254"/>
      <c r="KGY7" s="254"/>
      <c r="KGZ7" s="254"/>
      <c r="KHA7" s="254"/>
      <c r="KHB7" s="254"/>
      <c r="KHC7" s="254"/>
      <c r="KHD7" s="254"/>
      <c r="KHE7" s="254"/>
      <c r="KHF7" s="254"/>
      <c r="KHG7" s="254"/>
      <c r="KHH7" s="254"/>
      <c r="KHI7" s="254"/>
      <c r="KHJ7" s="254"/>
      <c r="KHK7" s="254"/>
      <c r="KHL7" s="254"/>
      <c r="KHM7" s="254"/>
      <c r="KHN7" s="254"/>
      <c r="KHO7" s="254"/>
      <c r="KHP7" s="254"/>
      <c r="KHQ7" s="254"/>
      <c r="KHR7" s="254"/>
      <c r="KHS7" s="254"/>
      <c r="KHT7" s="254"/>
      <c r="KHU7" s="254"/>
      <c r="KHV7" s="254"/>
      <c r="KHW7" s="254"/>
      <c r="KHX7" s="254"/>
      <c r="KHY7" s="254"/>
      <c r="KHZ7" s="254"/>
      <c r="KIA7" s="254"/>
      <c r="KIB7" s="254"/>
      <c r="KIC7" s="254"/>
      <c r="KID7" s="254"/>
      <c r="KIE7" s="254"/>
      <c r="KIF7" s="254"/>
      <c r="KIG7" s="254"/>
      <c r="KIH7" s="254"/>
      <c r="KII7" s="254"/>
      <c r="KIJ7" s="254"/>
      <c r="KIK7" s="254"/>
      <c r="KIL7" s="254"/>
      <c r="KIM7" s="254"/>
      <c r="KIN7" s="254"/>
      <c r="KIO7" s="254"/>
      <c r="KIP7" s="254"/>
      <c r="KIQ7" s="254"/>
      <c r="KIR7" s="254"/>
      <c r="KIS7" s="254"/>
      <c r="KIT7" s="254"/>
      <c r="KIU7" s="254"/>
      <c r="KIV7" s="254"/>
      <c r="KIW7" s="254"/>
      <c r="KIX7" s="254"/>
      <c r="KIY7" s="254"/>
      <c r="KIZ7" s="254"/>
      <c r="KJA7" s="254"/>
      <c r="KJB7" s="254"/>
      <c r="KJC7" s="254"/>
      <c r="KJD7" s="254"/>
      <c r="KJE7" s="254"/>
      <c r="KJF7" s="254"/>
      <c r="KJG7" s="254"/>
      <c r="KJH7" s="254"/>
      <c r="KJI7" s="254"/>
      <c r="KJJ7" s="254"/>
      <c r="KJK7" s="254"/>
      <c r="KJL7" s="254"/>
      <c r="KJM7" s="254"/>
      <c r="KJN7" s="254"/>
      <c r="KJO7" s="254"/>
      <c r="KJP7" s="254"/>
      <c r="KJQ7" s="254"/>
      <c r="KJR7" s="254"/>
      <c r="KJS7" s="254"/>
      <c r="KJT7" s="254"/>
      <c r="KJU7" s="254"/>
      <c r="KJV7" s="254"/>
      <c r="KJW7" s="254"/>
      <c r="KJX7" s="254"/>
      <c r="KJY7" s="254"/>
      <c r="KJZ7" s="254"/>
      <c r="KKA7" s="254"/>
      <c r="KKB7" s="254"/>
      <c r="KKC7" s="254"/>
      <c r="KKD7" s="254"/>
      <c r="KKE7" s="254"/>
      <c r="KKF7" s="254"/>
      <c r="KKG7" s="254"/>
      <c r="KKH7" s="254"/>
      <c r="KKI7" s="254"/>
      <c r="KKJ7" s="254"/>
      <c r="KKK7" s="254"/>
      <c r="KKL7" s="254"/>
      <c r="KKM7" s="254"/>
      <c r="KKN7" s="254"/>
      <c r="KKO7" s="254"/>
      <c r="KKP7" s="254"/>
      <c r="KKQ7" s="254"/>
      <c r="KKR7" s="254"/>
      <c r="KKS7" s="254"/>
      <c r="KKT7" s="254"/>
      <c r="KKU7" s="254"/>
      <c r="KKV7" s="254"/>
      <c r="KKW7" s="254"/>
      <c r="KKX7" s="254"/>
      <c r="KKY7" s="254"/>
      <c r="KKZ7" s="254"/>
      <c r="KLA7" s="254"/>
      <c r="KLB7" s="254"/>
      <c r="KLC7" s="254"/>
      <c r="KLD7" s="254"/>
      <c r="KLE7" s="254"/>
      <c r="KLF7" s="254"/>
      <c r="KLG7" s="254"/>
      <c r="KLH7" s="254"/>
      <c r="KLI7" s="254"/>
      <c r="KLJ7" s="254"/>
      <c r="KLK7" s="254"/>
      <c r="KLL7" s="254"/>
      <c r="KLM7" s="254"/>
      <c r="KLN7" s="254"/>
      <c r="KLO7" s="254"/>
      <c r="KLP7" s="254"/>
      <c r="KLQ7" s="254"/>
      <c r="KLR7" s="254"/>
      <c r="KLS7" s="254"/>
      <c r="KLT7" s="254"/>
      <c r="KLU7" s="254"/>
      <c r="KLV7" s="254"/>
      <c r="KLW7" s="254"/>
      <c r="KLX7" s="254"/>
      <c r="KLY7" s="254"/>
      <c r="KLZ7" s="254"/>
      <c r="KMA7" s="254"/>
      <c r="KMB7" s="254"/>
      <c r="KMC7" s="254"/>
      <c r="KMD7" s="254"/>
      <c r="KME7" s="254"/>
      <c r="KMF7" s="254"/>
      <c r="KMG7" s="254"/>
      <c r="KMH7" s="254"/>
      <c r="KMI7" s="254"/>
      <c r="KMJ7" s="254"/>
      <c r="KMK7" s="254"/>
      <c r="KML7" s="254"/>
      <c r="KMM7" s="254"/>
      <c r="KMN7" s="254"/>
      <c r="KMO7" s="254"/>
      <c r="KMP7" s="254"/>
      <c r="KMQ7" s="254"/>
      <c r="KMR7" s="254"/>
      <c r="KMS7" s="254"/>
      <c r="KMT7" s="254"/>
      <c r="KMU7" s="254"/>
      <c r="KMV7" s="254"/>
      <c r="KMW7" s="254"/>
      <c r="KMX7" s="254"/>
      <c r="KMY7" s="254"/>
      <c r="KMZ7" s="254"/>
      <c r="KNA7" s="254"/>
      <c r="KNB7" s="254"/>
      <c r="KNC7" s="254"/>
      <c r="KND7" s="254"/>
      <c r="KNE7" s="254"/>
      <c r="KNF7" s="254"/>
      <c r="KNG7" s="254"/>
      <c r="KNH7" s="254"/>
      <c r="KNI7" s="254"/>
      <c r="KNJ7" s="254"/>
      <c r="KNK7" s="254"/>
      <c r="KNL7" s="254"/>
      <c r="KNM7" s="254"/>
      <c r="KNN7" s="254"/>
      <c r="KNO7" s="254"/>
      <c r="KNP7" s="254"/>
      <c r="KNQ7" s="254"/>
      <c r="KNR7" s="254"/>
      <c r="KNS7" s="254"/>
      <c r="KNT7" s="254"/>
      <c r="KNU7" s="254"/>
      <c r="KNV7" s="254"/>
      <c r="KNW7" s="254"/>
      <c r="KNX7" s="254"/>
      <c r="KNY7" s="254"/>
      <c r="KNZ7" s="254"/>
      <c r="KOA7" s="254"/>
      <c r="KOB7" s="254"/>
      <c r="KOC7" s="254"/>
      <c r="KOD7" s="254"/>
      <c r="KOE7" s="254"/>
      <c r="KOF7" s="254"/>
      <c r="KOG7" s="254"/>
      <c r="KOH7" s="254"/>
      <c r="KOI7" s="254"/>
      <c r="KOJ7" s="254"/>
      <c r="KOK7" s="254"/>
      <c r="KOL7" s="254"/>
      <c r="KOM7" s="254"/>
      <c r="KON7" s="254"/>
      <c r="KOO7" s="254"/>
      <c r="KOP7" s="254"/>
      <c r="KOQ7" s="254"/>
      <c r="KOR7" s="254"/>
      <c r="KOS7" s="254"/>
      <c r="KOT7" s="254"/>
      <c r="KOU7" s="254"/>
      <c r="KOV7" s="254"/>
      <c r="KOW7" s="254"/>
      <c r="KOX7" s="254"/>
      <c r="KOY7" s="254"/>
      <c r="KOZ7" s="254"/>
      <c r="KPA7" s="254"/>
      <c r="KPB7" s="254"/>
      <c r="KPC7" s="254"/>
      <c r="KPD7" s="254"/>
      <c r="KPE7" s="254"/>
      <c r="KPF7" s="254"/>
      <c r="KPG7" s="254"/>
      <c r="KPH7" s="254"/>
      <c r="KPI7" s="254"/>
      <c r="KPJ7" s="254"/>
      <c r="KPK7" s="254"/>
      <c r="KPL7" s="254"/>
      <c r="KPM7" s="254"/>
      <c r="KPN7" s="254"/>
      <c r="KPO7" s="254"/>
      <c r="KPP7" s="254"/>
      <c r="KPQ7" s="254"/>
      <c r="KPR7" s="254"/>
      <c r="KPS7" s="254"/>
      <c r="KPT7" s="254"/>
      <c r="KPU7" s="254"/>
      <c r="KPV7" s="254"/>
      <c r="KPW7" s="254"/>
      <c r="KPX7" s="254"/>
      <c r="KPY7" s="254"/>
      <c r="KPZ7" s="254"/>
      <c r="KQA7" s="254"/>
      <c r="KQB7" s="254"/>
      <c r="KQC7" s="254"/>
      <c r="KQD7" s="254"/>
      <c r="KQE7" s="254"/>
      <c r="KQF7" s="254"/>
      <c r="KQG7" s="254"/>
      <c r="KQH7" s="254"/>
      <c r="KQI7" s="254"/>
      <c r="KQJ7" s="254"/>
      <c r="KQK7" s="254"/>
      <c r="KQL7" s="254"/>
      <c r="KQM7" s="254"/>
      <c r="KQN7" s="254"/>
      <c r="KQO7" s="254"/>
      <c r="KQP7" s="254"/>
      <c r="KQQ7" s="254"/>
      <c r="KQR7" s="254"/>
      <c r="KQS7" s="254"/>
      <c r="KQT7" s="254"/>
      <c r="KQU7" s="254"/>
      <c r="KQV7" s="254"/>
      <c r="KQW7" s="254"/>
      <c r="KQX7" s="254"/>
      <c r="KQY7" s="254"/>
      <c r="KQZ7" s="254"/>
      <c r="KRA7" s="254"/>
      <c r="KRB7" s="254"/>
      <c r="KRC7" s="254"/>
      <c r="KRD7" s="254"/>
      <c r="KRE7" s="254"/>
      <c r="KRF7" s="254"/>
      <c r="KRG7" s="254"/>
      <c r="KRH7" s="254"/>
      <c r="KRI7" s="254"/>
      <c r="KRJ7" s="254"/>
      <c r="KRK7" s="254"/>
      <c r="KRL7" s="254"/>
      <c r="KRM7" s="254"/>
      <c r="KRN7" s="254"/>
      <c r="KRO7" s="254"/>
      <c r="KRP7" s="254"/>
      <c r="KRQ7" s="254"/>
      <c r="KRR7" s="254"/>
      <c r="KRS7" s="254"/>
      <c r="KRT7" s="254"/>
      <c r="KRU7" s="254"/>
      <c r="KRV7" s="254"/>
      <c r="KRW7" s="254"/>
      <c r="KRX7" s="254"/>
      <c r="KRY7" s="254"/>
      <c r="KRZ7" s="254"/>
      <c r="KSA7" s="254"/>
      <c r="KSB7" s="254"/>
      <c r="KSC7" s="254"/>
      <c r="KSD7" s="254"/>
      <c r="KSE7" s="254"/>
      <c r="KSF7" s="254"/>
      <c r="KSG7" s="254"/>
      <c r="KSH7" s="254"/>
      <c r="KSI7" s="254"/>
      <c r="KSJ7" s="254"/>
      <c r="KSK7" s="254"/>
      <c r="KSL7" s="254"/>
      <c r="KSM7" s="254"/>
      <c r="KSN7" s="254"/>
      <c r="KSO7" s="254"/>
      <c r="KSP7" s="254"/>
      <c r="KSQ7" s="254"/>
      <c r="KSR7" s="254"/>
      <c r="KSS7" s="254"/>
      <c r="KST7" s="254"/>
      <c r="KSU7" s="254"/>
      <c r="KSV7" s="254"/>
      <c r="KSW7" s="254"/>
      <c r="KSX7" s="254"/>
      <c r="KSY7" s="254"/>
      <c r="KSZ7" s="254"/>
      <c r="KTA7" s="254"/>
      <c r="KTB7" s="254"/>
      <c r="KTC7" s="254"/>
      <c r="KTD7" s="254"/>
      <c r="KTE7" s="254"/>
      <c r="KTF7" s="254"/>
      <c r="KTG7" s="254"/>
      <c r="KTH7" s="254"/>
      <c r="KTI7" s="254"/>
      <c r="KTJ7" s="254"/>
      <c r="KTK7" s="254"/>
      <c r="KTL7" s="254"/>
      <c r="KTM7" s="254"/>
      <c r="KTN7" s="254"/>
      <c r="KTO7" s="254"/>
      <c r="KTP7" s="254"/>
      <c r="KTQ7" s="254"/>
      <c r="KTR7" s="254"/>
      <c r="KTS7" s="254"/>
      <c r="KTT7" s="254"/>
      <c r="KTU7" s="254"/>
      <c r="KTV7" s="254"/>
      <c r="KTW7" s="254"/>
      <c r="KTX7" s="254"/>
      <c r="KTY7" s="254"/>
      <c r="KTZ7" s="254"/>
      <c r="KUA7" s="254"/>
      <c r="KUB7" s="254"/>
      <c r="KUC7" s="254"/>
      <c r="KUD7" s="254"/>
      <c r="KUE7" s="254"/>
      <c r="KUF7" s="254"/>
      <c r="KUG7" s="254"/>
      <c r="KUH7" s="254"/>
      <c r="KUI7" s="254"/>
      <c r="KUJ7" s="254"/>
      <c r="KUK7" s="254"/>
      <c r="KUL7" s="254"/>
      <c r="KUM7" s="254"/>
      <c r="KUN7" s="254"/>
      <c r="KUO7" s="254"/>
      <c r="KUP7" s="254"/>
      <c r="KUQ7" s="254"/>
      <c r="KUR7" s="254"/>
      <c r="KUS7" s="254"/>
      <c r="KUT7" s="254"/>
      <c r="KUU7" s="254"/>
      <c r="KUV7" s="254"/>
      <c r="KUW7" s="254"/>
      <c r="KUX7" s="254"/>
      <c r="KUY7" s="254"/>
      <c r="KUZ7" s="254"/>
      <c r="KVA7" s="254"/>
      <c r="KVB7" s="254"/>
      <c r="KVC7" s="254"/>
      <c r="KVD7" s="254"/>
      <c r="KVE7" s="254"/>
      <c r="KVF7" s="254"/>
      <c r="KVG7" s="254"/>
      <c r="KVH7" s="254"/>
      <c r="KVI7" s="254"/>
      <c r="KVJ7" s="254"/>
      <c r="KVK7" s="254"/>
      <c r="KVL7" s="254"/>
      <c r="KVM7" s="254"/>
      <c r="KVN7" s="254"/>
      <c r="KVO7" s="254"/>
      <c r="KVP7" s="254"/>
      <c r="KVQ7" s="254"/>
      <c r="KVR7" s="254"/>
      <c r="KVS7" s="254"/>
      <c r="KVT7" s="254"/>
      <c r="KVU7" s="254"/>
      <c r="KVV7" s="254"/>
      <c r="KVW7" s="254"/>
      <c r="KVX7" s="254"/>
      <c r="KVY7" s="254"/>
      <c r="KVZ7" s="254"/>
      <c r="KWA7" s="254"/>
      <c r="KWB7" s="254"/>
      <c r="KWC7" s="254"/>
      <c r="KWD7" s="254"/>
      <c r="KWE7" s="254"/>
      <c r="KWF7" s="254"/>
      <c r="KWG7" s="254"/>
      <c r="KWH7" s="254"/>
      <c r="KWI7" s="254"/>
      <c r="KWJ7" s="254"/>
      <c r="KWK7" s="254"/>
      <c r="KWL7" s="254"/>
      <c r="KWM7" s="254"/>
      <c r="KWN7" s="254"/>
      <c r="KWO7" s="254"/>
      <c r="KWP7" s="254"/>
      <c r="KWQ7" s="254"/>
      <c r="KWR7" s="254"/>
      <c r="KWS7" s="254"/>
      <c r="KWT7" s="254"/>
      <c r="KWU7" s="254"/>
      <c r="KWV7" s="254"/>
      <c r="KWW7" s="254"/>
      <c r="KWX7" s="254"/>
      <c r="KWY7" s="254"/>
      <c r="KWZ7" s="254"/>
      <c r="KXA7" s="254"/>
      <c r="KXB7" s="254"/>
      <c r="KXC7" s="254"/>
      <c r="KXD7" s="254"/>
      <c r="KXE7" s="254"/>
      <c r="KXF7" s="254"/>
      <c r="KXG7" s="254"/>
      <c r="KXH7" s="254"/>
      <c r="KXI7" s="254"/>
      <c r="KXJ7" s="254"/>
      <c r="KXK7" s="254"/>
      <c r="KXL7" s="254"/>
      <c r="KXM7" s="254"/>
      <c r="KXN7" s="254"/>
      <c r="KXO7" s="254"/>
      <c r="KXP7" s="254"/>
      <c r="KXQ7" s="254"/>
      <c r="KXR7" s="254"/>
      <c r="KXS7" s="254"/>
      <c r="KXT7" s="254"/>
      <c r="KXU7" s="254"/>
      <c r="KXV7" s="254"/>
      <c r="KXW7" s="254"/>
      <c r="KXX7" s="254"/>
      <c r="KXY7" s="254"/>
      <c r="KXZ7" s="254"/>
      <c r="KYA7" s="254"/>
      <c r="KYB7" s="254"/>
      <c r="KYC7" s="254"/>
      <c r="KYD7" s="254"/>
      <c r="KYE7" s="254"/>
      <c r="KYF7" s="254"/>
      <c r="KYG7" s="254"/>
      <c r="KYH7" s="254"/>
      <c r="KYI7" s="254"/>
      <c r="KYJ7" s="254"/>
      <c r="KYK7" s="254"/>
      <c r="KYL7" s="254"/>
      <c r="KYM7" s="254"/>
      <c r="KYN7" s="254"/>
      <c r="KYO7" s="254"/>
      <c r="KYP7" s="254"/>
      <c r="KYQ7" s="254"/>
      <c r="KYR7" s="254"/>
      <c r="KYS7" s="254"/>
      <c r="KYT7" s="254"/>
      <c r="KYU7" s="254"/>
      <c r="KYV7" s="254"/>
      <c r="KYW7" s="254"/>
      <c r="KYX7" s="254"/>
      <c r="KYY7" s="254"/>
      <c r="KYZ7" s="254"/>
      <c r="KZA7" s="254"/>
      <c r="KZB7" s="254"/>
      <c r="KZC7" s="254"/>
      <c r="KZD7" s="254"/>
      <c r="KZE7" s="254"/>
      <c r="KZF7" s="254"/>
      <c r="KZG7" s="254"/>
      <c r="KZH7" s="254"/>
      <c r="KZI7" s="254"/>
      <c r="KZJ7" s="254"/>
      <c r="KZK7" s="254"/>
      <c r="KZL7" s="254"/>
      <c r="KZM7" s="254"/>
      <c r="KZN7" s="254"/>
      <c r="KZO7" s="254"/>
      <c r="KZP7" s="254"/>
      <c r="KZQ7" s="254"/>
      <c r="KZR7" s="254"/>
      <c r="KZS7" s="254"/>
      <c r="KZT7" s="254"/>
      <c r="KZU7" s="254"/>
      <c r="KZV7" s="254"/>
      <c r="KZW7" s="254"/>
      <c r="KZX7" s="254"/>
      <c r="KZY7" s="254"/>
      <c r="KZZ7" s="254"/>
      <c r="LAA7" s="254"/>
      <c r="LAB7" s="254"/>
      <c r="LAC7" s="254"/>
      <c r="LAD7" s="254"/>
      <c r="LAE7" s="254"/>
      <c r="LAF7" s="254"/>
      <c r="LAG7" s="254"/>
      <c r="LAH7" s="254"/>
      <c r="LAI7" s="254"/>
      <c r="LAJ7" s="254"/>
      <c r="LAK7" s="254"/>
      <c r="LAL7" s="254"/>
      <c r="LAM7" s="254"/>
      <c r="LAN7" s="254"/>
      <c r="LAO7" s="254"/>
      <c r="LAP7" s="254"/>
      <c r="LAQ7" s="254"/>
      <c r="LAR7" s="254"/>
      <c r="LAS7" s="254"/>
      <c r="LAT7" s="254"/>
      <c r="LAU7" s="254"/>
      <c r="LAV7" s="254"/>
      <c r="LAW7" s="254"/>
      <c r="LAX7" s="254"/>
      <c r="LAY7" s="254"/>
      <c r="LAZ7" s="254"/>
      <c r="LBA7" s="254"/>
      <c r="LBB7" s="254"/>
      <c r="LBC7" s="254"/>
      <c r="LBD7" s="254"/>
      <c r="LBE7" s="254"/>
      <c r="LBF7" s="254"/>
      <c r="LBG7" s="254"/>
      <c r="LBH7" s="254"/>
      <c r="LBI7" s="254"/>
      <c r="LBJ7" s="254"/>
      <c r="LBK7" s="254"/>
      <c r="LBL7" s="254"/>
      <c r="LBM7" s="254"/>
      <c r="LBN7" s="254"/>
      <c r="LBO7" s="254"/>
      <c r="LBP7" s="254"/>
      <c r="LBQ7" s="254"/>
      <c r="LBR7" s="254"/>
      <c r="LBS7" s="254"/>
      <c r="LBT7" s="254"/>
      <c r="LBU7" s="254"/>
      <c r="LBV7" s="254"/>
      <c r="LBW7" s="254"/>
      <c r="LBX7" s="254"/>
      <c r="LBY7" s="254"/>
      <c r="LBZ7" s="254"/>
      <c r="LCA7" s="254"/>
      <c r="LCB7" s="254"/>
      <c r="LCC7" s="254"/>
      <c r="LCD7" s="254"/>
      <c r="LCE7" s="254"/>
      <c r="LCF7" s="254"/>
      <c r="LCG7" s="254"/>
      <c r="LCH7" s="254"/>
      <c r="LCI7" s="254"/>
      <c r="LCJ7" s="254"/>
      <c r="LCK7" s="254"/>
      <c r="LCL7" s="254"/>
      <c r="LCM7" s="254"/>
      <c r="LCN7" s="254"/>
      <c r="LCO7" s="254"/>
      <c r="LCP7" s="254"/>
      <c r="LCQ7" s="254"/>
      <c r="LCR7" s="254"/>
      <c r="LCS7" s="254"/>
      <c r="LCT7" s="254"/>
      <c r="LCU7" s="254"/>
      <c r="LCV7" s="254"/>
      <c r="LCW7" s="254"/>
      <c r="LCX7" s="254"/>
      <c r="LCY7" s="254"/>
      <c r="LCZ7" s="254"/>
      <c r="LDA7" s="254"/>
      <c r="LDB7" s="254"/>
      <c r="LDC7" s="254"/>
      <c r="LDD7" s="254"/>
      <c r="LDE7" s="254"/>
      <c r="LDF7" s="254"/>
      <c r="LDG7" s="254"/>
      <c r="LDH7" s="254"/>
      <c r="LDI7" s="254"/>
      <c r="LDJ7" s="254"/>
      <c r="LDK7" s="254"/>
      <c r="LDL7" s="254"/>
      <c r="LDM7" s="254"/>
      <c r="LDN7" s="254"/>
      <c r="LDO7" s="254"/>
      <c r="LDP7" s="254"/>
      <c r="LDQ7" s="254"/>
      <c r="LDR7" s="254"/>
      <c r="LDS7" s="254"/>
      <c r="LDT7" s="254"/>
      <c r="LDU7" s="254"/>
      <c r="LDV7" s="254"/>
      <c r="LDW7" s="254"/>
      <c r="LDX7" s="254"/>
      <c r="LDY7" s="254"/>
      <c r="LDZ7" s="254"/>
      <c r="LEA7" s="254"/>
      <c r="LEB7" s="254"/>
      <c r="LEC7" s="254"/>
      <c r="LED7" s="254"/>
      <c r="LEE7" s="254"/>
      <c r="LEF7" s="254"/>
      <c r="LEG7" s="254"/>
      <c r="LEH7" s="254"/>
      <c r="LEI7" s="254"/>
      <c r="LEJ7" s="254"/>
      <c r="LEK7" s="254"/>
      <c r="LEL7" s="254"/>
      <c r="LEM7" s="254"/>
      <c r="LEN7" s="254"/>
      <c r="LEO7" s="254"/>
      <c r="LEP7" s="254"/>
      <c r="LEQ7" s="254"/>
      <c r="LER7" s="254"/>
      <c r="LES7" s="254"/>
      <c r="LET7" s="254"/>
      <c r="LEU7" s="254"/>
      <c r="LEV7" s="254"/>
      <c r="LEW7" s="254"/>
      <c r="LEX7" s="254"/>
      <c r="LEY7" s="254"/>
      <c r="LEZ7" s="254"/>
      <c r="LFA7" s="254"/>
      <c r="LFB7" s="254"/>
      <c r="LFC7" s="254"/>
      <c r="LFD7" s="254"/>
      <c r="LFE7" s="254"/>
      <c r="LFF7" s="254"/>
      <c r="LFG7" s="254"/>
      <c r="LFH7" s="254"/>
      <c r="LFI7" s="254"/>
      <c r="LFJ7" s="254"/>
      <c r="LFK7" s="254"/>
      <c r="LFL7" s="254"/>
      <c r="LFM7" s="254"/>
      <c r="LFN7" s="254"/>
      <c r="LFO7" s="254"/>
      <c r="LFP7" s="254"/>
      <c r="LFQ7" s="254"/>
      <c r="LFR7" s="254"/>
      <c r="LFS7" s="254"/>
      <c r="LFT7" s="254"/>
      <c r="LFU7" s="254"/>
      <c r="LFV7" s="254"/>
      <c r="LFW7" s="254"/>
      <c r="LFX7" s="254"/>
      <c r="LFY7" s="254"/>
      <c r="LFZ7" s="254"/>
      <c r="LGA7" s="254"/>
      <c r="LGB7" s="254"/>
      <c r="LGC7" s="254"/>
      <c r="LGD7" s="254"/>
      <c r="LGE7" s="254"/>
      <c r="LGF7" s="254"/>
      <c r="LGG7" s="254"/>
      <c r="LGH7" s="254"/>
      <c r="LGI7" s="254"/>
      <c r="LGJ7" s="254"/>
      <c r="LGK7" s="254"/>
      <c r="LGL7" s="254"/>
      <c r="LGM7" s="254"/>
      <c r="LGN7" s="254"/>
      <c r="LGO7" s="254"/>
      <c r="LGP7" s="254"/>
      <c r="LGQ7" s="254"/>
      <c r="LGR7" s="254"/>
      <c r="LGS7" s="254"/>
      <c r="LGT7" s="254"/>
      <c r="LGU7" s="254"/>
      <c r="LGV7" s="254"/>
      <c r="LGW7" s="254"/>
      <c r="LGX7" s="254"/>
      <c r="LGY7" s="254"/>
      <c r="LGZ7" s="254"/>
      <c r="LHA7" s="254"/>
      <c r="LHB7" s="254"/>
      <c r="LHC7" s="254"/>
      <c r="LHD7" s="254"/>
      <c r="LHE7" s="254"/>
      <c r="LHF7" s="254"/>
      <c r="LHG7" s="254"/>
      <c r="LHH7" s="254"/>
      <c r="LHI7" s="254"/>
      <c r="LHJ7" s="254"/>
      <c r="LHK7" s="254"/>
      <c r="LHL7" s="254"/>
      <c r="LHM7" s="254"/>
      <c r="LHN7" s="254"/>
      <c r="LHO7" s="254"/>
      <c r="LHP7" s="254"/>
      <c r="LHQ7" s="254"/>
      <c r="LHR7" s="254"/>
      <c r="LHS7" s="254"/>
      <c r="LHT7" s="254"/>
      <c r="LHU7" s="254"/>
      <c r="LHV7" s="254"/>
      <c r="LHW7" s="254"/>
      <c r="LHX7" s="254"/>
      <c r="LHY7" s="254"/>
      <c r="LHZ7" s="254"/>
      <c r="LIA7" s="254"/>
      <c r="LIB7" s="254"/>
      <c r="LIC7" s="254"/>
      <c r="LID7" s="254"/>
      <c r="LIE7" s="254"/>
      <c r="LIF7" s="254"/>
      <c r="LIG7" s="254"/>
      <c r="LIH7" s="254"/>
      <c r="LII7" s="254"/>
      <c r="LIJ7" s="254"/>
      <c r="LIK7" s="254"/>
      <c r="LIL7" s="254"/>
      <c r="LIM7" s="254"/>
      <c r="LIN7" s="254"/>
      <c r="LIO7" s="254"/>
      <c r="LIP7" s="254"/>
      <c r="LIQ7" s="254"/>
      <c r="LIR7" s="254"/>
      <c r="LIS7" s="254"/>
      <c r="LIT7" s="254"/>
      <c r="LIU7" s="254"/>
      <c r="LIV7" s="254"/>
      <c r="LIW7" s="254"/>
      <c r="LIX7" s="254"/>
      <c r="LIY7" s="254"/>
      <c r="LIZ7" s="254"/>
      <c r="LJA7" s="254"/>
      <c r="LJB7" s="254"/>
      <c r="LJC7" s="254"/>
      <c r="LJD7" s="254"/>
      <c r="LJE7" s="254"/>
      <c r="LJF7" s="254"/>
      <c r="LJG7" s="254"/>
      <c r="LJH7" s="254"/>
      <c r="LJI7" s="254"/>
      <c r="LJJ7" s="254"/>
      <c r="LJK7" s="254"/>
      <c r="LJL7" s="254"/>
      <c r="LJM7" s="254"/>
      <c r="LJN7" s="254"/>
      <c r="LJO7" s="254"/>
      <c r="LJP7" s="254"/>
      <c r="LJQ7" s="254"/>
      <c r="LJR7" s="254"/>
      <c r="LJS7" s="254"/>
      <c r="LJT7" s="254"/>
      <c r="LJU7" s="254"/>
      <c r="LJV7" s="254"/>
      <c r="LJW7" s="254"/>
      <c r="LJX7" s="254"/>
      <c r="LJY7" s="254"/>
      <c r="LJZ7" s="254"/>
      <c r="LKA7" s="254"/>
      <c r="LKB7" s="254"/>
      <c r="LKC7" s="254"/>
      <c r="LKD7" s="254"/>
      <c r="LKE7" s="254"/>
      <c r="LKF7" s="254"/>
      <c r="LKG7" s="254"/>
      <c r="LKH7" s="254"/>
      <c r="LKI7" s="254"/>
      <c r="LKJ7" s="254"/>
      <c r="LKK7" s="254"/>
      <c r="LKL7" s="254"/>
      <c r="LKM7" s="254"/>
      <c r="LKN7" s="254"/>
      <c r="LKO7" s="254"/>
      <c r="LKP7" s="254"/>
      <c r="LKQ7" s="254"/>
      <c r="LKR7" s="254"/>
      <c r="LKS7" s="254"/>
      <c r="LKT7" s="254"/>
      <c r="LKU7" s="254"/>
      <c r="LKV7" s="254"/>
      <c r="LKW7" s="254"/>
      <c r="LKX7" s="254"/>
      <c r="LKY7" s="254"/>
      <c r="LKZ7" s="254"/>
      <c r="LLA7" s="254"/>
      <c r="LLB7" s="254"/>
      <c r="LLC7" s="254"/>
      <c r="LLD7" s="254"/>
      <c r="LLE7" s="254"/>
      <c r="LLF7" s="254"/>
      <c r="LLG7" s="254"/>
      <c r="LLH7" s="254"/>
      <c r="LLI7" s="254"/>
      <c r="LLJ7" s="254"/>
      <c r="LLK7" s="254"/>
      <c r="LLL7" s="254"/>
      <c r="LLM7" s="254"/>
      <c r="LLN7" s="254"/>
      <c r="LLO7" s="254"/>
      <c r="LLP7" s="254"/>
      <c r="LLQ7" s="254"/>
      <c r="LLR7" s="254"/>
      <c r="LLS7" s="254"/>
      <c r="LLT7" s="254"/>
      <c r="LLU7" s="254"/>
      <c r="LLV7" s="254"/>
      <c r="LLW7" s="254"/>
      <c r="LLX7" s="254"/>
      <c r="LLY7" s="254"/>
      <c r="LLZ7" s="254"/>
      <c r="LMA7" s="254"/>
      <c r="LMB7" s="254"/>
      <c r="LMC7" s="254"/>
      <c r="LMD7" s="254"/>
      <c r="LME7" s="254"/>
      <c r="LMF7" s="254"/>
      <c r="LMG7" s="254"/>
      <c r="LMH7" s="254"/>
      <c r="LMI7" s="254"/>
      <c r="LMJ7" s="254"/>
      <c r="LMK7" s="254"/>
      <c r="LML7" s="254"/>
      <c r="LMM7" s="254"/>
      <c r="LMN7" s="254"/>
      <c r="LMO7" s="254"/>
      <c r="LMP7" s="254"/>
      <c r="LMQ7" s="254"/>
      <c r="LMR7" s="254"/>
      <c r="LMS7" s="254"/>
      <c r="LMT7" s="254"/>
      <c r="LMU7" s="254"/>
      <c r="LMV7" s="254"/>
      <c r="LMW7" s="254"/>
      <c r="LMX7" s="254"/>
      <c r="LMY7" s="254"/>
      <c r="LMZ7" s="254"/>
      <c r="LNA7" s="254"/>
      <c r="LNB7" s="254"/>
      <c r="LNC7" s="254"/>
      <c r="LND7" s="254"/>
      <c r="LNE7" s="254"/>
      <c r="LNF7" s="254"/>
      <c r="LNG7" s="254"/>
      <c r="LNH7" s="254"/>
      <c r="LNI7" s="254"/>
      <c r="LNJ7" s="254"/>
      <c r="LNK7" s="254"/>
      <c r="LNL7" s="254"/>
      <c r="LNM7" s="254"/>
      <c r="LNN7" s="254"/>
      <c r="LNO7" s="254"/>
      <c r="LNP7" s="254"/>
      <c r="LNQ7" s="254"/>
      <c r="LNR7" s="254"/>
      <c r="LNS7" s="254"/>
      <c r="LNT7" s="254"/>
      <c r="LNU7" s="254"/>
      <c r="LNV7" s="254"/>
      <c r="LNW7" s="254"/>
      <c r="LNX7" s="254"/>
      <c r="LNY7" s="254"/>
      <c r="LNZ7" s="254"/>
      <c r="LOA7" s="254"/>
      <c r="LOB7" s="254"/>
      <c r="LOC7" s="254"/>
      <c r="LOD7" s="254"/>
      <c r="LOE7" s="254"/>
      <c r="LOF7" s="254"/>
      <c r="LOG7" s="254"/>
      <c r="LOH7" s="254"/>
      <c r="LOI7" s="254"/>
      <c r="LOJ7" s="254"/>
      <c r="LOK7" s="254"/>
      <c r="LOL7" s="254"/>
      <c r="LOM7" s="254"/>
      <c r="LON7" s="254"/>
      <c r="LOO7" s="254"/>
      <c r="LOP7" s="254"/>
      <c r="LOQ7" s="254"/>
      <c r="LOR7" s="254"/>
      <c r="LOS7" s="254"/>
      <c r="LOT7" s="254"/>
      <c r="LOU7" s="254"/>
      <c r="LOV7" s="254"/>
      <c r="LOW7" s="254"/>
      <c r="LOX7" s="254"/>
      <c r="LOY7" s="254"/>
      <c r="LOZ7" s="254"/>
      <c r="LPA7" s="254"/>
      <c r="LPB7" s="254"/>
      <c r="LPC7" s="254"/>
      <c r="LPD7" s="254"/>
      <c r="LPE7" s="254"/>
      <c r="LPF7" s="254"/>
      <c r="LPG7" s="254"/>
      <c r="LPH7" s="254"/>
      <c r="LPI7" s="254"/>
      <c r="LPJ7" s="254"/>
      <c r="LPK7" s="254"/>
      <c r="LPL7" s="254"/>
      <c r="LPM7" s="254"/>
      <c r="LPN7" s="254"/>
      <c r="LPO7" s="254"/>
      <c r="LPP7" s="254"/>
      <c r="LPQ7" s="254"/>
      <c r="LPR7" s="254"/>
      <c r="LPS7" s="254"/>
      <c r="LPT7" s="254"/>
      <c r="LPU7" s="254"/>
      <c r="LPV7" s="254"/>
      <c r="LPW7" s="254"/>
      <c r="LPX7" s="254"/>
      <c r="LPY7" s="254"/>
      <c r="LPZ7" s="254"/>
      <c r="LQA7" s="254"/>
      <c r="LQB7" s="254"/>
      <c r="LQC7" s="254"/>
      <c r="LQD7" s="254"/>
      <c r="LQE7" s="254"/>
      <c r="LQF7" s="254"/>
      <c r="LQG7" s="254"/>
      <c r="LQH7" s="254"/>
      <c r="LQI7" s="254"/>
      <c r="LQJ7" s="254"/>
      <c r="LQK7" s="254"/>
      <c r="LQL7" s="254"/>
      <c r="LQM7" s="254"/>
      <c r="LQN7" s="254"/>
      <c r="LQO7" s="254"/>
      <c r="LQP7" s="254"/>
      <c r="LQQ7" s="254"/>
      <c r="LQR7" s="254"/>
      <c r="LQS7" s="254"/>
      <c r="LQT7" s="254"/>
      <c r="LQU7" s="254"/>
      <c r="LQV7" s="254"/>
      <c r="LQW7" s="254"/>
      <c r="LQX7" s="254"/>
      <c r="LQY7" s="254"/>
      <c r="LQZ7" s="254"/>
      <c r="LRA7" s="254"/>
      <c r="LRB7" s="254"/>
      <c r="LRC7" s="254"/>
      <c r="LRD7" s="254"/>
      <c r="LRE7" s="254"/>
      <c r="LRF7" s="254"/>
      <c r="LRG7" s="254"/>
      <c r="LRH7" s="254"/>
      <c r="LRI7" s="254"/>
      <c r="LRJ7" s="254"/>
      <c r="LRK7" s="254"/>
      <c r="LRL7" s="254"/>
      <c r="LRM7" s="254"/>
      <c r="LRN7" s="254"/>
      <c r="LRO7" s="254"/>
      <c r="LRP7" s="254"/>
      <c r="LRQ7" s="254"/>
      <c r="LRR7" s="254"/>
      <c r="LRS7" s="254"/>
      <c r="LRT7" s="254"/>
      <c r="LRU7" s="254"/>
      <c r="LRV7" s="254"/>
      <c r="LRW7" s="254"/>
      <c r="LRX7" s="254"/>
      <c r="LRY7" s="254"/>
      <c r="LRZ7" s="254"/>
      <c r="LSA7" s="254"/>
      <c r="LSB7" s="254"/>
      <c r="LSC7" s="254"/>
      <c r="LSD7" s="254"/>
      <c r="LSE7" s="254"/>
      <c r="LSF7" s="254"/>
      <c r="LSG7" s="254"/>
      <c r="LSH7" s="254"/>
      <c r="LSI7" s="254"/>
      <c r="LSJ7" s="254"/>
      <c r="LSK7" s="254"/>
      <c r="LSL7" s="254"/>
      <c r="LSM7" s="254"/>
      <c r="LSN7" s="254"/>
      <c r="LSO7" s="254"/>
      <c r="LSP7" s="254"/>
      <c r="LSQ7" s="254"/>
      <c r="LSR7" s="254"/>
      <c r="LSS7" s="254"/>
      <c r="LST7" s="254"/>
      <c r="LSU7" s="254"/>
      <c r="LSV7" s="254"/>
      <c r="LSW7" s="254"/>
      <c r="LSX7" s="254"/>
      <c r="LSY7" s="254"/>
      <c r="LSZ7" s="254"/>
      <c r="LTA7" s="254"/>
      <c r="LTB7" s="254"/>
      <c r="LTC7" s="254"/>
      <c r="LTD7" s="254"/>
      <c r="LTE7" s="254"/>
      <c r="LTF7" s="254"/>
      <c r="LTG7" s="254"/>
      <c r="LTH7" s="254"/>
      <c r="LTI7" s="254"/>
      <c r="LTJ7" s="254"/>
      <c r="LTK7" s="254"/>
      <c r="LTL7" s="254"/>
      <c r="LTM7" s="254"/>
      <c r="LTN7" s="254"/>
      <c r="LTO7" s="254"/>
      <c r="LTP7" s="254"/>
      <c r="LTQ7" s="254"/>
      <c r="LTR7" s="254"/>
      <c r="LTS7" s="254"/>
      <c r="LTT7" s="254"/>
      <c r="LTU7" s="254"/>
      <c r="LTV7" s="254"/>
      <c r="LTW7" s="254"/>
      <c r="LTX7" s="254"/>
      <c r="LTY7" s="254"/>
      <c r="LTZ7" s="254"/>
      <c r="LUA7" s="254"/>
      <c r="LUB7" s="254"/>
      <c r="LUC7" s="254"/>
      <c r="LUD7" s="254"/>
      <c r="LUE7" s="254"/>
      <c r="LUF7" s="254"/>
      <c r="LUG7" s="254"/>
      <c r="LUH7" s="254"/>
      <c r="LUI7" s="254"/>
      <c r="LUJ7" s="254"/>
      <c r="LUK7" s="254"/>
      <c r="LUL7" s="254"/>
      <c r="LUM7" s="254"/>
      <c r="LUN7" s="254"/>
      <c r="LUO7" s="254"/>
      <c r="LUP7" s="254"/>
      <c r="LUQ7" s="254"/>
      <c r="LUR7" s="254"/>
      <c r="LUS7" s="254"/>
      <c r="LUT7" s="254"/>
      <c r="LUU7" s="254"/>
      <c r="LUV7" s="254"/>
      <c r="LUW7" s="254"/>
      <c r="LUX7" s="254"/>
      <c r="LUY7" s="254"/>
      <c r="LUZ7" s="254"/>
      <c r="LVA7" s="254"/>
      <c r="LVB7" s="254"/>
      <c r="LVC7" s="254"/>
      <c r="LVD7" s="254"/>
      <c r="LVE7" s="254"/>
      <c r="LVF7" s="254"/>
      <c r="LVG7" s="254"/>
      <c r="LVH7" s="254"/>
      <c r="LVI7" s="254"/>
      <c r="LVJ7" s="254"/>
      <c r="LVK7" s="254"/>
      <c r="LVL7" s="254"/>
      <c r="LVM7" s="254"/>
      <c r="LVN7" s="254"/>
      <c r="LVO7" s="254"/>
      <c r="LVP7" s="254"/>
      <c r="LVQ7" s="254"/>
      <c r="LVR7" s="254"/>
      <c r="LVS7" s="254"/>
      <c r="LVT7" s="254"/>
      <c r="LVU7" s="254"/>
      <c r="LVV7" s="254"/>
      <c r="LVW7" s="254"/>
      <c r="LVX7" s="254"/>
      <c r="LVY7" s="254"/>
      <c r="LVZ7" s="254"/>
      <c r="LWA7" s="254"/>
      <c r="LWB7" s="254"/>
      <c r="LWC7" s="254"/>
      <c r="LWD7" s="254"/>
      <c r="LWE7" s="254"/>
      <c r="LWF7" s="254"/>
      <c r="LWG7" s="254"/>
      <c r="LWH7" s="254"/>
      <c r="LWI7" s="254"/>
      <c r="LWJ7" s="254"/>
      <c r="LWK7" s="254"/>
      <c r="LWL7" s="254"/>
      <c r="LWM7" s="254"/>
      <c r="LWN7" s="254"/>
      <c r="LWO7" s="254"/>
      <c r="LWP7" s="254"/>
      <c r="LWQ7" s="254"/>
      <c r="LWR7" s="254"/>
      <c r="LWS7" s="254"/>
      <c r="LWT7" s="254"/>
      <c r="LWU7" s="254"/>
      <c r="LWV7" s="254"/>
      <c r="LWW7" s="254"/>
      <c r="LWX7" s="254"/>
      <c r="LWY7" s="254"/>
      <c r="LWZ7" s="254"/>
      <c r="LXA7" s="254"/>
      <c r="LXB7" s="254"/>
      <c r="LXC7" s="254"/>
      <c r="LXD7" s="254"/>
      <c r="LXE7" s="254"/>
      <c r="LXF7" s="254"/>
      <c r="LXG7" s="254"/>
      <c r="LXH7" s="254"/>
      <c r="LXI7" s="254"/>
      <c r="LXJ7" s="254"/>
      <c r="LXK7" s="254"/>
      <c r="LXL7" s="254"/>
      <c r="LXM7" s="254"/>
      <c r="LXN7" s="254"/>
      <c r="LXO7" s="254"/>
      <c r="LXP7" s="254"/>
      <c r="LXQ7" s="254"/>
      <c r="LXR7" s="254"/>
      <c r="LXS7" s="254"/>
      <c r="LXT7" s="254"/>
      <c r="LXU7" s="254"/>
      <c r="LXV7" s="254"/>
      <c r="LXW7" s="254"/>
      <c r="LXX7" s="254"/>
      <c r="LXY7" s="254"/>
      <c r="LXZ7" s="254"/>
      <c r="LYA7" s="254"/>
      <c r="LYB7" s="254"/>
      <c r="LYC7" s="254"/>
      <c r="LYD7" s="254"/>
      <c r="LYE7" s="254"/>
      <c r="LYF7" s="254"/>
      <c r="LYG7" s="254"/>
      <c r="LYH7" s="254"/>
      <c r="LYI7" s="254"/>
      <c r="LYJ7" s="254"/>
      <c r="LYK7" s="254"/>
      <c r="LYL7" s="254"/>
      <c r="LYM7" s="254"/>
      <c r="LYN7" s="254"/>
      <c r="LYO7" s="254"/>
      <c r="LYP7" s="254"/>
      <c r="LYQ7" s="254"/>
      <c r="LYR7" s="254"/>
      <c r="LYS7" s="254"/>
      <c r="LYT7" s="254"/>
      <c r="LYU7" s="254"/>
      <c r="LYV7" s="254"/>
      <c r="LYW7" s="254"/>
      <c r="LYX7" s="254"/>
      <c r="LYY7" s="254"/>
      <c r="LYZ7" s="254"/>
      <c r="LZA7" s="254"/>
      <c r="LZB7" s="254"/>
      <c r="LZC7" s="254"/>
      <c r="LZD7" s="254"/>
      <c r="LZE7" s="254"/>
      <c r="LZF7" s="254"/>
      <c r="LZG7" s="254"/>
      <c r="LZH7" s="254"/>
      <c r="LZI7" s="254"/>
      <c r="LZJ7" s="254"/>
      <c r="LZK7" s="254"/>
      <c r="LZL7" s="254"/>
      <c r="LZM7" s="254"/>
      <c r="LZN7" s="254"/>
      <c r="LZO7" s="254"/>
      <c r="LZP7" s="254"/>
      <c r="LZQ7" s="254"/>
      <c r="LZR7" s="254"/>
      <c r="LZS7" s="254"/>
      <c r="LZT7" s="254"/>
      <c r="LZU7" s="254"/>
      <c r="LZV7" s="254"/>
      <c r="LZW7" s="254"/>
      <c r="LZX7" s="254"/>
      <c r="LZY7" s="254"/>
      <c r="LZZ7" s="254"/>
      <c r="MAA7" s="254"/>
      <c r="MAB7" s="254"/>
      <c r="MAC7" s="254"/>
      <c r="MAD7" s="254"/>
      <c r="MAE7" s="254"/>
      <c r="MAF7" s="254"/>
      <c r="MAG7" s="254"/>
      <c r="MAH7" s="254"/>
      <c r="MAI7" s="254"/>
      <c r="MAJ7" s="254"/>
      <c r="MAK7" s="254"/>
      <c r="MAL7" s="254"/>
      <c r="MAM7" s="254"/>
      <c r="MAN7" s="254"/>
      <c r="MAO7" s="254"/>
      <c r="MAP7" s="254"/>
      <c r="MAQ7" s="254"/>
      <c r="MAR7" s="254"/>
      <c r="MAS7" s="254"/>
      <c r="MAT7" s="254"/>
      <c r="MAU7" s="254"/>
      <c r="MAV7" s="254"/>
      <c r="MAW7" s="254"/>
      <c r="MAX7" s="254"/>
      <c r="MAY7" s="254"/>
      <c r="MAZ7" s="254"/>
      <c r="MBA7" s="254"/>
      <c r="MBB7" s="254"/>
      <c r="MBC7" s="254"/>
      <c r="MBD7" s="254"/>
      <c r="MBE7" s="254"/>
      <c r="MBF7" s="254"/>
      <c r="MBG7" s="254"/>
      <c r="MBH7" s="254"/>
      <c r="MBI7" s="254"/>
      <c r="MBJ7" s="254"/>
      <c r="MBK7" s="254"/>
      <c r="MBL7" s="254"/>
      <c r="MBM7" s="254"/>
      <c r="MBN7" s="254"/>
      <c r="MBO7" s="254"/>
      <c r="MBP7" s="254"/>
      <c r="MBQ7" s="254"/>
      <c r="MBR7" s="254"/>
      <c r="MBS7" s="254"/>
      <c r="MBT7" s="254"/>
      <c r="MBU7" s="254"/>
      <c r="MBV7" s="254"/>
      <c r="MBW7" s="254"/>
      <c r="MBX7" s="254"/>
      <c r="MBY7" s="254"/>
      <c r="MBZ7" s="254"/>
      <c r="MCA7" s="254"/>
      <c r="MCB7" s="254"/>
      <c r="MCC7" s="254"/>
      <c r="MCD7" s="254"/>
      <c r="MCE7" s="254"/>
      <c r="MCF7" s="254"/>
      <c r="MCG7" s="254"/>
      <c r="MCH7" s="254"/>
      <c r="MCI7" s="254"/>
      <c r="MCJ7" s="254"/>
      <c r="MCK7" s="254"/>
      <c r="MCL7" s="254"/>
      <c r="MCM7" s="254"/>
      <c r="MCN7" s="254"/>
      <c r="MCO7" s="254"/>
      <c r="MCP7" s="254"/>
      <c r="MCQ7" s="254"/>
      <c r="MCR7" s="254"/>
      <c r="MCS7" s="254"/>
      <c r="MCT7" s="254"/>
      <c r="MCU7" s="254"/>
      <c r="MCV7" s="254"/>
      <c r="MCW7" s="254"/>
      <c r="MCX7" s="254"/>
      <c r="MCY7" s="254"/>
      <c r="MCZ7" s="254"/>
      <c r="MDA7" s="254"/>
      <c r="MDB7" s="254"/>
      <c r="MDC7" s="254"/>
      <c r="MDD7" s="254"/>
      <c r="MDE7" s="254"/>
      <c r="MDF7" s="254"/>
      <c r="MDG7" s="254"/>
      <c r="MDH7" s="254"/>
      <c r="MDI7" s="254"/>
      <c r="MDJ7" s="254"/>
      <c r="MDK7" s="254"/>
      <c r="MDL7" s="254"/>
      <c r="MDM7" s="254"/>
      <c r="MDN7" s="254"/>
      <c r="MDO7" s="254"/>
      <c r="MDP7" s="254"/>
      <c r="MDQ7" s="254"/>
      <c r="MDR7" s="254"/>
      <c r="MDS7" s="254"/>
      <c r="MDT7" s="254"/>
      <c r="MDU7" s="254"/>
      <c r="MDV7" s="254"/>
      <c r="MDW7" s="254"/>
      <c r="MDX7" s="254"/>
      <c r="MDY7" s="254"/>
      <c r="MDZ7" s="254"/>
      <c r="MEA7" s="254"/>
      <c r="MEB7" s="254"/>
      <c r="MEC7" s="254"/>
      <c r="MED7" s="254"/>
      <c r="MEE7" s="254"/>
      <c r="MEF7" s="254"/>
      <c r="MEG7" s="254"/>
      <c r="MEH7" s="254"/>
      <c r="MEI7" s="254"/>
      <c r="MEJ7" s="254"/>
      <c r="MEK7" s="254"/>
      <c r="MEL7" s="254"/>
      <c r="MEM7" s="254"/>
      <c r="MEN7" s="254"/>
      <c r="MEO7" s="254"/>
      <c r="MEP7" s="254"/>
      <c r="MEQ7" s="254"/>
      <c r="MER7" s="254"/>
      <c r="MES7" s="254"/>
      <c r="MET7" s="254"/>
      <c r="MEU7" s="254"/>
      <c r="MEV7" s="254"/>
      <c r="MEW7" s="254"/>
      <c r="MEX7" s="254"/>
      <c r="MEY7" s="254"/>
      <c r="MEZ7" s="254"/>
      <c r="MFA7" s="254"/>
      <c r="MFB7" s="254"/>
      <c r="MFC7" s="254"/>
      <c r="MFD7" s="254"/>
      <c r="MFE7" s="254"/>
      <c r="MFF7" s="254"/>
      <c r="MFG7" s="254"/>
      <c r="MFH7" s="254"/>
      <c r="MFI7" s="254"/>
      <c r="MFJ7" s="254"/>
      <c r="MFK7" s="254"/>
      <c r="MFL7" s="254"/>
      <c r="MFM7" s="254"/>
      <c r="MFN7" s="254"/>
      <c r="MFO7" s="254"/>
      <c r="MFP7" s="254"/>
      <c r="MFQ7" s="254"/>
      <c r="MFR7" s="254"/>
      <c r="MFS7" s="254"/>
      <c r="MFT7" s="254"/>
      <c r="MFU7" s="254"/>
      <c r="MFV7" s="254"/>
      <c r="MFW7" s="254"/>
      <c r="MFX7" s="254"/>
      <c r="MFY7" s="254"/>
      <c r="MFZ7" s="254"/>
      <c r="MGA7" s="254"/>
      <c r="MGB7" s="254"/>
      <c r="MGC7" s="254"/>
      <c r="MGD7" s="254"/>
      <c r="MGE7" s="254"/>
      <c r="MGF7" s="254"/>
      <c r="MGG7" s="254"/>
      <c r="MGH7" s="254"/>
      <c r="MGI7" s="254"/>
      <c r="MGJ7" s="254"/>
      <c r="MGK7" s="254"/>
      <c r="MGL7" s="254"/>
      <c r="MGM7" s="254"/>
      <c r="MGN7" s="254"/>
      <c r="MGO7" s="254"/>
      <c r="MGP7" s="254"/>
      <c r="MGQ7" s="254"/>
      <c r="MGR7" s="254"/>
      <c r="MGS7" s="254"/>
      <c r="MGT7" s="254"/>
      <c r="MGU7" s="254"/>
      <c r="MGV7" s="254"/>
      <c r="MGW7" s="254"/>
      <c r="MGX7" s="254"/>
      <c r="MGY7" s="254"/>
      <c r="MGZ7" s="254"/>
      <c r="MHA7" s="254"/>
      <c r="MHB7" s="254"/>
      <c r="MHC7" s="254"/>
      <c r="MHD7" s="254"/>
      <c r="MHE7" s="254"/>
      <c r="MHF7" s="254"/>
      <c r="MHG7" s="254"/>
      <c r="MHH7" s="254"/>
      <c r="MHI7" s="254"/>
      <c r="MHJ7" s="254"/>
      <c r="MHK7" s="254"/>
      <c r="MHL7" s="254"/>
      <c r="MHM7" s="254"/>
      <c r="MHN7" s="254"/>
      <c r="MHO7" s="254"/>
      <c r="MHP7" s="254"/>
      <c r="MHQ7" s="254"/>
      <c r="MHR7" s="254"/>
      <c r="MHS7" s="254"/>
      <c r="MHT7" s="254"/>
      <c r="MHU7" s="254"/>
      <c r="MHV7" s="254"/>
      <c r="MHW7" s="254"/>
      <c r="MHX7" s="254"/>
      <c r="MHY7" s="254"/>
      <c r="MHZ7" s="254"/>
      <c r="MIA7" s="254"/>
      <c r="MIB7" s="254"/>
      <c r="MIC7" s="254"/>
      <c r="MID7" s="254"/>
      <c r="MIE7" s="254"/>
      <c r="MIF7" s="254"/>
      <c r="MIG7" s="254"/>
      <c r="MIH7" s="254"/>
      <c r="MII7" s="254"/>
      <c r="MIJ7" s="254"/>
      <c r="MIK7" s="254"/>
      <c r="MIL7" s="254"/>
      <c r="MIM7" s="254"/>
      <c r="MIN7" s="254"/>
      <c r="MIO7" s="254"/>
      <c r="MIP7" s="254"/>
      <c r="MIQ7" s="254"/>
      <c r="MIR7" s="254"/>
      <c r="MIS7" s="254"/>
      <c r="MIT7" s="254"/>
      <c r="MIU7" s="254"/>
      <c r="MIV7" s="254"/>
      <c r="MIW7" s="254"/>
      <c r="MIX7" s="254"/>
      <c r="MIY7" s="254"/>
      <c r="MIZ7" s="254"/>
      <c r="MJA7" s="254"/>
      <c r="MJB7" s="254"/>
      <c r="MJC7" s="254"/>
      <c r="MJD7" s="254"/>
      <c r="MJE7" s="254"/>
      <c r="MJF7" s="254"/>
      <c r="MJG7" s="254"/>
      <c r="MJH7" s="254"/>
      <c r="MJI7" s="254"/>
      <c r="MJJ7" s="254"/>
      <c r="MJK7" s="254"/>
      <c r="MJL7" s="254"/>
      <c r="MJM7" s="254"/>
      <c r="MJN7" s="254"/>
      <c r="MJO7" s="254"/>
      <c r="MJP7" s="254"/>
      <c r="MJQ7" s="254"/>
      <c r="MJR7" s="254"/>
      <c r="MJS7" s="254"/>
      <c r="MJT7" s="254"/>
      <c r="MJU7" s="254"/>
      <c r="MJV7" s="254"/>
      <c r="MJW7" s="254"/>
      <c r="MJX7" s="254"/>
      <c r="MJY7" s="254"/>
      <c r="MJZ7" s="254"/>
      <c r="MKA7" s="254"/>
      <c r="MKB7" s="254"/>
      <c r="MKC7" s="254"/>
      <c r="MKD7" s="254"/>
      <c r="MKE7" s="254"/>
      <c r="MKF7" s="254"/>
      <c r="MKG7" s="254"/>
      <c r="MKH7" s="254"/>
      <c r="MKI7" s="254"/>
      <c r="MKJ7" s="254"/>
      <c r="MKK7" s="254"/>
      <c r="MKL7" s="254"/>
      <c r="MKM7" s="254"/>
      <c r="MKN7" s="254"/>
      <c r="MKO7" s="254"/>
      <c r="MKP7" s="254"/>
      <c r="MKQ7" s="254"/>
      <c r="MKR7" s="254"/>
      <c r="MKS7" s="254"/>
      <c r="MKT7" s="254"/>
      <c r="MKU7" s="254"/>
      <c r="MKV7" s="254"/>
      <c r="MKW7" s="254"/>
      <c r="MKX7" s="254"/>
      <c r="MKY7" s="254"/>
      <c r="MKZ7" s="254"/>
      <c r="MLA7" s="254"/>
      <c r="MLB7" s="254"/>
      <c r="MLC7" s="254"/>
      <c r="MLD7" s="254"/>
      <c r="MLE7" s="254"/>
      <c r="MLF7" s="254"/>
      <c r="MLG7" s="254"/>
      <c r="MLH7" s="254"/>
      <c r="MLI7" s="254"/>
      <c r="MLJ7" s="254"/>
      <c r="MLK7" s="254"/>
      <c r="MLL7" s="254"/>
      <c r="MLM7" s="254"/>
      <c r="MLN7" s="254"/>
      <c r="MLO7" s="254"/>
      <c r="MLP7" s="254"/>
      <c r="MLQ7" s="254"/>
      <c r="MLR7" s="254"/>
      <c r="MLS7" s="254"/>
      <c r="MLT7" s="254"/>
      <c r="MLU7" s="254"/>
      <c r="MLV7" s="254"/>
      <c r="MLW7" s="254"/>
      <c r="MLX7" s="254"/>
      <c r="MLY7" s="254"/>
      <c r="MLZ7" s="254"/>
      <c r="MMA7" s="254"/>
      <c r="MMB7" s="254"/>
      <c r="MMC7" s="254"/>
      <c r="MMD7" s="254"/>
      <c r="MME7" s="254"/>
      <c r="MMF7" s="254"/>
      <c r="MMG7" s="254"/>
      <c r="MMH7" s="254"/>
      <c r="MMI7" s="254"/>
      <c r="MMJ7" s="254"/>
      <c r="MMK7" s="254"/>
      <c r="MML7" s="254"/>
      <c r="MMM7" s="254"/>
      <c r="MMN7" s="254"/>
      <c r="MMO7" s="254"/>
      <c r="MMP7" s="254"/>
      <c r="MMQ7" s="254"/>
      <c r="MMR7" s="254"/>
      <c r="MMS7" s="254"/>
      <c r="MMT7" s="254"/>
      <c r="MMU7" s="254"/>
      <c r="MMV7" s="254"/>
      <c r="MMW7" s="254"/>
      <c r="MMX7" s="254"/>
      <c r="MMY7" s="254"/>
      <c r="MMZ7" s="254"/>
      <c r="MNA7" s="254"/>
      <c r="MNB7" s="254"/>
      <c r="MNC7" s="254"/>
      <c r="MND7" s="254"/>
      <c r="MNE7" s="254"/>
      <c r="MNF7" s="254"/>
      <c r="MNG7" s="254"/>
      <c r="MNH7" s="254"/>
      <c r="MNI7" s="254"/>
      <c r="MNJ7" s="254"/>
      <c r="MNK7" s="254"/>
      <c r="MNL7" s="254"/>
      <c r="MNM7" s="254"/>
      <c r="MNN7" s="254"/>
      <c r="MNO7" s="254"/>
      <c r="MNP7" s="254"/>
      <c r="MNQ7" s="254"/>
      <c r="MNR7" s="254"/>
      <c r="MNS7" s="254"/>
      <c r="MNT7" s="254"/>
      <c r="MNU7" s="254"/>
      <c r="MNV7" s="254"/>
      <c r="MNW7" s="254"/>
      <c r="MNX7" s="254"/>
      <c r="MNY7" s="254"/>
      <c r="MNZ7" s="254"/>
      <c r="MOA7" s="254"/>
      <c r="MOB7" s="254"/>
      <c r="MOC7" s="254"/>
      <c r="MOD7" s="254"/>
      <c r="MOE7" s="254"/>
      <c r="MOF7" s="254"/>
      <c r="MOG7" s="254"/>
      <c r="MOH7" s="254"/>
      <c r="MOI7" s="254"/>
      <c r="MOJ7" s="254"/>
      <c r="MOK7" s="254"/>
      <c r="MOL7" s="254"/>
      <c r="MOM7" s="254"/>
      <c r="MON7" s="254"/>
      <c r="MOO7" s="254"/>
      <c r="MOP7" s="254"/>
      <c r="MOQ7" s="254"/>
      <c r="MOR7" s="254"/>
      <c r="MOS7" s="254"/>
      <c r="MOT7" s="254"/>
      <c r="MOU7" s="254"/>
      <c r="MOV7" s="254"/>
      <c r="MOW7" s="254"/>
      <c r="MOX7" s="254"/>
      <c r="MOY7" s="254"/>
      <c r="MOZ7" s="254"/>
      <c r="MPA7" s="254"/>
      <c r="MPB7" s="254"/>
      <c r="MPC7" s="254"/>
      <c r="MPD7" s="254"/>
      <c r="MPE7" s="254"/>
      <c r="MPF7" s="254"/>
      <c r="MPG7" s="254"/>
      <c r="MPH7" s="254"/>
      <c r="MPI7" s="254"/>
      <c r="MPJ7" s="254"/>
      <c r="MPK7" s="254"/>
      <c r="MPL7" s="254"/>
      <c r="MPM7" s="254"/>
      <c r="MPN7" s="254"/>
      <c r="MPO7" s="254"/>
      <c r="MPP7" s="254"/>
      <c r="MPQ7" s="254"/>
      <c r="MPR7" s="254"/>
      <c r="MPS7" s="254"/>
      <c r="MPT7" s="254"/>
      <c r="MPU7" s="254"/>
      <c r="MPV7" s="254"/>
      <c r="MPW7" s="254"/>
      <c r="MPX7" s="254"/>
      <c r="MPY7" s="254"/>
      <c r="MPZ7" s="254"/>
      <c r="MQA7" s="254"/>
      <c r="MQB7" s="254"/>
      <c r="MQC7" s="254"/>
      <c r="MQD7" s="254"/>
      <c r="MQE7" s="254"/>
      <c r="MQF7" s="254"/>
      <c r="MQG7" s="254"/>
      <c r="MQH7" s="254"/>
      <c r="MQI7" s="254"/>
      <c r="MQJ7" s="254"/>
      <c r="MQK7" s="254"/>
      <c r="MQL7" s="254"/>
      <c r="MQM7" s="254"/>
      <c r="MQN7" s="254"/>
      <c r="MQO7" s="254"/>
      <c r="MQP7" s="254"/>
      <c r="MQQ7" s="254"/>
      <c r="MQR7" s="254"/>
      <c r="MQS7" s="254"/>
      <c r="MQT7" s="254"/>
      <c r="MQU7" s="254"/>
      <c r="MQV7" s="254"/>
      <c r="MQW7" s="254"/>
      <c r="MQX7" s="254"/>
      <c r="MQY7" s="254"/>
      <c r="MQZ7" s="254"/>
      <c r="MRA7" s="254"/>
      <c r="MRB7" s="254"/>
      <c r="MRC7" s="254"/>
      <c r="MRD7" s="254"/>
      <c r="MRE7" s="254"/>
      <c r="MRF7" s="254"/>
      <c r="MRG7" s="254"/>
      <c r="MRH7" s="254"/>
      <c r="MRI7" s="254"/>
      <c r="MRJ7" s="254"/>
      <c r="MRK7" s="254"/>
      <c r="MRL7" s="254"/>
      <c r="MRM7" s="254"/>
      <c r="MRN7" s="254"/>
      <c r="MRO7" s="254"/>
      <c r="MRP7" s="254"/>
      <c r="MRQ7" s="254"/>
      <c r="MRR7" s="254"/>
      <c r="MRS7" s="254"/>
      <c r="MRT7" s="254"/>
      <c r="MRU7" s="254"/>
      <c r="MRV7" s="254"/>
      <c r="MRW7" s="254"/>
      <c r="MRX7" s="254"/>
      <c r="MRY7" s="254"/>
      <c r="MRZ7" s="254"/>
      <c r="MSA7" s="254"/>
      <c r="MSB7" s="254"/>
      <c r="MSC7" s="254"/>
      <c r="MSD7" s="254"/>
      <c r="MSE7" s="254"/>
      <c r="MSF7" s="254"/>
      <c r="MSG7" s="254"/>
      <c r="MSH7" s="254"/>
      <c r="MSI7" s="254"/>
      <c r="MSJ7" s="254"/>
      <c r="MSK7" s="254"/>
      <c r="MSL7" s="254"/>
      <c r="MSM7" s="254"/>
      <c r="MSN7" s="254"/>
      <c r="MSO7" s="254"/>
      <c r="MSP7" s="254"/>
      <c r="MSQ7" s="254"/>
      <c r="MSR7" s="254"/>
      <c r="MSS7" s="254"/>
      <c r="MST7" s="254"/>
      <c r="MSU7" s="254"/>
      <c r="MSV7" s="254"/>
      <c r="MSW7" s="254"/>
      <c r="MSX7" s="254"/>
      <c r="MSY7" s="254"/>
      <c r="MSZ7" s="254"/>
      <c r="MTA7" s="254"/>
      <c r="MTB7" s="254"/>
      <c r="MTC7" s="254"/>
      <c r="MTD7" s="254"/>
      <c r="MTE7" s="254"/>
      <c r="MTF7" s="254"/>
      <c r="MTG7" s="254"/>
      <c r="MTH7" s="254"/>
      <c r="MTI7" s="254"/>
      <c r="MTJ7" s="254"/>
      <c r="MTK7" s="254"/>
      <c r="MTL7" s="254"/>
      <c r="MTM7" s="254"/>
      <c r="MTN7" s="254"/>
      <c r="MTO7" s="254"/>
      <c r="MTP7" s="254"/>
      <c r="MTQ7" s="254"/>
      <c r="MTR7" s="254"/>
      <c r="MTS7" s="254"/>
      <c r="MTT7" s="254"/>
      <c r="MTU7" s="254"/>
      <c r="MTV7" s="254"/>
      <c r="MTW7" s="254"/>
      <c r="MTX7" s="254"/>
      <c r="MTY7" s="254"/>
      <c r="MTZ7" s="254"/>
      <c r="MUA7" s="254"/>
      <c r="MUB7" s="254"/>
      <c r="MUC7" s="254"/>
      <c r="MUD7" s="254"/>
      <c r="MUE7" s="254"/>
      <c r="MUF7" s="254"/>
      <c r="MUG7" s="254"/>
      <c r="MUH7" s="254"/>
      <c r="MUI7" s="254"/>
      <c r="MUJ7" s="254"/>
      <c r="MUK7" s="254"/>
      <c r="MUL7" s="254"/>
      <c r="MUM7" s="254"/>
      <c r="MUN7" s="254"/>
      <c r="MUO7" s="254"/>
      <c r="MUP7" s="254"/>
      <c r="MUQ7" s="254"/>
      <c r="MUR7" s="254"/>
      <c r="MUS7" s="254"/>
      <c r="MUT7" s="254"/>
      <c r="MUU7" s="254"/>
      <c r="MUV7" s="254"/>
      <c r="MUW7" s="254"/>
      <c r="MUX7" s="254"/>
      <c r="MUY7" s="254"/>
      <c r="MUZ7" s="254"/>
      <c r="MVA7" s="254"/>
      <c r="MVB7" s="254"/>
      <c r="MVC7" s="254"/>
      <c r="MVD7" s="254"/>
      <c r="MVE7" s="254"/>
      <c r="MVF7" s="254"/>
      <c r="MVG7" s="254"/>
      <c r="MVH7" s="254"/>
      <c r="MVI7" s="254"/>
      <c r="MVJ7" s="254"/>
      <c r="MVK7" s="254"/>
      <c r="MVL7" s="254"/>
      <c r="MVM7" s="254"/>
      <c r="MVN7" s="254"/>
      <c r="MVO7" s="254"/>
      <c r="MVP7" s="254"/>
      <c r="MVQ7" s="254"/>
      <c r="MVR7" s="254"/>
      <c r="MVS7" s="254"/>
      <c r="MVT7" s="254"/>
      <c r="MVU7" s="254"/>
      <c r="MVV7" s="254"/>
      <c r="MVW7" s="254"/>
      <c r="MVX7" s="254"/>
      <c r="MVY7" s="254"/>
      <c r="MVZ7" s="254"/>
      <c r="MWA7" s="254"/>
      <c r="MWB7" s="254"/>
      <c r="MWC7" s="254"/>
      <c r="MWD7" s="254"/>
      <c r="MWE7" s="254"/>
      <c r="MWF7" s="254"/>
      <c r="MWG7" s="254"/>
      <c r="MWH7" s="254"/>
      <c r="MWI7" s="254"/>
      <c r="MWJ7" s="254"/>
      <c r="MWK7" s="254"/>
      <c r="MWL7" s="254"/>
      <c r="MWM7" s="254"/>
      <c r="MWN7" s="254"/>
      <c r="MWO7" s="254"/>
      <c r="MWP7" s="254"/>
      <c r="MWQ7" s="254"/>
      <c r="MWR7" s="254"/>
      <c r="MWS7" s="254"/>
      <c r="MWT7" s="254"/>
      <c r="MWU7" s="254"/>
      <c r="MWV7" s="254"/>
      <c r="MWW7" s="254"/>
      <c r="MWX7" s="254"/>
      <c r="MWY7" s="254"/>
      <c r="MWZ7" s="254"/>
      <c r="MXA7" s="254"/>
      <c r="MXB7" s="254"/>
      <c r="MXC7" s="254"/>
      <c r="MXD7" s="254"/>
      <c r="MXE7" s="254"/>
      <c r="MXF7" s="254"/>
      <c r="MXG7" s="254"/>
      <c r="MXH7" s="254"/>
      <c r="MXI7" s="254"/>
      <c r="MXJ7" s="254"/>
      <c r="MXK7" s="254"/>
      <c r="MXL7" s="254"/>
      <c r="MXM7" s="254"/>
      <c r="MXN7" s="254"/>
      <c r="MXO7" s="254"/>
      <c r="MXP7" s="254"/>
      <c r="MXQ7" s="254"/>
      <c r="MXR7" s="254"/>
      <c r="MXS7" s="254"/>
      <c r="MXT7" s="254"/>
      <c r="MXU7" s="254"/>
      <c r="MXV7" s="254"/>
      <c r="MXW7" s="254"/>
      <c r="MXX7" s="254"/>
      <c r="MXY7" s="254"/>
      <c r="MXZ7" s="254"/>
      <c r="MYA7" s="254"/>
      <c r="MYB7" s="254"/>
      <c r="MYC7" s="254"/>
      <c r="MYD7" s="254"/>
      <c r="MYE7" s="254"/>
      <c r="MYF7" s="254"/>
      <c r="MYG7" s="254"/>
      <c r="MYH7" s="254"/>
      <c r="MYI7" s="254"/>
      <c r="MYJ7" s="254"/>
      <c r="MYK7" s="254"/>
      <c r="MYL7" s="254"/>
      <c r="MYM7" s="254"/>
      <c r="MYN7" s="254"/>
      <c r="MYO7" s="254"/>
      <c r="MYP7" s="254"/>
      <c r="MYQ7" s="254"/>
      <c r="MYR7" s="254"/>
      <c r="MYS7" s="254"/>
      <c r="MYT7" s="254"/>
      <c r="MYU7" s="254"/>
      <c r="MYV7" s="254"/>
      <c r="MYW7" s="254"/>
      <c r="MYX7" s="254"/>
      <c r="MYY7" s="254"/>
      <c r="MYZ7" s="254"/>
      <c r="MZA7" s="254"/>
      <c r="MZB7" s="254"/>
      <c r="MZC7" s="254"/>
      <c r="MZD7" s="254"/>
      <c r="MZE7" s="254"/>
      <c r="MZF7" s="254"/>
      <c r="MZG7" s="254"/>
      <c r="MZH7" s="254"/>
      <c r="MZI7" s="254"/>
      <c r="MZJ7" s="254"/>
      <c r="MZK7" s="254"/>
      <c r="MZL7" s="254"/>
      <c r="MZM7" s="254"/>
      <c r="MZN7" s="254"/>
      <c r="MZO7" s="254"/>
      <c r="MZP7" s="254"/>
      <c r="MZQ7" s="254"/>
      <c r="MZR7" s="254"/>
      <c r="MZS7" s="254"/>
      <c r="MZT7" s="254"/>
      <c r="MZU7" s="254"/>
      <c r="MZV7" s="254"/>
      <c r="MZW7" s="254"/>
      <c r="MZX7" s="254"/>
      <c r="MZY7" s="254"/>
      <c r="MZZ7" s="254"/>
      <c r="NAA7" s="254"/>
      <c r="NAB7" s="254"/>
      <c r="NAC7" s="254"/>
      <c r="NAD7" s="254"/>
      <c r="NAE7" s="254"/>
      <c r="NAF7" s="254"/>
      <c r="NAG7" s="254"/>
      <c r="NAH7" s="254"/>
      <c r="NAI7" s="254"/>
      <c r="NAJ7" s="254"/>
      <c r="NAK7" s="254"/>
      <c r="NAL7" s="254"/>
      <c r="NAM7" s="254"/>
      <c r="NAN7" s="254"/>
      <c r="NAO7" s="254"/>
      <c r="NAP7" s="254"/>
      <c r="NAQ7" s="254"/>
      <c r="NAR7" s="254"/>
      <c r="NAS7" s="254"/>
      <c r="NAT7" s="254"/>
      <c r="NAU7" s="254"/>
      <c r="NAV7" s="254"/>
      <c r="NAW7" s="254"/>
      <c r="NAX7" s="254"/>
      <c r="NAY7" s="254"/>
      <c r="NAZ7" s="254"/>
      <c r="NBA7" s="254"/>
      <c r="NBB7" s="254"/>
      <c r="NBC7" s="254"/>
      <c r="NBD7" s="254"/>
      <c r="NBE7" s="254"/>
      <c r="NBF7" s="254"/>
      <c r="NBG7" s="254"/>
      <c r="NBH7" s="254"/>
      <c r="NBI7" s="254"/>
      <c r="NBJ7" s="254"/>
      <c r="NBK7" s="254"/>
      <c r="NBL7" s="254"/>
      <c r="NBM7" s="254"/>
      <c r="NBN7" s="254"/>
      <c r="NBO7" s="254"/>
      <c r="NBP7" s="254"/>
      <c r="NBQ7" s="254"/>
      <c r="NBR7" s="254"/>
      <c r="NBS7" s="254"/>
      <c r="NBT7" s="254"/>
      <c r="NBU7" s="254"/>
      <c r="NBV7" s="254"/>
      <c r="NBW7" s="254"/>
      <c r="NBX7" s="254"/>
      <c r="NBY7" s="254"/>
      <c r="NBZ7" s="254"/>
      <c r="NCA7" s="254"/>
      <c r="NCB7" s="254"/>
      <c r="NCC7" s="254"/>
      <c r="NCD7" s="254"/>
      <c r="NCE7" s="254"/>
      <c r="NCF7" s="254"/>
      <c r="NCG7" s="254"/>
      <c r="NCH7" s="254"/>
      <c r="NCI7" s="254"/>
      <c r="NCJ7" s="254"/>
      <c r="NCK7" s="254"/>
      <c r="NCL7" s="254"/>
      <c r="NCM7" s="254"/>
      <c r="NCN7" s="254"/>
      <c r="NCO7" s="254"/>
      <c r="NCP7" s="254"/>
      <c r="NCQ7" s="254"/>
      <c r="NCR7" s="254"/>
      <c r="NCS7" s="254"/>
      <c r="NCT7" s="254"/>
      <c r="NCU7" s="254"/>
      <c r="NCV7" s="254"/>
      <c r="NCW7" s="254"/>
      <c r="NCX7" s="254"/>
      <c r="NCY7" s="254"/>
      <c r="NCZ7" s="254"/>
      <c r="NDA7" s="254"/>
      <c r="NDB7" s="254"/>
      <c r="NDC7" s="254"/>
      <c r="NDD7" s="254"/>
      <c r="NDE7" s="254"/>
      <c r="NDF7" s="254"/>
      <c r="NDG7" s="254"/>
      <c r="NDH7" s="254"/>
      <c r="NDI7" s="254"/>
      <c r="NDJ7" s="254"/>
      <c r="NDK7" s="254"/>
      <c r="NDL7" s="254"/>
      <c r="NDM7" s="254"/>
      <c r="NDN7" s="254"/>
      <c r="NDO7" s="254"/>
      <c r="NDP7" s="254"/>
      <c r="NDQ7" s="254"/>
      <c r="NDR7" s="254"/>
      <c r="NDS7" s="254"/>
      <c r="NDT7" s="254"/>
      <c r="NDU7" s="254"/>
      <c r="NDV7" s="254"/>
      <c r="NDW7" s="254"/>
      <c r="NDX7" s="254"/>
      <c r="NDY7" s="254"/>
      <c r="NDZ7" s="254"/>
      <c r="NEA7" s="254"/>
      <c r="NEB7" s="254"/>
      <c r="NEC7" s="254"/>
      <c r="NED7" s="254"/>
      <c r="NEE7" s="254"/>
      <c r="NEF7" s="254"/>
      <c r="NEG7" s="254"/>
      <c r="NEH7" s="254"/>
      <c r="NEI7" s="254"/>
      <c r="NEJ7" s="254"/>
      <c r="NEK7" s="254"/>
      <c r="NEL7" s="254"/>
      <c r="NEM7" s="254"/>
      <c r="NEN7" s="254"/>
      <c r="NEO7" s="254"/>
      <c r="NEP7" s="254"/>
      <c r="NEQ7" s="254"/>
      <c r="NER7" s="254"/>
      <c r="NES7" s="254"/>
      <c r="NET7" s="254"/>
      <c r="NEU7" s="254"/>
      <c r="NEV7" s="254"/>
      <c r="NEW7" s="254"/>
      <c r="NEX7" s="254"/>
      <c r="NEY7" s="254"/>
      <c r="NEZ7" s="254"/>
      <c r="NFA7" s="254"/>
      <c r="NFB7" s="254"/>
      <c r="NFC7" s="254"/>
      <c r="NFD7" s="254"/>
      <c r="NFE7" s="254"/>
      <c r="NFF7" s="254"/>
      <c r="NFG7" s="254"/>
      <c r="NFH7" s="254"/>
      <c r="NFI7" s="254"/>
      <c r="NFJ7" s="254"/>
      <c r="NFK7" s="254"/>
      <c r="NFL7" s="254"/>
      <c r="NFM7" s="254"/>
      <c r="NFN7" s="254"/>
      <c r="NFO7" s="254"/>
      <c r="NFP7" s="254"/>
      <c r="NFQ7" s="254"/>
      <c r="NFR7" s="254"/>
      <c r="NFS7" s="254"/>
      <c r="NFT7" s="254"/>
      <c r="NFU7" s="254"/>
      <c r="NFV7" s="254"/>
      <c r="NFW7" s="254"/>
      <c r="NFX7" s="254"/>
      <c r="NFY7" s="254"/>
      <c r="NFZ7" s="254"/>
      <c r="NGA7" s="254"/>
      <c r="NGB7" s="254"/>
      <c r="NGC7" s="254"/>
      <c r="NGD7" s="254"/>
      <c r="NGE7" s="254"/>
      <c r="NGF7" s="254"/>
      <c r="NGG7" s="254"/>
      <c r="NGH7" s="254"/>
      <c r="NGI7" s="254"/>
      <c r="NGJ7" s="254"/>
      <c r="NGK7" s="254"/>
      <c r="NGL7" s="254"/>
      <c r="NGM7" s="254"/>
      <c r="NGN7" s="254"/>
      <c r="NGO7" s="254"/>
      <c r="NGP7" s="254"/>
      <c r="NGQ7" s="254"/>
      <c r="NGR7" s="254"/>
      <c r="NGS7" s="254"/>
      <c r="NGT7" s="254"/>
      <c r="NGU7" s="254"/>
      <c r="NGV7" s="254"/>
      <c r="NGW7" s="254"/>
      <c r="NGX7" s="254"/>
      <c r="NGY7" s="254"/>
      <c r="NGZ7" s="254"/>
      <c r="NHA7" s="254"/>
      <c r="NHB7" s="254"/>
      <c r="NHC7" s="254"/>
      <c r="NHD7" s="254"/>
      <c r="NHE7" s="254"/>
      <c r="NHF7" s="254"/>
      <c r="NHG7" s="254"/>
      <c r="NHH7" s="254"/>
      <c r="NHI7" s="254"/>
      <c r="NHJ7" s="254"/>
      <c r="NHK7" s="254"/>
      <c r="NHL7" s="254"/>
      <c r="NHM7" s="254"/>
      <c r="NHN7" s="254"/>
      <c r="NHO7" s="254"/>
      <c r="NHP7" s="254"/>
      <c r="NHQ7" s="254"/>
      <c r="NHR7" s="254"/>
      <c r="NHS7" s="254"/>
      <c r="NHT7" s="254"/>
      <c r="NHU7" s="254"/>
      <c r="NHV7" s="254"/>
      <c r="NHW7" s="254"/>
      <c r="NHX7" s="254"/>
      <c r="NHY7" s="254"/>
      <c r="NHZ7" s="254"/>
      <c r="NIA7" s="254"/>
      <c r="NIB7" s="254"/>
      <c r="NIC7" s="254"/>
      <c r="NID7" s="254"/>
      <c r="NIE7" s="254"/>
      <c r="NIF7" s="254"/>
      <c r="NIG7" s="254"/>
      <c r="NIH7" s="254"/>
      <c r="NII7" s="254"/>
      <c r="NIJ7" s="254"/>
      <c r="NIK7" s="254"/>
      <c r="NIL7" s="254"/>
      <c r="NIM7" s="254"/>
      <c r="NIN7" s="254"/>
      <c r="NIO7" s="254"/>
      <c r="NIP7" s="254"/>
      <c r="NIQ7" s="254"/>
      <c r="NIR7" s="254"/>
      <c r="NIS7" s="254"/>
      <c r="NIT7" s="254"/>
      <c r="NIU7" s="254"/>
      <c r="NIV7" s="254"/>
      <c r="NIW7" s="254"/>
      <c r="NIX7" s="254"/>
      <c r="NIY7" s="254"/>
      <c r="NIZ7" s="254"/>
      <c r="NJA7" s="254"/>
      <c r="NJB7" s="254"/>
      <c r="NJC7" s="254"/>
      <c r="NJD7" s="254"/>
      <c r="NJE7" s="254"/>
      <c r="NJF7" s="254"/>
      <c r="NJG7" s="254"/>
      <c r="NJH7" s="254"/>
      <c r="NJI7" s="254"/>
      <c r="NJJ7" s="254"/>
      <c r="NJK7" s="254"/>
      <c r="NJL7" s="254"/>
      <c r="NJM7" s="254"/>
      <c r="NJN7" s="254"/>
      <c r="NJO7" s="254"/>
      <c r="NJP7" s="254"/>
      <c r="NJQ7" s="254"/>
      <c r="NJR7" s="254"/>
      <c r="NJS7" s="254"/>
      <c r="NJT7" s="254"/>
      <c r="NJU7" s="254"/>
      <c r="NJV7" s="254"/>
      <c r="NJW7" s="254"/>
      <c r="NJX7" s="254"/>
      <c r="NJY7" s="254"/>
      <c r="NJZ7" s="254"/>
      <c r="NKA7" s="254"/>
      <c r="NKB7" s="254"/>
      <c r="NKC7" s="254"/>
      <c r="NKD7" s="254"/>
      <c r="NKE7" s="254"/>
      <c r="NKF7" s="254"/>
      <c r="NKG7" s="254"/>
      <c r="NKH7" s="254"/>
      <c r="NKI7" s="254"/>
      <c r="NKJ7" s="254"/>
      <c r="NKK7" s="254"/>
      <c r="NKL7" s="254"/>
      <c r="NKM7" s="254"/>
      <c r="NKN7" s="254"/>
      <c r="NKO7" s="254"/>
      <c r="NKP7" s="254"/>
      <c r="NKQ7" s="254"/>
      <c r="NKR7" s="254"/>
      <c r="NKS7" s="254"/>
      <c r="NKT7" s="254"/>
      <c r="NKU7" s="254"/>
      <c r="NKV7" s="254"/>
      <c r="NKW7" s="254"/>
      <c r="NKX7" s="254"/>
      <c r="NKY7" s="254"/>
      <c r="NKZ7" s="254"/>
      <c r="NLA7" s="254"/>
      <c r="NLB7" s="254"/>
      <c r="NLC7" s="254"/>
      <c r="NLD7" s="254"/>
      <c r="NLE7" s="254"/>
      <c r="NLF7" s="254"/>
      <c r="NLG7" s="254"/>
      <c r="NLH7" s="254"/>
      <c r="NLI7" s="254"/>
      <c r="NLJ7" s="254"/>
      <c r="NLK7" s="254"/>
      <c r="NLL7" s="254"/>
      <c r="NLM7" s="254"/>
      <c r="NLN7" s="254"/>
      <c r="NLO7" s="254"/>
      <c r="NLP7" s="254"/>
      <c r="NLQ7" s="254"/>
      <c r="NLR7" s="254"/>
      <c r="NLS7" s="254"/>
      <c r="NLT7" s="254"/>
      <c r="NLU7" s="254"/>
      <c r="NLV7" s="254"/>
      <c r="NLW7" s="254"/>
      <c r="NLX7" s="254"/>
      <c r="NLY7" s="254"/>
      <c r="NLZ7" s="254"/>
      <c r="NMA7" s="254"/>
      <c r="NMB7" s="254"/>
      <c r="NMC7" s="254"/>
      <c r="NMD7" s="254"/>
      <c r="NME7" s="254"/>
      <c r="NMF7" s="254"/>
      <c r="NMG7" s="254"/>
      <c r="NMH7" s="254"/>
      <c r="NMI7" s="254"/>
      <c r="NMJ7" s="254"/>
      <c r="NMK7" s="254"/>
      <c r="NML7" s="254"/>
      <c r="NMM7" s="254"/>
      <c r="NMN7" s="254"/>
      <c r="NMO7" s="254"/>
      <c r="NMP7" s="254"/>
      <c r="NMQ7" s="254"/>
      <c r="NMR7" s="254"/>
      <c r="NMS7" s="254"/>
      <c r="NMT7" s="254"/>
      <c r="NMU7" s="254"/>
      <c r="NMV7" s="254"/>
      <c r="NMW7" s="254"/>
      <c r="NMX7" s="254"/>
      <c r="NMY7" s="254"/>
      <c r="NMZ7" s="254"/>
      <c r="NNA7" s="254"/>
      <c r="NNB7" s="254"/>
      <c r="NNC7" s="254"/>
      <c r="NND7" s="254"/>
      <c r="NNE7" s="254"/>
      <c r="NNF7" s="254"/>
      <c r="NNG7" s="254"/>
      <c r="NNH7" s="254"/>
      <c r="NNI7" s="254"/>
      <c r="NNJ7" s="254"/>
      <c r="NNK7" s="254"/>
      <c r="NNL7" s="254"/>
      <c r="NNM7" s="254"/>
      <c r="NNN7" s="254"/>
      <c r="NNO7" s="254"/>
      <c r="NNP7" s="254"/>
      <c r="NNQ7" s="254"/>
      <c r="NNR7" s="254"/>
      <c r="NNS7" s="254"/>
      <c r="NNT7" s="254"/>
      <c r="NNU7" s="254"/>
      <c r="NNV7" s="254"/>
      <c r="NNW7" s="254"/>
      <c r="NNX7" s="254"/>
      <c r="NNY7" s="254"/>
      <c r="NNZ7" s="254"/>
      <c r="NOA7" s="254"/>
      <c r="NOB7" s="254"/>
      <c r="NOC7" s="254"/>
      <c r="NOD7" s="254"/>
      <c r="NOE7" s="254"/>
      <c r="NOF7" s="254"/>
      <c r="NOG7" s="254"/>
      <c r="NOH7" s="254"/>
      <c r="NOI7" s="254"/>
      <c r="NOJ7" s="254"/>
      <c r="NOK7" s="254"/>
      <c r="NOL7" s="254"/>
      <c r="NOM7" s="254"/>
      <c r="NON7" s="254"/>
      <c r="NOO7" s="254"/>
      <c r="NOP7" s="254"/>
      <c r="NOQ7" s="254"/>
      <c r="NOR7" s="254"/>
      <c r="NOS7" s="254"/>
      <c r="NOT7" s="254"/>
      <c r="NOU7" s="254"/>
      <c r="NOV7" s="254"/>
      <c r="NOW7" s="254"/>
      <c r="NOX7" s="254"/>
      <c r="NOY7" s="254"/>
      <c r="NOZ7" s="254"/>
      <c r="NPA7" s="254"/>
      <c r="NPB7" s="254"/>
      <c r="NPC7" s="254"/>
      <c r="NPD7" s="254"/>
      <c r="NPE7" s="254"/>
      <c r="NPF7" s="254"/>
      <c r="NPG7" s="254"/>
      <c r="NPH7" s="254"/>
      <c r="NPI7" s="254"/>
      <c r="NPJ7" s="254"/>
      <c r="NPK7" s="254"/>
      <c r="NPL7" s="254"/>
      <c r="NPM7" s="254"/>
      <c r="NPN7" s="254"/>
      <c r="NPO7" s="254"/>
      <c r="NPP7" s="254"/>
      <c r="NPQ7" s="254"/>
      <c r="NPR7" s="254"/>
      <c r="NPS7" s="254"/>
      <c r="NPT7" s="254"/>
      <c r="NPU7" s="254"/>
      <c r="NPV7" s="254"/>
      <c r="NPW7" s="254"/>
      <c r="NPX7" s="254"/>
      <c r="NPY7" s="254"/>
      <c r="NPZ7" s="254"/>
      <c r="NQA7" s="254"/>
      <c r="NQB7" s="254"/>
      <c r="NQC7" s="254"/>
      <c r="NQD7" s="254"/>
      <c r="NQE7" s="254"/>
      <c r="NQF7" s="254"/>
      <c r="NQG7" s="254"/>
      <c r="NQH7" s="254"/>
      <c r="NQI7" s="254"/>
      <c r="NQJ7" s="254"/>
      <c r="NQK7" s="254"/>
      <c r="NQL7" s="254"/>
      <c r="NQM7" s="254"/>
      <c r="NQN7" s="254"/>
      <c r="NQO7" s="254"/>
      <c r="NQP7" s="254"/>
      <c r="NQQ7" s="254"/>
      <c r="NQR7" s="254"/>
      <c r="NQS7" s="254"/>
      <c r="NQT7" s="254"/>
      <c r="NQU7" s="254"/>
      <c r="NQV7" s="254"/>
      <c r="NQW7" s="254"/>
      <c r="NQX7" s="254"/>
      <c r="NQY7" s="254"/>
      <c r="NQZ7" s="254"/>
      <c r="NRA7" s="254"/>
      <c r="NRB7" s="254"/>
      <c r="NRC7" s="254"/>
      <c r="NRD7" s="254"/>
      <c r="NRE7" s="254"/>
      <c r="NRF7" s="254"/>
      <c r="NRG7" s="254"/>
      <c r="NRH7" s="254"/>
      <c r="NRI7" s="254"/>
      <c r="NRJ7" s="254"/>
      <c r="NRK7" s="254"/>
      <c r="NRL7" s="254"/>
      <c r="NRM7" s="254"/>
      <c r="NRN7" s="254"/>
      <c r="NRO7" s="254"/>
      <c r="NRP7" s="254"/>
      <c r="NRQ7" s="254"/>
      <c r="NRR7" s="254"/>
      <c r="NRS7" s="254"/>
      <c r="NRT7" s="254"/>
      <c r="NRU7" s="254"/>
      <c r="NRV7" s="254"/>
      <c r="NRW7" s="254"/>
      <c r="NRX7" s="254"/>
      <c r="NRY7" s="254"/>
      <c r="NRZ7" s="254"/>
      <c r="NSA7" s="254"/>
      <c r="NSB7" s="254"/>
      <c r="NSC7" s="254"/>
      <c r="NSD7" s="254"/>
      <c r="NSE7" s="254"/>
      <c r="NSF7" s="254"/>
      <c r="NSG7" s="254"/>
      <c r="NSH7" s="254"/>
      <c r="NSI7" s="254"/>
      <c r="NSJ7" s="254"/>
      <c r="NSK7" s="254"/>
      <c r="NSL7" s="254"/>
      <c r="NSM7" s="254"/>
      <c r="NSN7" s="254"/>
      <c r="NSO7" s="254"/>
      <c r="NSP7" s="254"/>
      <c r="NSQ7" s="254"/>
      <c r="NSR7" s="254"/>
      <c r="NSS7" s="254"/>
      <c r="NST7" s="254"/>
      <c r="NSU7" s="254"/>
      <c r="NSV7" s="254"/>
      <c r="NSW7" s="254"/>
      <c r="NSX7" s="254"/>
      <c r="NSY7" s="254"/>
      <c r="NSZ7" s="254"/>
      <c r="NTA7" s="254"/>
      <c r="NTB7" s="254"/>
      <c r="NTC7" s="254"/>
      <c r="NTD7" s="254"/>
      <c r="NTE7" s="254"/>
      <c r="NTF7" s="254"/>
      <c r="NTG7" s="254"/>
      <c r="NTH7" s="254"/>
      <c r="NTI7" s="254"/>
      <c r="NTJ7" s="254"/>
      <c r="NTK7" s="254"/>
      <c r="NTL7" s="254"/>
      <c r="NTM7" s="254"/>
      <c r="NTN7" s="254"/>
      <c r="NTO7" s="254"/>
      <c r="NTP7" s="254"/>
      <c r="NTQ7" s="254"/>
      <c r="NTR7" s="254"/>
      <c r="NTS7" s="254"/>
      <c r="NTT7" s="254"/>
      <c r="NTU7" s="254"/>
      <c r="NTV7" s="254"/>
      <c r="NTW7" s="254"/>
      <c r="NTX7" s="254"/>
      <c r="NTY7" s="254"/>
      <c r="NTZ7" s="254"/>
      <c r="NUA7" s="254"/>
      <c r="NUB7" s="254"/>
      <c r="NUC7" s="254"/>
      <c r="NUD7" s="254"/>
      <c r="NUE7" s="254"/>
      <c r="NUF7" s="254"/>
      <c r="NUG7" s="254"/>
      <c r="NUH7" s="254"/>
      <c r="NUI7" s="254"/>
      <c r="NUJ7" s="254"/>
      <c r="NUK7" s="254"/>
      <c r="NUL7" s="254"/>
      <c r="NUM7" s="254"/>
      <c r="NUN7" s="254"/>
      <c r="NUO7" s="254"/>
      <c r="NUP7" s="254"/>
      <c r="NUQ7" s="254"/>
      <c r="NUR7" s="254"/>
      <c r="NUS7" s="254"/>
      <c r="NUT7" s="254"/>
      <c r="NUU7" s="254"/>
      <c r="NUV7" s="254"/>
      <c r="NUW7" s="254"/>
      <c r="NUX7" s="254"/>
      <c r="NUY7" s="254"/>
      <c r="NUZ7" s="254"/>
      <c r="NVA7" s="254"/>
      <c r="NVB7" s="254"/>
      <c r="NVC7" s="254"/>
      <c r="NVD7" s="254"/>
      <c r="NVE7" s="254"/>
      <c r="NVF7" s="254"/>
      <c r="NVG7" s="254"/>
      <c r="NVH7" s="254"/>
      <c r="NVI7" s="254"/>
      <c r="NVJ7" s="254"/>
      <c r="NVK7" s="254"/>
      <c r="NVL7" s="254"/>
      <c r="NVM7" s="254"/>
      <c r="NVN7" s="254"/>
      <c r="NVO7" s="254"/>
      <c r="NVP7" s="254"/>
      <c r="NVQ7" s="254"/>
      <c r="NVR7" s="254"/>
      <c r="NVS7" s="254"/>
      <c r="NVT7" s="254"/>
      <c r="NVU7" s="254"/>
      <c r="NVV7" s="254"/>
      <c r="NVW7" s="254"/>
      <c r="NVX7" s="254"/>
      <c r="NVY7" s="254"/>
      <c r="NVZ7" s="254"/>
      <c r="NWA7" s="254"/>
      <c r="NWB7" s="254"/>
      <c r="NWC7" s="254"/>
      <c r="NWD7" s="254"/>
      <c r="NWE7" s="254"/>
      <c r="NWF7" s="254"/>
      <c r="NWG7" s="254"/>
      <c r="NWH7" s="254"/>
      <c r="NWI7" s="254"/>
      <c r="NWJ7" s="254"/>
      <c r="NWK7" s="254"/>
      <c r="NWL7" s="254"/>
      <c r="NWM7" s="254"/>
      <c r="NWN7" s="254"/>
      <c r="NWO7" s="254"/>
      <c r="NWP7" s="254"/>
      <c r="NWQ7" s="254"/>
      <c r="NWR7" s="254"/>
      <c r="NWS7" s="254"/>
      <c r="NWT7" s="254"/>
      <c r="NWU7" s="254"/>
      <c r="NWV7" s="254"/>
      <c r="NWW7" s="254"/>
      <c r="NWX7" s="254"/>
      <c r="NWY7" s="254"/>
      <c r="NWZ7" s="254"/>
      <c r="NXA7" s="254"/>
      <c r="NXB7" s="254"/>
      <c r="NXC7" s="254"/>
      <c r="NXD7" s="254"/>
      <c r="NXE7" s="254"/>
      <c r="NXF7" s="254"/>
      <c r="NXG7" s="254"/>
      <c r="NXH7" s="254"/>
      <c r="NXI7" s="254"/>
      <c r="NXJ7" s="254"/>
      <c r="NXK7" s="254"/>
      <c r="NXL7" s="254"/>
      <c r="NXM7" s="254"/>
      <c r="NXN7" s="254"/>
      <c r="NXO7" s="254"/>
      <c r="NXP7" s="254"/>
      <c r="NXQ7" s="254"/>
      <c r="NXR7" s="254"/>
      <c r="NXS7" s="254"/>
      <c r="NXT7" s="254"/>
      <c r="NXU7" s="254"/>
      <c r="NXV7" s="254"/>
      <c r="NXW7" s="254"/>
      <c r="NXX7" s="254"/>
      <c r="NXY7" s="254"/>
      <c r="NXZ7" s="254"/>
      <c r="NYA7" s="254"/>
      <c r="NYB7" s="254"/>
      <c r="NYC7" s="254"/>
      <c r="NYD7" s="254"/>
      <c r="NYE7" s="254"/>
      <c r="NYF7" s="254"/>
      <c r="NYG7" s="254"/>
      <c r="NYH7" s="254"/>
      <c r="NYI7" s="254"/>
      <c r="NYJ7" s="254"/>
      <c r="NYK7" s="254"/>
      <c r="NYL7" s="254"/>
      <c r="NYM7" s="254"/>
      <c r="NYN7" s="254"/>
      <c r="NYO7" s="254"/>
      <c r="NYP7" s="254"/>
      <c r="NYQ7" s="254"/>
      <c r="NYR7" s="254"/>
      <c r="NYS7" s="254"/>
      <c r="NYT7" s="254"/>
      <c r="NYU7" s="254"/>
      <c r="NYV7" s="254"/>
      <c r="NYW7" s="254"/>
      <c r="NYX7" s="254"/>
      <c r="NYY7" s="254"/>
      <c r="NYZ7" s="254"/>
      <c r="NZA7" s="254"/>
      <c r="NZB7" s="254"/>
      <c r="NZC7" s="254"/>
      <c r="NZD7" s="254"/>
      <c r="NZE7" s="254"/>
      <c r="NZF7" s="254"/>
      <c r="NZG7" s="254"/>
      <c r="NZH7" s="254"/>
      <c r="NZI7" s="254"/>
      <c r="NZJ7" s="254"/>
      <c r="NZK7" s="254"/>
      <c r="NZL7" s="254"/>
      <c r="NZM7" s="254"/>
      <c r="NZN7" s="254"/>
      <c r="NZO7" s="254"/>
      <c r="NZP7" s="254"/>
      <c r="NZQ7" s="254"/>
      <c r="NZR7" s="254"/>
      <c r="NZS7" s="254"/>
      <c r="NZT7" s="254"/>
      <c r="NZU7" s="254"/>
      <c r="NZV7" s="254"/>
      <c r="NZW7" s="254"/>
      <c r="NZX7" s="254"/>
      <c r="NZY7" s="254"/>
      <c r="NZZ7" s="254"/>
      <c r="OAA7" s="254"/>
      <c r="OAB7" s="254"/>
      <c r="OAC7" s="254"/>
      <c r="OAD7" s="254"/>
      <c r="OAE7" s="254"/>
      <c r="OAF7" s="254"/>
      <c r="OAG7" s="254"/>
      <c r="OAH7" s="254"/>
      <c r="OAI7" s="254"/>
      <c r="OAJ7" s="254"/>
      <c r="OAK7" s="254"/>
      <c r="OAL7" s="254"/>
      <c r="OAM7" s="254"/>
      <c r="OAN7" s="254"/>
      <c r="OAO7" s="254"/>
      <c r="OAP7" s="254"/>
      <c r="OAQ7" s="254"/>
      <c r="OAR7" s="254"/>
      <c r="OAS7" s="254"/>
      <c r="OAT7" s="254"/>
      <c r="OAU7" s="254"/>
      <c r="OAV7" s="254"/>
      <c r="OAW7" s="254"/>
      <c r="OAX7" s="254"/>
      <c r="OAY7" s="254"/>
      <c r="OAZ7" s="254"/>
      <c r="OBA7" s="254"/>
      <c r="OBB7" s="254"/>
      <c r="OBC7" s="254"/>
      <c r="OBD7" s="254"/>
      <c r="OBE7" s="254"/>
      <c r="OBF7" s="254"/>
      <c r="OBG7" s="254"/>
      <c r="OBH7" s="254"/>
      <c r="OBI7" s="254"/>
      <c r="OBJ7" s="254"/>
      <c r="OBK7" s="254"/>
      <c r="OBL7" s="254"/>
      <c r="OBM7" s="254"/>
      <c r="OBN7" s="254"/>
      <c r="OBO7" s="254"/>
      <c r="OBP7" s="254"/>
      <c r="OBQ7" s="254"/>
      <c r="OBR7" s="254"/>
      <c r="OBS7" s="254"/>
      <c r="OBT7" s="254"/>
      <c r="OBU7" s="254"/>
      <c r="OBV7" s="254"/>
      <c r="OBW7" s="254"/>
      <c r="OBX7" s="254"/>
      <c r="OBY7" s="254"/>
      <c r="OBZ7" s="254"/>
      <c r="OCA7" s="254"/>
      <c r="OCB7" s="254"/>
      <c r="OCC7" s="254"/>
      <c r="OCD7" s="254"/>
      <c r="OCE7" s="254"/>
      <c r="OCF7" s="254"/>
      <c r="OCG7" s="254"/>
      <c r="OCH7" s="254"/>
      <c r="OCI7" s="254"/>
      <c r="OCJ7" s="254"/>
      <c r="OCK7" s="254"/>
      <c r="OCL7" s="254"/>
      <c r="OCM7" s="254"/>
      <c r="OCN7" s="254"/>
      <c r="OCO7" s="254"/>
      <c r="OCP7" s="254"/>
      <c r="OCQ7" s="254"/>
      <c r="OCR7" s="254"/>
      <c r="OCS7" s="254"/>
      <c r="OCT7" s="254"/>
      <c r="OCU7" s="254"/>
      <c r="OCV7" s="254"/>
      <c r="OCW7" s="254"/>
      <c r="OCX7" s="254"/>
      <c r="OCY7" s="254"/>
      <c r="OCZ7" s="254"/>
      <c r="ODA7" s="254"/>
      <c r="ODB7" s="254"/>
      <c r="ODC7" s="254"/>
      <c r="ODD7" s="254"/>
      <c r="ODE7" s="254"/>
      <c r="ODF7" s="254"/>
      <c r="ODG7" s="254"/>
      <c r="ODH7" s="254"/>
      <c r="ODI7" s="254"/>
      <c r="ODJ7" s="254"/>
      <c r="ODK7" s="254"/>
      <c r="ODL7" s="254"/>
      <c r="ODM7" s="254"/>
      <c r="ODN7" s="254"/>
      <c r="ODO7" s="254"/>
      <c r="ODP7" s="254"/>
      <c r="ODQ7" s="254"/>
      <c r="ODR7" s="254"/>
      <c r="ODS7" s="254"/>
      <c r="ODT7" s="254"/>
      <c r="ODU7" s="254"/>
      <c r="ODV7" s="254"/>
      <c r="ODW7" s="254"/>
      <c r="ODX7" s="254"/>
      <c r="ODY7" s="254"/>
      <c r="ODZ7" s="254"/>
      <c r="OEA7" s="254"/>
      <c r="OEB7" s="254"/>
      <c r="OEC7" s="254"/>
      <c r="OED7" s="254"/>
      <c r="OEE7" s="254"/>
      <c r="OEF7" s="254"/>
      <c r="OEG7" s="254"/>
      <c r="OEH7" s="254"/>
      <c r="OEI7" s="254"/>
      <c r="OEJ7" s="254"/>
      <c r="OEK7" s="254"/>
      <c r="OEL7" s="254"/>
      <c r="OEM7" s="254"/>
      <c r="OEN7" s="254"/>
      <c r="OEO7" s="254"/>
      <c r="OEP7" s="254"/>
      <c r="OEQ7" s="254"/>
      <c r="OER7" s="254"/>
      <c r="OES7" s="254"/>
      <c r="OET7" s="254"/>
      <c r="OEU7" s="254"/>
      <c r="OEV7" s="254"/>
      <c r="OEW7" s="254"/>
      <c r="OEX7" s="254"/>
      <c r="OEY7" s="254"/>
      <c r="OEZ7" s="254"/>
      <c r="OFA7" s="254"/>
      <c r="OFB7" s="254"/>
      <c r="OFC7" s="254"/>
      <c r="OFD7" s="254"/>
      <c r="OFE7" s="254"/>
      <c r="OFF7" s="254"/>
      <c r="OFG7" s="254"/>
      <c r="OFH7" s="254"/>
      <c r="OFI7" s="254"/>
      <c r="OFJ7" s="254"/>
      <c r="OFK7" s="254"/>
      <c r="OFL7" s="254"/>
      <c r="OFM7" s="254"/>
      <c r="OFN7" s="254"/>
      <c r="OFO7" s="254"/>
      <c r="OFP7" s="254"/>
      <c r="OFQ7" s="254"/>
      <c r="OFR7" s="254"/>
      <c r="OFS7" s="254"/>
      <c r="OFT7" s="254"/>
      <c r="OFU7" s="254"/>
      <c r="OFV7" s="254"/>
      <c r="OFW7" s="254"/>
      <c r="OFX7" s="254"/>
      <c r="OFY7" s="254"/>
      <c r="OFZ7" s="254"/>
      <c r="OGA7" s="254"/>
      <c r="OGB7" s="254"/>
      <c r="OGC7" s="254"/>
      <c r="OGD7" s="254"/>
      <c r="OGE7" s="254"/>
      <c r="OGF7" s="254"/>
      <c r="OGG7" s="254"/>
      <c r="OGH7" s="254"/>
      <c r="OGI7" s="254"/>
      <c r="OGJ7" s="254"/>
      <c r="OGK7" s="254"/>
      <c r="OGL7" s="254"/>
      <c r="OGM7" s="254"/>
      <c r="OGN7" s="254"/>
      <c r="OGO7" s="254"/>
      <c r="OGP7" s="254"/>
      <c r="OGQ7" s="254"/>
      <c r="OGR7" s="254"/>
      <c r="OGS7" s="254"/>
      <c r="OGT7" s="254"/>
      <c r="OGU7" s="254"/>
      <c r="OGV7" s="254"/>
      <c r="OGW7" s="254"/>
      <c r="OGX7" s="254"/>
      <c r="OGY7" s="254"/>
      <c r="OGZ7" s="254"/>
      <c r="OHA7" s="254"/>
      <c r="OHB7" s="254"/>
      <c r="OHC7" s="254"/>
      <c r="OHD7" s="254"/>
      <c r="OHE7" s="254"/>
      <c r="OHF7" s="254"/>
      <c r="OHG7" s="254"/>
      <c r="OHH7" s="254"/>
      <c r="OHI7" s="254"/>
      <c r="OHJ7" s="254"/>
      <c r="OHK7" s="254"/>
      <c r="OHL7" s="254"/>
      <c r="OHM7" s="254"/>
      <c r="OHN7" s="254"/>
      <c r="OHO7" s="254"/>
      <c r="OHP7" s="254"/>
      <c r="OHQ7" s="254"/>
      <c r="OHR7" s="254"/>
      <c r="OHS7" s="254"/>
      <c r="OHT7" s="254"/>
      <c r="OHU7" s="254"/>
      <c r="OHV7" s="254"/>
      <c r="OHW7" s="254"/>
      <c r="OHX7" s="254"/>
      <c r="OHY7" s="254"/>
      <c r="OHZ7" s="254"/>
      <c r="OIA7" s="254"/>
      <c r="OIB7" s="254"/>
      <c r="OIC7" s="254"/>
      <c r="OID7" s="254"/>
      <c r="OIE7" s="254"/>
      <c r="OIF7" s="254"/>
      <c r="OIG7" s="254"/>
      <c r="OIH7" s="254"/>
      <c r="OII7" s="254"/>
      <c r="OIJ7" s="254"/>
      <c r="OIK7" s="254"/>
      <c r="OIL7" s="254"/>
      <c r="OIM7" s="254"/>
      <c r="OIN7" s="254"/>
      <c r="OIO7" s="254"/>
      <c r="OIP7" s="254"/>
      <c r="OIQ7" s="254"/>
      <c r="OIR7" s="254"/>
      <c r="OIS7" s="254"/>
      <c r="OIT7" s="254"/>
      <c r="OIU7" s="254"/>
      <c r="OIV7" s="254"/>
      <c r="OIW7" s="254"/>
      <c r="OIX7" s="254"/>
      <c r="OIY7" s="254"/>
      <c r="OIZ7" s="254"/>
      <c r="OJA7" s="254"/>
      <c r="OJB7" s="254"/>
      <c r="OJC7" s="254"/>
      <c r="OJD7" s="254"/>
      <c r="OJE7" s="254"/>
      <c r="OJF7" s="254"/>
      <c r="OJG7" s="254"/>
      <c r="OJH7" s="254"/>
      <c r="OJI7" s="254"/>
      <c r="OJJ7" s="254"/>
      <c r="OJK7" s="254"/>
      <c r="OJL7" s="254"/>
      <c r="OJM7" s="254"/>
      <c r="OJN7" s="254"/>
      <c r="OJO7" s="254"/>
      <c r="OJP7" s="254"/>
      <c r="OJQ7" s="254"/>
      <c r="OJR7" s="254"/>
      <c r="OJS7" s="254"/>
      <c r="OJT7" s="254"/>
      <c r="OJU7" s="254"/>
      <c r="OJV7" s="254"/>
      <c r="OJW7" s="254"/>
      <c r="OJX7" s="254"/>
      <c r="OJY7" s="254"/>
      <c r="OJZ7" s="254"/>
      <c r="OKA7" s="254"/>
      <c r="OKB7" s="254"/>
      <c r="OKC7" s="254"/>
      <c r="OKD7" s="254"/>
      <c r="OKE7" s="254"/>
      <c r="OKF7" s="254"/>
      <c r="OKG7" s="254"/>
      <c r="OKH7" s="254"/>
      <c r="OKI7" s="254"/>
      <c r="OKJ7" s="254"/>
      <c r="OKK7" s="254"/>
      <c r="OKL7" s="254"/>
      <c r="OKM7" s="254"/>
      <c r="OKN7" s="254"/>
      <c r="OKO7" s="254"/>
      <c r="OKP7" s="254"/>
      <c r="OKQ7" s="254"/>
      <c r="OKR7" s="254"/>
      <c r="OKS7" s="254"/>
      <c r="OKT7" s="254"/>
      <c r="OKU7" s="254"/>
      <c r="OKV7" s="254"/>
      <c r="OKW7" s="254"/>
      <c r="OKX7" s="254"/>
      <c r="OKY7" s="254"/>
      <c r="OKZ7" s="254"/>
      <c r="OLA7" s="254"/>
      <c r="OLB7" s="254"/>
      <c r="OLC7" s="254"/>
      <c r="OLD7" s="254"/>
      <c r="OLE7" s="254"/>
      <c r="OLF7" s="254"/>
      <c r="OLG7" s="254"/>
      <c r="OLH7" s="254"/>
      <c r="OLI7" s="254"/>
      <c r="OLJ7" s="254"/>
      <c r="OLK7" s="254"/>
      <c r="OLL7" s="254"/>
      <c r="OLM7" s="254"/>
      <c r="OLN7" s="254"/>
      <c r="OLO7" s="254"/>
      <c r="OLP7" s="254"/>
      <c r="OLQ7" s="254"/>
      <c r="OLR7" s="254"/>
      <c r="OLS7" s="254"/>
      <c r="OLT7" s="254"/>
      <c r="OLU7" s="254"/>
      <c r="OLV7" s="254"/>
      <c r="OLW7" s="254"/>
      <c r="OLX7" s="254"/>
      <c r="OLY7" s="254"/>
      <c r="OLZ7" s="254"/>
      <c r="OMA7" s="254"/>
      <c r="OMB7" s="254"/>
      <c r="OMC7" s="254"/>
      <c r="OMD7" s="254"/>
      <c r="OME7" s="254"/>
      <c r="OMF7" s="254"/>
      <c r="OMG7" s="254"/>
      <c r="OMH7" s="254"/>
      <c r="OMI7" s="254"/>
      <c r="OMJ7" s="254"/>
      <c r="OMK7" s="254"/>
      <c r="OML7" s="254"/>
      <c r="OMM7" s="254"/>
      <c r="OMN7" s="254"/>
      <c r="OMO7" s="254"/>
      <c r="OMP7" s="254"/>
      <c r="OMQ7" s="254"/>
      <c r="OMR7" s="254"/>
      <c r="OMS7" s="254"/>
      <c r="OMT7" s="254"/>
      <c r="OMU7" s="254"/>
      <c r="OMV7" s="254"/>
      <c r="OMW7" s="254"/>
      <c r="OMX7" s="254"/>
      <c r="OMY7" s="254"/>
      <c r="OMZ7" s="254"/>
      <c r="ONA7" s="254"/>
      <c r="ONB7" s="254"/>
      <c r="ONC7" s="254"/>
      <c r="OND7" s="254"/>
      <c r="ONE7" s="254"/>
      <c r="ONF7" s="254"/>
      <c r="ONG7" s="254"/>
      <c r="ONH7" s="254"/>
      <c r="ONI7" s="254"/>
      <c r="ONJ7" s="254"/>
      <c r="ONK7" s="254"/>
      <c r="ONL7" s="254"/>
      <c r="ONM7" s="254"/>
      <c r="ONN7" s="254"/>
      <c r="ONO7" s="254"/>
      <c r="ONP7" s="254"/>
      <c r="ONQ7" s="254"/>
      <c r="ONR7" s="254"/>
      <c r="ONS7" s="254"/>
      <c r="ONT7" s="254"/>
      <c r="ONU7" s="254"/>
      <c r="ONV7" s="254"/>
      <c r="ONW7" s="254"/>
      <c r="ONX7" s="254"/>
      <c r="ONY7" s="254"/>
      <c r="ONZ7" s="254"/>
      <c r="OOA7" s="254"/>
      <c r="OOB7" s="254"/>
      <c r="OOC7" s="254"/>
      <c r="OOD7" s="254"/>
      <c r="OOE7" s="254"/>
      <c r="OOF7" s="254"/>
      <c r="OOG7" s="254"/>
      <c r="OOH7" s="254"/>
      <c r="OOI7" s="254"/>
      <c r="OOJ7" s="254"/>
      <c r="OOK7" s="254"/>
      <c r="OOL7" s="254"/>
      <c r="OOM7" s="254"/>
      <c r="OON7" s="254"/>
      <c r="OOO7" s="254"/>
      <c r="OOP7" s="254"/>
      <c r="OOQ7" s="254"/>
      <c r="OOR7" s="254"/>
      <c r="OOS7" s="254"/>
      <c r="OOT7" s="254"/>
      <c r="OOU7" s="254"/>
      <c r="OOV7" s="254"/>
      <c r="OOW7" s="254"/>
      <c r="OOX7" s="254"/>
      <c r="OOY7" s="254"/>
      <c r="OOZ7" s="254"/>
      <c r="OPA7" s="254"/>
      <c r="OPB7" s="254"/>
      <c r="OPC7" s="254"/>
      <c r="OPD7" s="254"/>
      <c r="OPE7" s="254"/>
      <c r="OPF7" s="254"/>
      <c r="OPG7" s="254"/>
      <c r="OPH7" s="254"/>
      <c r="OPI7" s="254"/>
      <c r="OPJ7" s="254"/>
      <c r="OPK7" s="254"/>
      <c r="OPL7" s="254"/>
      <c r="OPM7" s="254"/>
      <c r="OPN7" s="254"/>
      <c r="OPO7" s="254"/>
      <c r="OPP7" s="254"/>
      <c r="OPQ7" s="254"/>
      <c r="OPR7" s="254"/>
      <c r="OPS7" s="254"/>
      <c r="OPT7" s="254"/>
      <c r="OPU7" s="254"/>
      <c r="OPV7" s="254"/>
      <c r="OPW7" s="254"/>
      <c r="OPX7" s="254"/>
      <c r="OPY7" s="254"/>
      <c r="OPZ7" s="254"/>
      <c r="OQA7" s="254"/>
      <c r="OQB7" s="254"/>
      <c r="OQC7" s="254"/>
      <c r="OQD7" s="254"/>
      <c r="OQE7" s="254"/>
      <c r="OQF7" s="254"/>
      <c r="OQG7" s="254"/>
      <c r="OQH7" s="254"/>
      <c r="OQI7" s="254"/>
      <c r="OQJ7" s="254"/>
      <c r="OQK7" s="254"/>
      <c r="OQL7" s="254"/>
      <c r="OQM7" s="254"/>
      <c r="OQN7" s="254"/>
      <c r="OQO7" s="254"/>
      <c r="OQP7" s="254"/>
      <c r="OQQ7" s="254"/>
      <c r="OQR7" s="254"/>
      <c r="OQS7" s="254"/>
      <c r="OQT7" s="254"/>
      <c r="OQU7" s="254"/>
      <c r="OQV7" s="254"/>
      <c r="OQW7" s="254"/>
      <c r="OQX7" s="254"/>
      <c r="OQY7" s="254"/>
      <c r="OQZ7" s="254"/>
      <c r="ORA7" s="254"/>
      <c r="ORB7" s="254"/>
      <c r="ORC7" s="254"/>
      <c r="ORD7" s="254"/>
      <c r="ORE7" s="254"/>
      <c r="ORF7" s="254"/>
      <c r="ORG7" s="254"/>
      <c r="ORH7" s="254"/>
      <c r="ORI7" s="254"/>
      <c r="ORJ7" s="254"/>
      <c r="ORK7" s="254"/>
      <c r="ORL7" s="254"/>
      <c r="ORM7" s="254"/>
      <c r="ORN7" s="254"/>
      <c r="ORO7" s="254"/>
      <c r="ORP7" s="254"/>
      <c r="ORQ7" s="254"/>
      <c r="ORR7" s="254"/>
      <c r="ORS7" s="254"/>
      <c r="ORT7" s="254"/>
      <c r="ORU7" s="254"/>
      <c r="ORV7" s="254"/>
      <c r="ORW7" s="254"/>
      <c r="ORX7" s="254"/>
      <c r="ORY7" s="254"/>
      <c r="ORZ7" s="254"/>
      <c r="OSA7" s="254"/>
      <c r="OSB7" s="254"/>
      <c r="OSC7" s="254"/>
      <c r="OSD7" s="254"/>
      <c r="OSE7" s="254"/>
      <c r="OSF7" s="254"/>
      <c r="OSG7" s="254"/>
      <c r="OSH7" s="254"/>
      <c r="OSI7" s="254"/>
      <c r="OSJ7" s="254"/>
      <c r="OSK7" s="254"/>
      <c r="OSL7" s="254"/>
      <c r="OSM7" s="254"/>
      <c r="OSN7" s="254"/>
      <c r="OSO7" s="254"/>
      <c r="OSP7" s="254"/>
      <c r="OSQ7" s="254"/>
      <c r="OSR7" s="254"/>
      <c r="OSS7" s="254"/>
      <c r="OST7" s="254"/>
      <c r="OSU7" s="254"/>
      <c r="OSV7" s="254"/>
      <c r="OSW7" s="254"/>
      <c r="OSX7" s="254"/>
      <c r="OSY7" s="254"/>
      <c r="OSZ7" s="254"/>
      <c r="OTA7" s="254"/>
      <c r="OTB7" s="254"/>
      <c r="OTC7" s="254"/>
      <c r="OTD7" s="254"/>
      <c r="OTE7" s="254"/>
      <c r="OTF7" s="254"/>
      <c r="OTG7" s="254"/>
      <c r="OTH7" s="254"/>
      <c r="OTI7" s="254"/>
      <c r="OTJ7" s="254"/>
      <c r="OTK7" s="254"/>
      <c r="OTL7" s="254"/>
      <c r="OTM7" s="254"/>
      <c r="OTN7" s="254"/>
      <c r="OTO7" s="254"/>
      <c r="OTP7" s="254"/>
      <c r="OTQ7" s="254"/>
      <c r="OTR7" s="254"/>
      <c r="OTS7" s="254"/>
      <c r="OTT7" s="254"/>
      <c r="OTU7" s="254"/>
      <c r="OTV7" s="254"/>
      <c r="OTW7" s="254"/>
      <c r="OTX7" s="254"/>
      <c r="OTY7" s="254"/>
      <c r="OTZ7" s="254"/>
      <c r="OUA7" s="254"/>
      <c r="OUB7" s="254"/>
      <c r="OUC7" s="254"/>
      <c r="OUD7" s="254"/>
      <c r="OUE7" s="254"/>
      <c r="OUF7" s="254"/>
      <c r="OUG7" s="254"/>
      <c r="OUH7" s="254"/>
      <c r="OUI7" s="254"/>
      <c r="OUJ7" s="254"/>
      <c r="OUK7" s="254"/>
      <c r="OUL7" s="254"/>
      <c r="OUM7" s="254"/>
      <c r="OUN7" s="254"/>
      <c r="OUO7" s="254"/>
      <c r="OUP7" s="254"/>
      <c r="OUQ7" s="254"/>
      <c r="OUR7" s="254"/>
      <c r="OUS7" s="254"/>
      <c r="OUT7" s="254"/>
      <c r="OUU7" s="254"/>
      <c r="OUV7" s="254"/>
      <c r="OUW7" s="254"/>
      <c r="OUX7" s="254"/>
      <c r="OUY7" s="254"/>
      <c r="OUZ7" s="254"/>
      <c r="OVA7" s="254"/>
      <c r="OVB7" s="254"/>
      <c r="OVC7" s="254"/>
      <c r="OVD7" s="254"/>
      <c r="OVE7" s="254"/>
      <c r="OVF7" s="254"/>
      <c r="OVG7" s="254"/>
      <c r="OVH7" s="254"/>
      <c r="OVI7" s="254"/>
      <c r="OVJ7" s="254"/>
      <c r="OVK7" s="254"/>
      <c r="OVL7" s="254"/>
      <c r="OVM7" s="254"/>
      <c r="OVN7" s="254"/>
      <c r="OVO7" s="254"/>
      <c r="OVP7" s="254"/>
      <c r="OVQ7" s="254"/>
      <c r="OVR7" s="254"/>
      <c r="OVS7" s="254"/>
      <c r="OVT7" s="254"/>
      <c r="OVU7" s="254"/>
      <c r="OVV7" s="254"/>
      <c r="OVW7" s="254"/>
      <c r="OVX7" s="254"/>
      <c r="OVY7" s="254"/>
      <c r="OVZ7" s="254"/>
      <c r="OWA7" s="254"/>
      <c r="OWB7" s="254"/>
      <c r="OWC7" s="254"/>
      <c r="OWD7" s="254"/>
      <c r="OWE7" s="254"/>
      <c r="OWF7" s="254"/>
      <c r="OWG7" s="254"/>
      <c r="OWH7" s="254"/>
      <c r="OWI7" s="254"/>
      <c r="OWJ7" s="254"/>
      <c r="OWK7" s="254"/>
      <c r="OWL7" s="254"/>
      <c r="OWM7" s="254"/>
      <c r="OWN7" s="254"/>
      <c r="OWO7" s="254"/>
      <c r="OWP7" s="254"/>
      <c r="OWQ7" s="254"/>
      <c r="OWR7" s="254"/>
      <c r="OWS7" s="254"/>
      <c r="OWT7" s="254"/>
      <c r="OWU7" s="254"/>
      <c r="OWV7" s="254"/>
      <c r="OWW7" s="254"/>
      <c r="OWX7" s="254"/>
      <c r="OWY7" s="254"/>
      <c r="OWZ7" s="254"/>
      <c r="OXA7" s="254"/>
      <c r="OXB7" s="254"/>
      <c r="OXC7" s="254"/>
      <c r="OXD7" s="254"/>
      <c r="OXE7" s="254"/>
      <c r="OXF7" s="254"/>
      <c r="OXG7" s="254"/>
      <c r="OXH7" s="254"/>
      <c r="OXI7" s="254"/>
      <c r="OXJ7" s="254"/>
      <c r="OXK7" s="254"/>
      <c r="OXL7" s="254"/>
      <c r="OXM7" s="254"/>
      <c r="OXN7" s="254"/>
      <c r="OXO7" s="254"/>
      <c r="OXP7" s="254"/>
      <c r="OXQ7" s="254"/>
      <c r="OXR7" s="254"/>
      <c r="OXS7" s="254"/>
      <c r="OXT7" s="254"/>
      <c r="OXU7" s="254"/>
      <c r="OXV7" s="254"/>
      <c r="OXW7" s="254"/>
      <c r="OXX7" s="254"/>
      <c r="OXY7" s="254"/>
      <c r="OXZ7" s="254"/>
      <c r="OYA7" s="254"/>
      <c r="OYB7" s="254"/>
      <c r="OYC7" s="254"/>
      <c r="OYD7" s="254"/>
      <c r="OYE7" s="254"/>
      <c r="OYF7" s="254"/>
      <c r="OYG7" s="254"/>
      <c r="OYH7" s="254"/>
      <c r="OYI7" s="254"/>
      <c r="OYJ7" s="254"/>
      <c r="OYK7" s="254"/>
      <c r="OYL7" s="254"/>
      <c r="OYM7" s="254"/>
      <c r="OYN7" s="254"/>
      <c r="OYO7" s="254"/>
      <c r="OYP7" s="254"/>
      <c r="OYQ7" s="254"/>
      <c r="OYR7" s="254"/>
      <c r="OYS7" s="254"/>
      <c r="OYT7" s="254"/>
      <c r="OYU7" s="254"/>
      <c r="OYV7" s="254"/>
      <c r="OYW7" s="254"/>
      <c r="OYX7" s="254"/>
      <c r="OYY7" s="254"/>
      <c r="OYZ7" s="254"/>
      <c r="OZA7" s="254"/>
      <c r="OZB7" s="254"/>
      <c r="OZC7" s="254"/>
      <c r="OZD7" s="254"/>
      <c r="OZE7" s="254"/>
      <c r="OZF7" s="254"/>
      <c r="OZG7" s="254"/>
      <c r="OZH7" s="254"/>
      <c r="OZI7" s="254"/>
      <c r="OZJ7" s="254"/>
      <c r="OZK7" s="254"/>
      <c r="OZL7" s="254"/>
      <c r="OZM7" s="254"/>
      <c r="OZN7" s="254"/>
      <c r="OZO7" s="254"/>
      <c r="OZP7" s="254"/>
      <c r="OZQ7" s="254"/>
      <c r="OZR7" s="254"/>
      <c r="OZS7" s="254"/>
      <c r="OZT7" s="254"/>
      <c r="OZU7" s="254"/>
      <c r="OZV7" s="254"/>
      <c r="OZW7" s="254"/>
      <c r="OZX7" s="254"/>
      <c r="OZY7" s="254"/>
      <c r="OZZ7" s="254"/>
      <c r="PAA7" s="254"/>
      <c r="PAB7" s="254"/>
      <c r="PAC7" s="254"/>
      <c r="PAD7" s="254"/>
      <c r="PAE7" s="254"/>
      <c r="PAF7" s="254"/>
      <c r="PAG7" s="254"/>
      <c r="PAH7" s="254"/>
      <c r="PAI7" s="254"/>
      <c r="PAJ7" s="254"/>
      <c r="PAK7" s="254"/>
      <c r="PAL7" s="254"/>
      <c r="PAM7" s="254"/>
      <c r="PAN7" s="254"/>
      <c r="PAO7" s="254"/>
      <c r="PAP7" s="254"/>
      <c r="PAQ7" s="254"/>
      <c r="PAR7" s="254"/>
      <c r="PAS7" s="254"/>
      <c r="PAT7" s="254"/>
      <c r="PAU7" s="254"/>
      <c r="PAV7" s="254"/>
      <c r="PAW7" s="254"/>
      <c r="PAX7" s="254"/>
      <c r="PAY7" s="254"/>
      <c r="PAZ7" s="254"/>
      <c r="PBA7" s="254"/>
      <c r="PBB7" s="254"/>
      <c r="PBC7" s="254"/>
      <c r="PBD7" s="254"/>
      <c r="PBE7" s="254"/>
      <c r="PBF7" s="254"/>
      <c r="PBG7" s="254"/>
      <c r="PBH7" s="254"/>
      <c r="PBI7" s="254"/>
      <c r="PBJ7" s="254"/>
      <c r="PBK7" s="254"/>
      <c r="PBL7" s="254"/>
      <c r="PBM7" s="254"/>
      <c r="PBN7" s="254"/>
      <c r="PBO7" s="254"/>
      <c r="PBP7" s="254"/>
      <c r="PBQ7" s="254"/>
      <c r="PBR7" s="254"/>
      <c r="PBS7" s="254"/>
      <c r="PBT7" s="254"/>
      <c r="PBU7" s="254"/>
      <c r="PBV7" s="254"/>
      <c r="PBW7" s="254"/>
      <c r="PBX7" s="254"/>
      <c r="PBY7" s="254"/>
      <c r="PBZ7" s="254"/>
      <c r="PCA7" s="254"/>
      <c r="PCB7" s="254"/>
      <c r="PCC7" s="254"/>
      <c r="PCD7" s="254"/>
      <c r="PCE7" s="254"/>
      <c r="PCF7" s="254"/>
      <c r="PCG7" s="254"/>
      <c r="PCH7" s="254"/>
      <c r="PCI7" s="254"/>
      <c r="PCJ7" s="254"/>
      <c r="PCK7" s="254"/>
      <c r="PCL7" s="254"/>
      <c r="PCM7" s="254"/>
      <c r="PCN7" s="254"/>
      <c r="PCO7" s="254"/>
      <c r="PCP7" s="254"/>
      <c r="PCQ7" s="254"/>
      <c r="PCR7" s="254"/>
      <c r="PCS7" s="254"/>
      <c r="PCT7" s="254"/>
      <c r="PCU7" s="254"/>
      <c r="PCV7" s="254"/>
      <c r="PCW7" s="254"/>
      <c r="PCX7" s="254"/>
      <c r="PCY7" s="254"/>
      <c r="PCZ7" s="254"/>
      <c r="PDA7" s="254"/>
      <c r="PDB7" s="254"/>
      <c r="PDC7" s="254"/>
      <c r="PDD7" s="254"/>
      <c r="PDE7" s="254"/>
      <c r="PDF7" s="254"/>
      <c r="PDG7" s="254"/>
      <c r="PDH7" s="254"/>
      <c r="PDI7" s="254"/>
      <c r="PDJ7" s="254"/>
      <c r="PDK7" s="254"/>
      <c r="PDL7" s="254"/>
      <c r="PDM7" s="254"/>
      <c r="PDN7" s="254"/>
      <c r="PDO7" s="254"/>
      <c r="PDP7" s="254"/>
      <c r="PDQ7" s="254"/>
      <c r="PDR7" s="254"/>
      <c r="PDS7" s="254"/>
      <c r="PDT7" s="254"/>
      <c r="PDU7" s="254"/>
      <c r="PDV7" s="254"/>
      <c r="PDW7" s="254"/>
      <c r="PDX7" s="254"/>
      <c r="PDY7" s="254"/>
      <c r="PDZ7" s="254"/>
      <c r="PEA7" s="254"/>
      <c r="PEB7" s="254"/>
      <c r="PEC7" s="254"/>
      <c r="PED7" s="254"/>
      <c r="PEE7" s="254"/>
      <c r="PEF7" s="254"/>
      <c r="PEG7" s="254"/>
      <c r="PEH7" s="254"/>
      <c r="PEI7" s="254"/>
      <c r="PEJ7" s="254"/>
      <c r="PEK7" s="254"/>
      <c r="PEL7" s="254"/>
      <c r="PEM7" s="254"/>
      <c r="PEN7" s="254"/>
      <c r="PEO7" s="254"/>
      <c r="PEP7" s="254"/>
      <c r="PEQ7" s="254"/>
      <c r="PER7" s="254"/>
      <c r="PES7" s="254"/>
      <c r="PET7" s="254"/>
      <c r="PEU7" s="254"/>
      <c r="PEV7" s="254"/>
      <c r="PEW7" s="254"/>
      <c r="PEX7" s="254"/>
      <c r="PEY7" s="254"/>
      <c r="PEZ7" s="254"/>
      <c r="PFA7" s="254"/>
      <c r="PFB7" s="254"/>
      <c r="PFC7" s="254"/>
      <c r="PFD7" s="254"/>
      <c r="PFE7" s="254"/>
      <c r="PFF7" s="254"/>
      <c r="PFG7" s="254"/>
      <c r="PFH7" s="254"/>
      <c r="PFI7" s="254"/>
      <c r="PFJ7" s="254"/>
      <c r="PFK7" s="254"/>
      <c r="PFL7" s="254"/>
      <c r="PFM7" s="254"/>
      <c r="PFN7" s="254"/>
      <c r="PFO7" s="254"/>
      <c r="PFP7" s="254"/>
      <c r="PFQ7" s="254"/>
      <c r="PFR7" s="254"/>
      <c r="PFS7" s="254"/>
      <c r="PFT7" s="254"/>
      <c r="PFU7" s="254"/>
      <c r="PFV7" s="254"/>
      <c r="PFW7" s="254"/>
      <c r="PFX7" s="254"/>
      <c r="PFY7" s="254"/>
      <c r="PFZ7" s="254"/>
      <c r="PGA7" s="254"/>
      <c r="PGB7" s="254"/>
      <c r="PGC7" s="254"/>
      <c r="PGD7" s="254"/>
      <c r="PGE7" s="254"/>
      <c r="PGF7" s="254"/>
      <c r="PGG7" s="254"/>
      <c r="PGH7" s="254"/>
      <c r="PGI7" s="254"/>
      <c r="PGJ7" s="254"/>
      <c r="PGK7" s="254"/>
      <c r="PGL7" s="254"/>
      <c r="PGM7" s="254"/>
      <c r="PGN7" s="254"/>
      <c r="PGO7" s="254"/>
      <c r="PGP7" s="254"/>
      <c r="PGQ7" s="254"/>
      <c r="PGR7" s="254"/>
      <c r="PGS7" s="254"/>
      <c r="PGT7" s="254"/>
      <c r="PGU7" s="254"/>
      <c r="PGV7" s="254"/>
      <c r="PGW7" s="254"/>
      <c r="PGX7" s="254"/>
      <c r="PGY7" s="254"/>
      <c r="PGZ7" s="254"/>
      <c r="PHA7" s="254"/>
      <c r="PHB7" s="254"/>
      <c r="PHC7" s="254"/>
      <c r="PHD7" s="254"/>
      <c r="PHE7" s="254"/>
      <c r="PHF7" s="254"/>
      <c r="PHG7" s="254"/>
      <c r="PHH7" s="254"/>
      <c r="PHI7" s="254"/>
      <c r="PHJ7" s="254"/>
      <c r="PHK7" s="254"/>
      <c r="PHL7" s="254"/>
      <c r="PHM7" s="254"/>
      <c r="PHN7" s="254"/>
      <c r="PHO7" s="254"/>
      <c r="PHP7" s="254"/>
      <c r="PHQ7" s="254"/>
      <c r="PHR7" s="254"/>
      <c r="PHS7" s="254"/>
      <c r="PHT7" s="254"/>
      <c r="PHU7" s="254"/>
      <c r="PHV7" s="254"/>
      <c r="PHW7" s="254"/>
      <c r="PHX7" s="254"/>
      <c r="PHY7" s="254"/>
      <c r="PHZ7" s="254"/>
      <c r="PIA7" s="254"/>
      <c r="PIB7" s="254"/>
      <c r="PIC7" s="254"/>
      <c r="PID7" s="254"/>
      <c r="PIE7" s="254"/>
      <c r="PIF7" s="254"/>
      <c r="PIG7" s="254"/>
      <c r="PIH7" s="254"/>
      <c r="PII7" s="254"/>
      <c r="PIJ7" s="254"/>
      <c r="PIK7" s="254"/>
      <c r="PIL7" s="254"/>
      <c r="PIM7" s="254"/>
      <c r="PIN7" s="254"/>
      <c r="PIO7" s="254"/>
      <c r="PIP7" s="254"/>
      <c r="PIQ7" s="254"/>
      <c r="PIR7" s="254"/>
      <c r="PIS7" s="254"/>
      <c r="PIT7" s="254"/>
      <c r="PIU7" s="254"/>
      <c r="PIV7" s="254"/>
      <c r="PIW7" s="254"/>
      <c r="PIX7" s="254"/>
      <c r="PIY7" s="254"/>
      <c r="PIZ7" s="254"/>
      <c r="PJA7" s="254"/>
      <c r="PJB7" s="254"/>
      <c r="PJC7" s="254"/>
      <c r="PJD7" s="254"/>
      <c r="PJE7" s="254"/>
      <c r="PJF7" s="254"/>
      <c r="PJG7" s="254"/>
      <c r="PJH7" s="254"/>
      <c r="PJI7" s="254"/>
      <c r="PJJ7" s="254"/>
      <c r="PJK7" s="254"/>
      <c r="PJL7" s="254"/>
      <c r="PJM7" s="254"/>
      <c r="PJN7" s="254"/>
      <c r="PJO7" s="254"/>
      <c r="PJP7" s="254"/>
      <c r="PJQ7" s="254"/>
      <c r="PJR7" s="254"/>
      <c r="PJS7" s="254"/>
      <c r="PJT7" s="254"/>
      <c r="PJU7" s="254"/>
      <c r="PJV7" s="254"/>
      <c r="PJW7" s="254"/>
      <c r="PJX7" s="254"/>
      <c r="PJY7" s="254"/>
      <c r="PJZ7" s="254"/>
      <c r="PKA7" s="254"/>
      <c r="PKB7" s="254"/>
      <c r="PKC7" s="254"/>
      <c r="PKD7" s="254"/>
      <c r="PKE7" s="254"/>
      <c r="PKF7" s="254"/>
      <c r="PKG7" s="254"/>
      <c r="PKH7" s="254"/>
      <c r="PKI7" s="254"/>
      <c r="PKJ7" s="254"/>
      <c r="PKK7" s="254"/>
      <c r="PKL7" s="254"/>
      <c r="PKM7" s="254"/>
      <c r="PKN7" s="254"/>
      <c r="PKO7" s="254"/>
      <c r="PKP7" s="254"/>
      <c r="PKQ7" s="254"/>
      <c r="PKR7" s="254"/>
      <c r="PKS7" s="254"/>
      <c r="PKT7" s="254"/>
      <c r="PKU7" s="254"/>
      <c r="PKV7" s="254"/>
      <c r="PKW7" s="254"/>
      <c r="PKX7" s="254"/>
      <c r="PKY7" s="254"/>
      <c r="PKZ7" s="254"/>
      <c r="PLA7" s="254"/>
      <c r="PLB7" s="254"/>
      <c r="PLC7" s="254"/>
      <c r="PLD7" s="254"/>
      <c r="PLE7" s="254"/>
      <c r="PLF7" s="254"/>
      <c r="PLG7" s="254"/>
      <c r="PLH7" s="254"/>
      <c r="PLI7" s="254"/>
      <c r="PLJ7" s="254"/>
      <c r="PLK7" s="254"/>
      <c r="PLL7" s="254"/>
      <c r="PLM7" s="254"/>
      <c r="PLN7" s="254"/>
      <c r="PLO7" s="254"/>
      <c r="PLP7" s="254"/>
      <c r="PLQ7" s="254"/>
      <c r="PLR7" s="254"/>
      <c r="PLS7" s="254"/>
      <c r="PLT7" s="254"/>
      <c r="PLU7" s="254"/>
      <c r="PLV7" s="254"/>
      <c r="PLW7" s="254"/>
      <c r="PLX7" s="254"/>
      <c r="PLY7" s="254"/>
      <c r="PLZ7" s="254"/>
      <c r="PMA7" s="254"/>
      <c r="PMB7" s="254"/>
      <c r="PMC7" s="254"/>
      <c r="PMD7" s="254"/>
      <c r="PME7" s="254"/>
      <c r="PMF7" s="254"/>
      <c r="PMG7" s="254"/>
      <c r="PMH7" s="254"/>
      <c r="PMI7" s="254"/>
      <c r="PMJ7" s="254"/>
      <c r="PMK7" s="254"/>
      <c r="PML7" s="254"/>
      <c r="PMM7" s="254"/>
      <c r="PMN7" s="254"/>
      <c r="PMO7" s="254"/>
      <c r="PMP7" s="254"/>
      <c r="PMQ7" s="254"/>
      <c r="PMR7" s="254"/>
      <c r="PMS7" s="254"/>
      <c r="PMT7" s="254"/>
      <c r="PMU7" s="254"/>
      <c r="PMV7" s="254"/>
      <c r="PMW7" s="254"/>
      <c r="PMX7" s="254"/>
      <c r="PMY7" s="254"/>
      <c r="PMZ7" s="254"/>
      <c r="PNA7" s="254"/>
      <c r="PNB7" s="254"/>
      <c r="PNC7" s="254"/>
      <c r="PND7" s="254"/>
      <c r="PNE7" s="254"/>
      <c r="PNF7" s="254"/>
      <c r="PNG7" s="254"/>
      <c r="PNH7" s="254"/>
      <c r="PNI7" s="254"/>
      <c r="PNJ7" s="254"/>
      <c r="PNK7" s="254"/>
      <c r="PNL7" s="254"/>
      <c r="PNM7" s="254"/>
      <c r="PNN7" s="254"/>
      <c r="PNO7" s="254"/>
      <c r="PNP7" s="254"/>
      <c r="PNQ7" s="254"/>
      <c r="PNR7" s="254"/>
      <c r="PNS7" s="254"/>
      <c r="PNT7" s="254"/>
      <c r="PNU7" s="254"/>
      <c r="PNV7" s="254"/>
      <c r="PNW7" s="254"/>
      <c r="PNX7" s="254"/>
      <c r="PNY7" s="254"/>
      <c r="PNZ7" s="254"/>
      <c r="POA7" s="254"/>
      <c r="POB7" s="254"/>
      <c r="POC7" s="254"/>
      <c r="POD7" s="254"/>
      <c r="POE7" s="254"/>
      <c r="POF7" s="254"/>
      <c r="POG7" s="254"/>
      <c r="POH7" s="254"/>
      <c r="POI7" s="254"/>
      <c r="POJ7" s="254"/>
      <c r="POK7" s="254"/>
      <c r="POL7" s="254"/>
      <c r="POM7" s="254"/>
      <c r="PON7" s="254"/>
      <c r="POO7" s="254"/>
      <c r="POP7" s="254"/>
      <c r="POQ7" s="254"/>
      <c r="POR7" s="254"/>
      <c r="POS7" s="254"/>
      <c r="POT7" s="254"/>
      <c r="POU7" s="254"/>
      <c r="POV7" s="254"/>
      <c r="POW7" s="254"/>
      <c r="POX7" s="254"/>
      <c r="POY7" s="254"/>
      <c r="POZ7" s="254"/>
      <c r="PPA7" s="254"/>
      <c r="PPB7" s="254"/>
      <c r="PPC7" s="254"/>
      <c r="PPD7" s="254"/>
      <c r="PPE7" s="254"/>
      <c r="PPF7" s="254"/>
      <c r="PPG7" s="254"/>
      <c r="PPH7" s="254"/>
      <c r="PPI7" s="254"/>
      <c r="PPJ7" s="254"/>
      <c r="PPK7" s="254"/>
      <c r="PPL7" s="254"/>
      <c r="PPM7" s="254"/>
      <c r="PPN7" s="254"/>
      <c r="PPO7" s="254"/>
      <c r="PPP7" s="254"/>
      <c r="PPQ7" s="254"/>
      <c r="PPR7" s="254"/>
      <c r="PPS7" s="254"/>
      <c r="PPT7" s="254"/>
      <c r="PPU7" s="254"/>
      <c r="PPV7" s="254"/>
      <c r="PPW7" s="254"/>
      <c r="PPX7" s="254"/>
      <c r="PPY7" s="254"/>
      <c r="PPZ7" s="254"/>
      <c r="PQA7" s="254"/>
      <c r="PQB7" s="254"/>
      <c r="PQC7" s="254"/>
      <c r="PQD7" s="254"/>
      <c r="PQE7" s="254"/>
      <c r="PQF7" s="254"/>
      <c r="PQG7" s="254"/>
      <c r="PQH7" s="254"/>
      <c r="PQI7" s="254"/>
      <c r="PQJ7" s="254"/>
      <c r="PQK7" s="254"/>
      <c r="PQL7" s="254"/>
      <c r="PQM7" s="254"/>
      <c r="PQN7" s="254"/>
      <c r="PQO7" s="254"/>
      <c r="PQP7" s="254"/>
      <c r="PQQ7" s="254"/>
      <c r="PQR7" s="254"/>
      <c r="PQS7" s="254"/>
      <c r="PQT7" s="254"/>
      <c r="PQU7" s="254"/>
      <c r="PQV7" s="254"/>
      <c r="PQW7" s="254"/>
      <c r="PQX7" s="254"/>
      <c r="PQY7" s="254"/>
      <c r="PQZ7" s="254"/>
      <c r="PRA7" s="254"/>
      <c r="PRB7" s="254"/>
      <c r="PRC7" s="254"/>
      <c r="PRD7" s="254"/>
      <c r="PRE7" s="254"/>
      <c r="PRF7" s="254"/>
      <c r="PRG7" s="254"/>
      <c r="PRH7" s="254"/>
      <c r="PRI7" s="254"/>
      <c r="PRJ7" s="254"/>
      <c r="PRK7" s="254"/>
      <c r="PRL7" s="254"/>
      <c r="PRM7" s="254"/>
      <c r="PRN7" s="254"/>
      <c r="PRO7" s="254"/>
      <c r="PRP7" s="254"/>
      <c r="PRQ7" s="254"/>
      <c r="PRR7" s="254"/>
      <c r="PRS7" s="254"/>
      <c r="PRT7" s="254"/>
      <c r="PRU7" s="254"/>
      <c r="PRV7" s="254"/>
      <c r="PRW7" s="254"/>
      <c r="PRX7" s="254"/>
      <c r="PRY7" s="254"/>
      <c r="PRZ7" s="254"/>
      <c r="PSA7" s="254"/>
      <c r="PSB7" s="254"/>
      <c r="PSC7" s="254"/>
      <c r="PSD7" s="254"/>
      <c r="PSE7" s="254"/>
      <c r="PSF7" s="254"/>
      <c r="PSG7" s="254"/>
      <c r="PSH7" s="254"/>
      <c r="PSI7" s="254"/>
      <c r="PSJ7" s="254"/>
      <c r="PSK7" s="254"/>
      <c r="PSL7" s="254"/>
      <c r="PSM7" s="254"/>
      <c r="PSN7" s="254"/>
      <c r="PSO7" s="254"/>
      <c r="PSP7" s="254"/>
      <c r="PSQ7" s="254"/>
      <c r="PSR7" s="254"/>
      <c r="PSS7" s="254"/>
      <c r="PST7" s="254"/>
      <c r="PSU7" s="254"/>
      <c r="PSV7" s="254"/>
      <c r="PSW7" s="254"/>
      <c r="PSX7" s="254"/>
      <c r="PSY7" s="254"/>
      <c r="PSZ7" s="254"/>
      <c r="PTA7" s="254"/>
      <c r="PTB7" s="254"/>
      <c r="PTC7" s="254"/>
      <c r="PTD7" s="254"/>
      <c r="PTE7" s="254"/>
      <c r="PTF7" s="254"/>
      <c r="PTG7" s="254"/>
      <c r="PTH7" s="254"/>
      <c r="PTI7" s="254"/>
      <c r="PTJ7" s="254"/>
      <c r="PTK7" s="254"/>
      <c r="PTL7" s="254"/>
      <c r="PTM7" s="254"/>
      <c r="PTN7" s="254"/>
      <c r="PTO7" s="254"/>
      <c r="PTP7" s="254"/>
      <c r="PTQ7" s="254"/>
      <c r="PTR7" s="254"/>
      <c r="PTS7" s="254"/>
      <c r="PTT7" s="254"/>
      <c r="PTU7" s="254"/>
      <c r="PTV7" s="254"/>
      <c r="PTW7" s="254"/>
      <c r="PTX7" s="254"/>
      <c r="PTY7" s="254"/>
      <c r="PTZ7" s="254"/>
      <c r="PUA7" s="254"/>
      <c r="PUB7" s="254"/>
      <c r="PUC7" s="254"/>
      <c r="PUD7" s="254"/>
      <c r="PUE7" s="254"/>
      <c r="PUF7" s="254"/>
      <c r="PUG7" s="254"/>
      <c r="PUH7" s="254"/>
      <c r="PUI7" s="254"/>
      <c r="PUJ7" s="254"/>
      <c r="PUK7" s="254"/>
      <c r="PUL7" s="254"/>
      <c r="PUM7" s="254"/>
      <c r="PUN7" s="254"/>
      <c r="PUO7" s="254"/>
      <c r="PUP7" s="254"/>
      <c r="PUQ7" s="254"/>
      <c r="PUR7" s="254"/>
      <c r="PUS7" s="254"/>
      <c r="PUT7" s="254"/>
      <c r="PUU7" s="254"/>
      <c r="PUV7" s="254"/>
      <c r="PUW7" s="254"/>
      <c r="PUX7" s="254"/>
      <c r="PUY7" s="254"/>
      <c r="PUZ7" s="254"/>
      <c r="PVA7" s="254"/>
      <c r="PVB7" s="254"/>
      <c r="PVC7" s="254"/>
      <c r="PVD7" s="254"/>
      <c r="PVE7" s="254"/>
      <c r="PVF7" s="254"/>
      <c r="PVG7" s="254"/>
      <c r="PVH7" s="254"/>
      <c r="PVI7" s="254"/>
      <c r="PVJ7" s="254"/>
      <c r="PVK7" s="254"/>
      <c r="PVL7" s="254"/>
      <c r="PVM7" s="254"/>
      <c r="PVN7" s="254"/>
      <c r="PVO7" s="254"/>
      <c r="PVP7" s="254"/>
      <c r="PVQ7" s="254"/>
      <c r="PVR7" s="254"/>
      <c r="PVS7" s="254"/>
      <c r="PVT7" s="254"/>
      <c r="PVU7" s="254"/>
      <c r="PVV7" s="254"/>
      <c r="PVW7" s="254"/>
      <c r="PVX7" s="254"/>
      <c r="PVY7" s="254"/>
      <c r="PVZ7" s="254"/>
      <c r="PWA7" s="254"/>
      <c r="PWB7" s="254"/>
      <c r="PWC7" s="254"/>
      <c r="PWD7" s="254"/>
      <c r="PWE7" s="254"/>
      <c r="PWF7" s="254"/>
      <c r="PWG7" s="254"/>
      <c r="PWH7" s="254"/>
      <c r="PWI7" s="254"/>
      <c r="PWJ7" s="254"/>
      <c r="PWK7" s="254"/>
      <c r="PWL7" s="254"/>
      <c r="PWM7" s="254"/>
      <c r="PWN7" s="254"/>
      <c r="PWO7" s="254"/>
      <c r="PWP7" s="254"/>
      <c r="PWQ7" s="254"/>
      <c r="PWR7" s="254"/>
      <c r="PWS7" s="254"/>
      <c r="PWT7" s="254"/>
      <c r="PWU7" s="254"/>
      <c r="PWV7" s="254"/>
      <c r="PWW7" s="254"/>
      <c r="PWX7" s="254"/>
      <c r="PWY7" s="254"/>
      <c r="PWZ7" s="254"/>
      <c r="PXA7" s="254"/>
      <c r="PXB7" s="254"/>
      <c r="PXC7" s="254"/>
      <c r="PXD7" s="254"/>
      <c r="PXE7" s="254"/>
      <c r="PXF7" s="254"/>
      <c r="PXG7" s="254"/>
      <c r="PXH7" s="254"/>
      <c r="PXI7" s="254"/>
      <c r="PXJ7" s="254"/>
      <c r="PXK7" s="254"/>
      <c r="PXL7" s="254"/>
      <c r="PXM7" s="254"/>
      <c r="PXN7" s="254"/>
      <c r="PXO7" s="254"/>
      <c r="PXP7" s="254"/>
      <c r="PXQ7" s="254"/>
      <c r="PXR7" s="254"/>
      <c r="PXS7" s="254"/>
      <c r="PXT7" s="254"/>
      <c r="PXU7" s="254"/>
      <c r="PXV7" s="254"/>
      <c r="PXW7" s="254"/>
      <c r="PXX7" s="254"/>
      <c r="PXY7" s="254"/>
      <c r="PXZ7" s="254"/>
      <c r="PYA7" s="254"/>
      <c r="PYB7" s="254"/>
      <c r="PYC7" s="254"/>
      <c r="PYD7" s="254"/>
      <c r="PYE7" s="254"/>
      <c r="PYF7" s="254"/>
      <c r="PYG7" s="254"/>
      <c r="PYH7" s="254"/>
      <c r="PYI7" s="254"/>
      <c r="PYJ7" s="254"/>
      <c r="PYK7" s="254"/>
      <c r="PYL7" s="254"/>
      <c r="PYM7" s="254"/>
      <c r="PYN7" s="254"/>
      <c r="PYO7" s="254"/>
      <c r="PYP7" s="254"/>
      <c r="PYQ7" s="254"/>
      <c r="PYR7" s="254"/>
      <c r="PYS7" s="254"/>
      <c r="PYT7" s="254"/>
      <c r="PYU7" s="254"/>
      <c r="PYV7" s="254"/>
      <c r="PYW7" s="254"/>
      <c r="PYX7" s="254"/>
      <c r="PYY7" s="254"/>
      <c r="PYZ7" s="254"/>
      <c r="PZA7" s="254"/>
      <c r="PZB7" s="254"/>
      <c r="PZC7" s="254"/>
      <c r="PZD7" s="254"/>
      <c r="PZE7" s="254"/>
      <c r="PZF7" s="254"/>
      <c r="PZG7" s="254"/>
      <c r="PZH7" s="254"/>
      <c r="PZI7" s="254"/>
      <c r="PZJ7" s="254"/>
      <c r="PZK7" s="254"/>
      <c r="PZL7" s="254"/>
      <c r="PZM7" s="254"/>
      <c r="PZN7" s="254"/>
      <c r="PZO7" s="254"/>
      <c r="PZP7" s="254"/>
      <c r="PZQ7" s="254"/>
      <c r="PZR7" s="254"/>
      <c r="PZS7" s="254"/>
      <c r="PZT7" s="254"/>
      <c r="PZU7" s="254"/>
      <c r="PZV7" s="254"/>
      <c r="PZW7" s="254"/>
      <c r="PZX7" s="254"/>
      <c r="PZY7" s="254"/>
      <c r="PZZ7" s="254"/>
      <c r="QAA7" s="254"/>
      <c r="QAB7" s="254"/>
      <c r="QAC7" s="254"/>
      <c r="QAD7" s="254"/>
      <c r="QAE7" s="254"/>
      <c r="QAF7" s="254"/>
      <c r="QAG7" s="254"/>
      <c r="QAH7" s="254"/>
      <c r="QAI7" s="254"/>
      <c r="QAJ7" s="254"/>
      <c r="QAK7" s="254"/>
      <c r="QAL7" s="254"/>
      <c r="QAM7" s="254"/>
      <c r="QAN7" s="254"/>
      <c r="QAO7" s="254"/>
      <c r="QAP7" s="254"/>
      <c r="QAQ7" s="254"/>
      <c r="QAR7" s="254"/>
      <c r="QAS7" s="254"/>
      <c r="QAT7" s="254"/>
      <c r="QAU7" s="254"/>
      <c r="QAV7" s="254"/>
      <c r="QAW7" s="254"/>
      <c r="QAX7" s="254"/>
      <c r="QAY7" s="254"/>
      <c r="QAZ7" s="254"/>
      <c r="QBA7" s="254"/>
      <c r="QBB7" s="254"/>
      <c r="QBC7" s="254"/>
      <c r="QBD7" s="254"/>
      <c r="QBE7" s="254"/>
      <c r="QBF7" s="254"/>
      <c r="QBG7" s="254"/>
      <c r="QBH7" s="254"/>
      <c r="QBI7" s="254"/>
      <c r="QBJ7" s="254"/>
      <c r="QBK7" s="254"/>
      <c r="QBL7" s="254"/>
      <c r="QBM7" s="254"/>
      <c r="QBN7" s="254"/>
      <c r="QBO7" s="254"/>
      <c r="QBP7" s="254"/>
      <c r="QBQ7" s="254"/>
      <c r="QBR7" s="254"/>
      <c r="QBS7" s="254"/>
      <c r="QBT7" s="254"/>
      <c r="QBU7" s="254"/>
      <c r="QBV7" s="254"/>
      <c r="QBW7" s="254"/>
      <c r="QBX7" s="254"/>
      <c r="QBY7" s="254"/>
      <c r="QBZ7" s="254"/>
      <c r="QCA7" s="254"/>
      <c r="QCB7" s="254"/>
      <c r="QCC7" s="254"/>
      <c r="QCD7" s="254"/>
      <c r="QCE7" s="254"/>
      <c r="QCF7" s="254"/>
      <c r="QCG7" s="254"/>
      <c r="QCH7" s="254"/>
      <c r="QCI7" s="254"/>
      <c r="QCJ7" s="254"/>
      <c r="QCK7" s="254"/>
      <c r="QCL7" s="254"/>
      <c r="QCM7" s="254"/>
      <c r="QCN7" s="254"/>
      <c r="QCO7" s="254"/>
      <c r="QCP7" s="254"/>
      <c r="QCQ7" s="254"/>
      <c r="QCR7" s="254"/>
      <c r="QCS7" s="254"/>
      <c r="QCT7" s="254"/>
      <c r="QCU7" s="254"/>
      <c r="QCV7" s="254"/>
      <c r="QCW7" s="254"/>
      <c r="QCX7" s="254"/>
      <c r="QCY7" s="254"/>
      <c r="QCZ7" s="254"/>
      <c r="QDA7" s="254"/>
      <c r="QDB7" s="254"/>
      <c r="QDC7" s="254"/>
      <c r="QDD7" s="254"/>
      <c r="QDE7" s="254"/>
      <c r="QDF7" s="254"/>
      <c r="QDG7" s="254"/>
      <c r="QDH7" s="254"/>
      <c r="QDI7" s="254"/>
      <c r="QDJ7" s="254"/>
      <c r="QDK7" s="254"/>
      <c r="QDL7" s="254"/>
      <c r="QDM7" s="254"/>
      <c r="QDN7" s="254"/>
      <c r="QDO7" s="254"/>
      <c r="QDP7" s="254"/>
      <c r="QDQ7" s="254"/>
      <c r="QDR7" s="254"/>
      <c r="QDS7" s="254"/>
      <c r="QDT7" s="254"/>
      <c r="QDU7" s="254"/>
      <c r="QDV7" s="254"/>
      <c r="QDW7" s="254"/>
      <c r="QDX7" s="254"/>
      <c r="QDY7" s="254"/>
      <c r="QDZ7" s="254"/>
      <c r="QEA7" s="254"/>
      <c r="QEB7" s="254"/>
      <c r="QEC7" s="254"/>
      <c r="QED7" s="254"/>
      <c r="QEE7" s="254"/>
      <c r="QEF7" s="254"/>
      <c r="QEG7" s="254"/>
      <c r="QEH7" s="254"/>
      <c r="QEI7" s="254"/>
      <c r="QEJ7" s="254"/>
      <c r="QEK7" s="254"/>
      <c r="QEL7" s="254"/>
      <c r="QEM7" s="254"/>
      <c r="QEN7" s="254"/>
      <c r="QEO7" s="254"/>
      <c r="QEP7" s="254"/>
      <c r="QEQ7" s="254"/>
      <c r="QER7" s="254"/>
      <c r="QES7" s="254"/>
      <c r="QET7" s="254"/>
      <c r="QEU7" s="254"/>
      <c r="QEV7" s="254"/>
      <c r="QEW7" s="254"/>
      <c r="QEX7" s="254"/>
      <c r="QEY7" s="254"/>
      <c r="QEZ7" s="254"/>
      <c r="QFA7" s="254"/>
      <c r="QFB7" s="254"/>
      <c r="QFC7" s="254"/>
      <c r="QFD7" s="254"/>
      <c r="QFE7" s="254"/>
      <c r="QFF7" s="254"/>
      <c r="QFG7" s="254"/>
      <c r="QFH7" s="254"/>
      <c r="QFI7" s="254"/>
      <c r="QFJ7" s="254"/>
      <c r="QFK7" s="254"/>
      <c r="QFL7" s="254"/>
      <c r="QFM7" s="254"/>
      <c r="QFN7" s="254"/>
      <c r="QFO7" s="254"/>
      <c r="QFP7" s="254"/>
      <c r="QFQ7" s="254"/>
      <c r="QFR7" s="254"/>
      <c r="QFS7" s="254"/>
      <c r="QFT7" s="254"/>
      <c r="QFU7" s="254"/>
      <c r="QFV7" s="254"/>
      <c r="QFW7" s="254"/>
      <c r="QFX7" s="254"/>
      <c r="QFY7" s="254"/>
      <c r="QFZ7" s="254"/>
      <c r="QGA7" s="254"/>
      <c r="QGB7" s="254"/>
      <c r="QGC7" s="254"/>
      <c r="QGD7" s="254"/>
      <c r="QGE7" s="254"/>
      <c r="QGF7" s="254"/>
      <c r="QGG7" s="254"/>
      <c r="QGH7" s="254"/>
      <c r="QGI7" s="254"/>
      <c r="QGJ7" s="254"/>
      <c r="QGK7" s="254"/>
      <c r="QGL7" s="254"/>
      <c r="QGM7" s="254"/>
      <c r="QGN7" s="254"/>
      <c r="QGO7" s="254"/>
      <c r="QGP7" s="254"/>
      <c r="QGQ7" s="254"/>
      <c r="QGR7" s="254"/>
      <c r="QGS7" s="254"/>
      <c r="QGT7" s="254"/>
      <c r="QGU7" s="254"/>
      <c r="QGV7" s="254"/>
      <c r="QGW7" s="254"/>
      <c r="QGX7" s="254"/>
      <c r="QGY7" s="254"/>
      <c r="QGZ7" s="254"/>
      <c r="QHA7" s="254"/>
      <c r="QHB7" s="254"/>
      <c r="QHC7" s="254"/>
      <c r="QHD7" s="254"/>
      <c r="QHE7" s="254"/>
      <c r="QHF7" s="254"/>
      <c r="QHG7" s="254"/>
      <c r="QHH7" s="254"/>
      <c r="QHI7" s="254"/>
      <c r="QHJ7" s="254"/>
      <c r="QHK7" s="254"/>
      <c r="QHL7" s="254"/>
      <c r="QHM7" s="254"/>
      <c r="QHN7" s="254"/>
      <c r="QHO7" s="254"/>
      <c r="QHP7" s="254"/>
      <c r="QHQ7" s="254"/>
      <c r="QHR7" s="254"/>
      <c r="QHS7" s="254"/>
      <c r="QHT7" s="254"/>
      <c r="QHU7" s="254"/>
      <c r="QHV7" s="254"/>
      <c r="QHW7" s="254"/>
      <c r="QHX7" s="254"/>
      <c r="QHY7" s="254"/>
      <c r="QHZ7" s="254"/>
      <c r="QIA7" s="254"/>
      <c r="QIB7" s="254"/>
      <c r="QIC7" s="254"/>
      <c r="QID7" s="254"/>
      <c r="QIE7" s="254"/>
      <c r="QIF7" s="254"/>
      <c r="QIG7" s="254"/>
      <c r="QIH7" s="254"/>
      <c r="QII7" s="254"/>
      <c r="QIJ7" s="254"/>
      <c r="QIK7" s="254"/>
      <c r="QIL7" s="254"/>
      <c r="QIM7" s="254"/>
      <c r="QIN7" s="254"/>
      <c r="QIO7" s="254"/>
      <c r="QIP7" s="254"/>
      <c r="QIQ7" s="254"/>
      <c r="QIR7" s="254"/>
      <c r="QIS7" s="254"/>
      <c r="QIT7" s="254"/>
      <c r="QIU7" s="254"/>
      <c r="QIV7" s="254"/>
      <c r="QIW7" s="254"/>
      <c r="QIX7" s="254"/>
      <c r="QIY7" s="254"/>
      <c r="QIZ7" s="254"/>
      <c r="QJA7" s="254"/>
      <c r="QJB7" s="254"/>
      <c r="QJC7" s="254"/>
      <c r="QJD7" s="254"/>
      <c r="QJE7" s="254"/>
      <c r="QJF7" s="254"/>
      <c r="QJG7" s="254"/>
      <c r="QJH7" s="254"/>
      <c r="QJI7" s="254"/>
      <c r="QJJ7" s="254"/>
      <c r="QJK7" s="254"/>
      <c r="QJL7" s="254"/>
      <c r="QJM7" s="254"/>
      <c r="QJN7" s="254"/>
      <c r="QJO7" s="254"/>
      <c r="QJP7" s="254"/>
      <c r="QJQ7" s="254"/>
      <c r="QJR7" s="254"/>
      <c r="QJS7" s="254"/>
      <c r="QJT7" s="254"/>
      <c r="QJU7" s="254"/>
      <c r="QJV7" s="254"/>
      <c r="QJW7" s="254"/>
      <c r="QJX7" s="254"/>
      <c r="QJY7" s="254"/>
      <c r="QJZ7" s="254"/>
      <c r="QKA7" s="254"/>
      <c r="QKB7" s="254"/>
      <c r="QKC7" s="254"/>
      <c r="QKD7" s="254"/>
      <c r="QKE7" s="254"/>
      <c r="QKF7" s="254"/>
      <c r="QKG7" s="254"/>
      <c r="QKH7" s="254"/>
      <c r="QKI7" s="254"/>
      <c r="QKJ7" s="254"/>
      <c r="QKK7" s="254"/>
      <c r="QKL7" s="254"/>
      <c r="QKM7" s="254"/>
      <c r="QKN7" s="254"/>
      <c r="QKO7" s="254"/>
      <c r="QKP7" s="254"/>
      <c r="QKQ7" s="254"/>
      <c r="QKR7" s="254"/>
      <c r="QKS7" s="254"/>
      <c r="QKT7" s="254"/>
      <c r="QKU7" s="254"/>
      <c r="QKV7" s="254"/>
      <c r="QKW7" s="254"/>
      <c r="QKX7" s="254"/>
      <c r="QKY7" s="254"/>
      <c r="QKZ7" s="254"/>
      <c r="QLA7" s="254"/>
      <c r="QLB7" s="254"/>
      <c r="QLC7" s="254"/>
      <c r="QLD7" s="254"/>
      <c r="QLE7" s="254"/>
      <c r="QLF7" s="254"/>
      <c r="QLG7" s="254"/>
      <c r="QLH7" s="254"/>
      <c r="QLI7" s="254"/>
      <c r="QLJ7" s="254"/>
      <c r="QLK7" s="254"/>
      <c r="QLL7" s="254"/>
      <c r="QLM7" s="254"/>
      <c r="QLN7" s="254"/>
      <c r="QLO7" s="254"/>
      <c r="QLP7" s="254"/>
      <c r="QLQ7" s="254"/>
      <c r="QLR7" s="254"/>
      <c r="QLS7" s="254"/>
      <c r="QLT7" s="254"/>
      <c r="QLU7" s="254"/>
      <c r="QLV7" s="254"/>
      <c r="QLW7" s="254"/>
      <c r="QLX7" s="254"/>
      <c r="QLY7" s="254"/>
      <c r="QLZ7" s="254"/>
      <c r="QMA7" s="254"/>
      <c r="QMB7" s="254"/>
      <c r="QMC7" s="254"/>
      <c r="QMD7" s="254"/>
      <c r="QME7" s="254"/>
      <c r="QMF7" s="254"/>
      <c r="QMG7" s="254"/>
      <c r="QMH7" s="254"/>
      <c r="QMI7" s="254"/>
      <c r="QMJ7" s="254"/>
      <c r="QMK7" s="254"/>
      <c r="QML7" s="254"/>
      <c r="QMM7" s="254"/>
      <c r="QMN7" s="254"/>
      <c r="QMO7" s="254"/>
      <c r="QMP7" s="254"/>
      <c r="QMQ7" s="254"/>
      <c r="QMR7" s="254"/>
      <c r="QMS7" s="254"/>
      <c r="QMT7" s="254"/>
      <c r="QMU7" s="254"/>
      <c r="QMV7" s="254"/>
      <c r="QMW7" s="254"/>
      <c r="QMX7" s="254"/>
      <c r="QMY7" s="254"/>
      <c r="QMZ7" s="254"/>
      <c r="QNA7" s="254"/>
      <c r="QNB7" s="254"/>
      <c r="QNC7" s="254"/>
      <c r="QND7" s="254"/>
      <c r="QNE7" s="254"/>
      <c r="QNF7" s="254"/>
      <c r="QNG7" s="254"/>
      <c r="QNH7" s="254"/>
      <c r="QNI7" s="254"/>
      <c r="QNJ7" s="254"/>
      <c r="QNK7" s="254"/>
      <c r="QNL7" s="254"/>
      <c r="QNM7" s="254"/>
      <c r="QNN7" s="254"/>
      <c r="QNO7" s="254"/>
      <c r="QNP7" s="254"/>
      <c r="QNQ7" s="254"/>
      <c r="QNR7" s="254"/>
      <c r="QNS7" s="254"/>
      <c r="QNT7" s="254"/>
      <c r="QNU7" s="254"/>
      <c r="QNV7" s="254"/>
      <c r="QNW7" s="254"/>
      <c r="QNX7" s="254"/>
      <c r="QNY7" s="254"/>
      <c r="QNZ7" s="254"/>
      <c r="QOA7" s="254"/>
      <c r="QOB7" s="254"/>
      <c r="QOC7" s="254"/>
      <c r="QOD7" s="254"/>
      <c r="QOE7" s="254"/>
      <c r="QOF7" s="254"/>
      <c r="QOG7" s="254"/>
      <c r="QOH7" s="254"/>
      <c r="QOI7" s="254"/>
      <c r="QOJ7" s="254"/>
      <c r="QOK7" s="254"/>
      <c r="QOL7" s="254"/>
      <c r="QOM7" s="254"/>
      <c r="QON7" s="254"/>
      <c r="QOO7" s="254"/>
      <c r="QOP7" s="254"/>
      <c r="QOQ7" s="254"/>
      <c r="QOR7" s="254"/>
      <c r="QOS7" s="254"/>
      <c r="QOT7" s="254"/>
      <c r="QOU7" s="254"/>
      <c r="QOV7" s="254"/>
      <c r="QOW7" s="254"/>
      <c r="QOX7" s="254"/>
      <c r="QOY7" s="254"/>
      <c r="QOZ7" s="254"/>
      <c r="QPA7" s="254"/>
      <c r="QPB7" s="254"/>
      <c r="QPC7" s="254"/>
      <c r="QPD7" s="254"/>
      <c r="QPE7" s="254"/>
      <c r="QPF7" s="254"/>
      <c r="QPG7" s="254"/>
      <c r="QPH7" s="254"/>
      <c r="QPI7" s="254"/>
      <c r="QPJ7" s="254"/>
      <c r="QPK7" s="254"/>
      <c r="QPL7" s="254"/>
      <c r="QPM7" s="254"/>
      <c r="QPN7" s="254"/>
      <c r="QPO7" s="254"/>
      <c r="QPP7" s="254"/>
      <c r="QPQ7" s="254"/>
      <c r="QPR7" s="254"/>
      <c r="QPS7" s="254"/>
      <c r="QPT7" s="254"/>
      <c r="QPU7" s="254"/>
      <c r="QPV7" s="254"/>
      <c r="QPW7" s="254"/>
      <c r="QPX7" s="254"/>
      <c r="QPY7" s="254"/>
      <c r="QPZ7" s="254"/>
      <c r="QQA7" s="254"/>
      <c r="QQB7" s="254"/>
      <c r="QQC7" s="254"/>
      <c r="QQD7" s="254"/>
      <c r="QQE7" s="254"/>
      <c r="QQF7" s="254"/>
      <c r="QQG7" s="254"/>
      <c r="QQH7" s="254"/>
      <c r="QQI7" s="254"/>
      <c r="QQJ7" s="254"/>
      <c r="QQK7" s="254"/>
      <c r="QQL7" s="254"/>
      <c r="QQM7" s="254"/>
      <c r="QQN7" s="254"/>
      <c r="QQO7" s="254"/>
      <c r="QQP7" s="254"/>
      <c r="QQQ7" s="254"/>
      <c r="QQR7" s="254"/>
      <c r="QQS7" s="254"/>
      <c r="QQT7" s="254"/>
      <c r="QQU7" s="254"/>
      <c r="QQV7" s="254"/>
      <c r="QQW7" s="254"/>
      <c r="QQX7" s="254"/>
      <c r="QQY7" s="254"/>
      <c r="QQZ7" s="254"/>
      <c r="QRA7" s="254"/>
      <c r="QRB7" s="254"/>
      <c r="QRC7" s="254"/>
      <c r="QRD7" s="254"/>
      <c r="QRE7" s="254"/>
      <c r="QRF7" s="254"/>
      <c r="QRG7" s="254"/>
      <c r="QRH7" s="254"/>
      <c r="QRI7" s="254"/>
      <c r="QRJ7" s="254"/>
      <c r="QRK7" s="254"/>
      <c r="QRL7" s="254"/>
      <c r="QRM7" s="254"/>
      <c r="QRN7" s="254"/>
      <c r="QRO7" s="254"/>
      <c r="QRP7" s="254"/>
      <c r="QRQ7" s="254"/>
      <c r="QRR7" s="254"/>
      <c r="QRS7" s="254"/>
      <c r="QRT7" s="254"/>
      <c r="QRU7" s="254"/>
      <c r="QRV7" s="254"/>
      <c r="QRW7" s="254"/>
      <c r="QRX7" s="254"/>
      <c r="QRY7" s="254"/>
      <c r="QRZ7" s="254"/>
      <c r="QSA7" s="254"/>
      <c r="QSB7" s="254"/>
      <c r="QSC7" s="254"/>
      <c r="QSD7" s="254"/>
      <c r="QSE7" s="254"/>
      <c r="QSF7" s="254"/>
      <c r="QSG7" s="254"/>
      <c r="QSH7" s="254"/>
      <c r="QSI7" s="254"/>
      <c r="QSJ7" s="254"/>
      <c r="QSK7" s="254"/>
      <c r="QSL7" s="254"/>
      <c r="QSM7" s="254"/>
      <c r="QSN7" s="254"/>
      <c r="QSO7" s="254"/>
      <c r="QSP7" s="254"/>
      <c r="QSQ7" s="254"/>
      <c r="QSR7" s="254"/>
      <c r="QSS7" s="254"/>
      <c r="QST7" s="254"/>
      <c r="QSU7" s="254"/>
      <c r="QSV7" s="254"/>
      <c r="QSW7" s="254"/>
      <c r="QSX7" s="254"/>
      <c r="QSY7" s="254"/>
      <c r="QSZ7" s="254"/>
      <c r="QTA7" s="254"/>
      <c r="QTB7" s="254"/>
      <c r="QTC7" s="254"/>
      <c r="QTD7" s="254"/>
      <c r="QTE7" s="254"/>
      <c r="QTF7" s="254"/>
      <c r="QTG7" s="254"/>
      <c r="QTH7" s="254"/>
      <c r="QTI7" s="254"/>
      <c r="QTJ7" s="254"/>
      <c r="QTK7" s="254"/>
      <c r="QTL7" s="254"/>
      <c r="QTM7" s="254"/>
      <c r="QTN7" s="254"/>
      <c r="QTO7" s="254"/>
      <c r="QTP7" s="254"/>
      <c r="QTQ7" s="254"/>
      <c r="QTR7" s="254"/>
      <c r="QTS7" s="254"/>
      <c r="QTT7" s="254"/>
      <c r="QTU7" s="254"/>
      <c r="QTV7" s="254"/>
      <c r="QTW7" s="254"/>
      <c r="QTX7" s="254"/>
      <c r="QTY7" s="254"/>
      <c r="QTZ7" s="254"/>
      <c r="QUA7" s="254"/>
      <c r="QUB7" s="254"/>
      <c r="QUC7" s="254"/>
      <c r="QUD7" s="254"/>
      <c r="QUE7" s="254"/>
      <c r="QUF7" s="254"/>
      <c r="QUG7" s="254"/>
      <c r="QUH7" s="254"/>
      <c r="QUI7" s="254"/>
      <c r="QUJ7" s="254"/>
      <c r="QUK7" s="254"/>
      <c r="QUL7" s="254"/>
      <c r="QUM7" s="254"/>
      <c r="QUN7" s="254"/>
      <c r="QUO7" s="254"/>
      <c r="QUP7" s="254"/>
      <c r="QUQ7" s="254"/>
      <c r="QUR7" s="254"/>
      <c r="QUS7" s="254"/>
      <c r="QUT7" s="254"/>
      <c r="QUU7" s="254"/>
      <c r="QUV7" s="254"/>
      <c r="QUW7" s="254"/>
      <c r="QUX7" s="254"/>
      <c r="QUY7" s="254"/>
      <c r="QUZ7" s="254"/>
      <c r="QVA7" s="254"/>
      <c r="QVB7" s="254"/>
      <c r="QVC7" s="254"/>
      <c r="QVD7" s="254"/>
      <c r="QVE7" s="254"/>
      <c r="QVF7" s="254"/>
      <c r="QVG7" s="254"/>
      <c r="QVH7" s="254"/>
      <c r="QVI7" s="254"/>
      <c r="QVJ7" s="254"/>
      <c r="QVK7" s="254"/>
      <c r="QVL7" s="254"/>
      <c r="QVM7" s="254"/>
      <c r="QVN7" s="254"/>
      <c r="QVO7" s="254"/>
      <c r="QVP7" s="254"/>
      <c r="QVQ7" s="254"/>
      <c r="QVR7" s="254"/>
      <c r="QVS7" s="254"/>
      <c r="QVT7" s="254"/>
      <c r="QVU7" s="254"/>
      <c r="QVV7" s="254"/>
      <c r="QVW7" s="254"/>
      <c r="QVX7" s="254"/>
      <c r="QVY7" s="254"/>
      <c r="QVZ7" s="254"/>
      <c r="QWA7" s="254"/>
      <c r="QWB7" s="254"/>
      <c r="QWC7" s="254"/>
      <c r="QWD7" s="254"/>
      <c r="QWE7" s="254"/>
      <c r="QWF7" s="254"/>
      <c r="QWG7" s="254"/>
      <c r="QWH7" s="254"/>
      <c r="QWI7" s="254"/>
      <c r="QWJ7" s="254"/>
      <c r="QWK7" s="254"/>
      <c r="QWL7" s="254"/>
      <c r="QWM7" s="254"/>
      <c r="QWN7" s="254"/>
      <c r="QWO7" s="254"/>
      <c r="QWP7" s="254"/>
      <c r="QWQ7" s="254"/>
      <c r="QWR7" s="254"/>
      <c r="QWS7" s="254"/>
      <c r="QWT7" s="254"/>
      <c r="QWU7" s="254"/>
      <c r="QWV7" s="254"/>
      <c r="QWW7" s="254"/>
      <c r="QWX7" s="254"/>
      <c r="QWY7" s="254"/>
      <c r="QWZ7" s="254"/>
      <c r="QXA7" s="254"/>
      <c r="QXB7" s="254"/>
      <c r="QXC7" s="254"/>
      <c r="QXD7" s="254"/>
      <c r="QXE7" s="254"/>
      <c r="QXF7" s="254"/>
      <c r="QXG7" s="254"/>
      <c r="QXH7" s="254"/>
      <c r="QXI7" s="254"/>
      <c r="QXJ7" s="254"/>
      <c r="QXK7" s="254"/>
      <c r="QXL7" s="254"/>
      <c r="QXM7" s="254"/>
      <c r="QXN7" s="254"/>
      <c r="QXO7" s="254"/>
      <c r="QXP7" s="254"/>
      <c r="QXQ7" s="254"/>
      <c r="QXR7" s="254"/>
      <c r="QXS7" s="254"/>
      <c r="QXT7" s="254"/>
      <c r="QXU7" s="254"/>
      <c r="QXV7" s="254"/>
      <c r="QXW7" s="254"/>
      <c r="QXX7" s="254"/>
      <c r="QXY7" s="254"/>
      <c r="QXZ7" s="254"/>
      <c r="QYA7" s="254"/>
      <c r="QYB7" s="254"/>
      <c r="QYC7" s="254"/>
      <c r="QYD7" s="254"/>
      <c r="QYE7" s="254"/>
      <c r="QYF7" s="254"/>
      <c r="QYG7" s="254"/>
      <c r="QYH7" s="254"/>
      <c r="QYI7" s="254"/>
      <c r="QYJ7" s="254"/>
      <c r="QYK7" s="254"/>
      <c r="QYL7" s="254"/>
      <c r="QYM7" s="254"/>
      <c r="QYN7" s="254"/>
      <c r="QYO7" s="254"/>
      <c r="QYP7" s="254"/>
      <c r="QYQ7" s="254"/>
      <c r="QYR7" s="254"/>
      <c r="QYS7" s="254"/>
      <c r="QYT7" s="254"/>
      <c r="QYU7" s="254"/>
      <c r="QYV7" s="254"/>
      <c r="QYW7" s="254"/>
      <c r="QYX7" s="254"/>
      <c r="QYY7" s="254"/>
      <c r="QYZ7" s="254"/>
      <c r="QZA7" s="254"/>
      <c r="QZB7" s="254"/>
      <c r="QZC7" s="254"/>
      <c r="QZD7" s="254"/>
      <c r="QZE7" s="254"/>
      <c r="QZF7" s="254"/>
      <c r="QZG7" s="254"/>
      <c r="QZH7" s="254"/>
      <c r="QZI7" s="254"/>
      <c r="QZJ7" s="254"/>
      <c r="QZK7" s="254"/>
      <c r="QZL7" s="254"/>
      <c r="QZM7" s="254"/>
      <c r="QZN7" s="254"/>
      <c r="QZO7" s="254"/>
      <c r="QZP7" s="254"/>
      <c r="QZQ7" s="254"/>
      <c r="QZR7" s="254"/>
      <c r="QZS7" s="254"/>
      <c r="QZT7" s="254"/>
      <c r="QZU7" s="254"/>
      <c r="QZV7" s="254"/>
      <c r="QZW7" s="254"/>
      <c r="QZX7" s="254"/>
      <c r="QZY7" s="254"/>
      <c r="QZZ7" s="254"/>
      <c r="RAA7" s="254"/>
      <c r="RAB7" s="254"/>
      <c r="RAC7" s="254"/>
      <c r="RAD7" s="254"/>
      <c r="RAE7" s="254"/>
      <c r="RAF7" s="254"/>
      <c r="RAG7" s="254"/>
      <c r="RAH7" s="254"/>
      <c r="RAI7" s="254"/>
      <c r="RAJ7" s="254"/>
      <c r="RAK7" s="254"/>
      <c r="RAL7" s="254"/>
      <c r="RAM7" s="254"/>
      <c r="RAN7" s="254"/>
      <c r="RAO7" s="254"/>
      <c r="RAP7" s="254"/>
      <c r="RAQ7" s="254"/>
      <c r="RAR7" s="254"/>
      <c r="RAS7" s="254"/>
      <c r="RAT7" s="254"/>
      <c r="RAU7" s="254"/>
      <c r="RAV7" s="254"/>
      <c r="RAW7" s="254"/>
      <c r="RAX7" s="254"/>
      <c r="RAY7" s="254"/>
      <c r="RAZ7" s="254"/>
      <c r="RBA7" s="254"/>
      <c r="RBB7" s="254"/>
      <c r="RBC7" s="254"/>
      <c r="RBD7" s="254"/>
      <c r="RBE7" s="254"/>
      <c r="RBF7" s="254"/>
      <c r="RBG7" s="254"/>
      <c r="RBH7" s="254"/>
      <c r="RBI7" s="254"/>
      <c r="RBJ7" s="254"/>
      <c r="RBK7" s="254"/>
      <c r="RBL7" s="254"/>
      <c r="RBM7" s="254"/>
      <c r="RBN7" s="254"/>
      <c r="RBO7" s="254"/>
      <c r="RBP7" s="254"/>
      <c r="RBQ7" s="254"/>
      <c r="RBR7" s="254"/>
      <c r="RBS7" s="254"/>
      <c r="RBT7" s="254"/>
      <c r="RBU7" s="254"/>
      <c r="RBV7" s="254"/>
      <c r="RBW7" s="254"/>
      <c r="RBX7" s="254"/>
      <c r="RBY7" s="254"/>
      <c r="RBZ7" s="254"/>
      <c r="RCA7" s="254"/>
      <c r="RCB7" s="254"/>
      <c r="RCC7" s="254"/>
      <c r="RCD7" s="254"/>
      <c r="RCE7" s="254"/>
      <c r="RCF7" s="254"/>
      <c r="RCG7" s="254"/>
      <c r="RCH7" s="254"/>
      <c r="RCI7" s="254"/>
      <c r="RCJ7" s="254"/>
      <c r="RCK7" s="254"/>
      <c r="RCL7" s="254"/>
      <c r="RCM7" s="254"/>
      <c r="RCN7" s="254"/>
      <c r="RCO7" s="254"/>
      <c r="RCP7" s="254"/>
      <c r="RCQ7" s="254"/>
      <c r="RCR7" s="254"/>
      <c r="RCS7" s="254"/>
      <c r="RCT7" s="254"/>
      <c r="RCU7" s="254"/>
      <c r="RCV7" s="254"/>
      <c r="RCW7" s="254"/>
      <c r="RCX7" s="254"/>
      <c r="RCY7" s="254"/>
      <c r="RCZ7" s="254"/>
      <c r="RDA7" s="254"/>
      <c r="RDB7" s="254"/>
      <c r="RDC7" s="254"/>
      <c r="RDD7" s="254"/>
      <c r="RDE7" s="254"/>
      <c r="RDF7" s="254"/>
      <c r="RDG7" s="254"/>
      <c r="RDH7" s="254"/>
      <c r="RDI7" s="254"/>
      <c r="RDJ7" s="254"/>
      <c r="RDK7" s="254"/>
      <c r="RDL7" s="254"/>
      <c r="RDM7" s="254"/>
      <c r="RDN7" s="254"/>
      <c r="RDO7" s="254"/>
      <c r="RDP7" s="254"/>
      <c r="RDQ7" s="254"/>
      <c r="RDR7" s="254"/>
      <c r="RDS7" s="254"/>
      <c r="RDT7" s="254"/>
      <c r="RDU7" s="254"/>
      <c r="RDV7" s="254"/>
      <c r="RDW7" s="254"/>
      <c r="RDX7" s="254"/>
      <c r="RDY7" s="254"/>
      <c r="RDZ7" s="254"/>
      <c r="REA7" s="254"/>
      <c r="REB7" s="254"/>
      <c r="REC7" s="254"/>
      <c r="RED7" s="254"/>
      <c r="REE7" s="254"/>
      <c r="REF7" s="254"/>
      <c r="REG7" s="254"/>
      <c r="REH7" s="254"/>
      <c r="REI7" s="254"/>
      <c r="REJ7" s="254"/>
      <c r="REK7" s="254"/>
      <c r="REL7" s="254"/>
      <c r="REM7" s="254"/>
      <c r="REN7" s="254"/>
      <c r="REO7" s="254"/>
      <c r="REP7" s="254"/>
      <c r="REQ7" s="254"/>
      <c r="RER7" s="254"/>
      <c r="RES7" s="254"/>
      <c r="RET7" s="254"/>
      <c r="REU7" s="254"/>
      <c r="REV7" s="254"/>
      <c r="REW7" s="254"/>
      <c r="REX7" s="254"/>
      <c r="REY7" s="254"/>
      <c r="REZ7" s="254"/>
      <c r="RFA7" s="254"/>
      <c r="RFB7" s="254"/>
      <c r="RFC7" s="254"/>
      <c r="RFD7" s="254"/>
      <c r="RFE7" s="254"/>
      <c r="RFF7" s="254"/>
      <c r="RFG7" s="254"/>
      <c r="RFH7" s="254"/>
      <c r="RFI7" s="254"/>
      <c r="RFJ7" s="254"/>
      <c r="RFK7" s="254"/>
      <c r="RFL7" s="254"/>
      <c r="RFM7" s="254"/>
      <c r="RFN7" s="254"/>
      <c r="RFO7" s="254"/>
      <c r="RFP7" s="254"/>
      <c r="RFQ7" s="254"/>
      <c r="RFR7" s="254"/>
      <c r="RFS7" s="254"/>
      <c r="RFT7" s="254"/>
      <c r="RFU7" s="254"/>
      <c r="RFV7" s="254"/>
      <c r="RFW7" s="254"/>
      <c r="RFX7" s="254"/>
      <c r="RFY7" s="254"/>
      <c r="RFZ7" s="254"/>
      <c r="RGA7" s="254"/>
      <c r="RGB7" s="254"/>
      <c r="RGC7" s="254"/>
      <c r="RGD7" s="254"/>
      <c r="RGE7" s="254"/>
      <c r="RGF7" s="254"/>
      <c r="RGG7" s="254"/>
      <c r="RGH7" s="254"/>
      <c r="RGI7" s="254"/>
      <c r="RGJ7" s="254"/>
      <c r="RGK7" s="254"/>
      <c r="RGL7" s="254"/>
      <c r="RGM7" s="254"/>
      <c r="RGN7" s="254"/>
      <c r="RGO7" s="254"/>
      <c r="RGP7" s="254"/>
      <c r="RGQ7" s="254"/>
      <c r="RGR7" s="254"/>
      <c r="RGS7" s="254"/>
      <c r="RGT7" s="254"/>
      <c r="RGU7" s="254"/>
      <c r="RGV7" s="254"/>
      <c r="RGW7" s="254"/>
      <c r="RGX7" s="254"/>
      <c r="RGY7" s="254"/>
      <c r="RGZ7" s="254"/>
      <c r="RHA7" s="254"/>
      <c r="RHB7" s="254"/>
      <c r="RHC7" s="254"/>
      <c r="RHD7" s="254"/>
      <c r="RHE7" s="254"/>
      <c r="RHF7" s="254"/>
      <c r="RHG7" s="254"/>
      <c r="RHH7" s="254"/>
      <c r="RHI7" s="254"/>
      <c r="RHJ7" s="254"/>
      <c r="RHK7" s="254"/>
      <c r="RHL7" s="254"/>
      <c r="RHM7" s="254"/>
      <c r="RHN7" s="254"/>
      <c r="RHO7" s="254"/>
      <c r="RHP7" s="254"/>
      <c r="RHQ7" s="254"/>
      <c r="RHR7" s="254"/>
      <c r="RHS7" s="254"/>
      <c r="RHT7" s="254"/>
      <c r="RHU7" s="254"/>
      <c r="RHV7" s="254"/>
      <c r="RHW7" s="254"/>
      <c r="RHX7" s="254"/>
      <c r="RHY7" s="254"/>
      <c r="RHZ7" s="254"/>
      <c r="RIA7" s="254"/>
      <c r="RIB7" s="254"/>
      <c r="RIC7" s="254"/>
      <c r="RID7" s="254"/>
      <c r="RIE7" s="254"/>
      <c r="RIF7" s="254"/>
      <c r="RIG7" s="254"/>
      <c r="RIH7" s="254"/>
      <c r="RII7" s="254"/>
      <c r="RIJ7" s="254"/>
      <c r="RIK7" s="254"/>
      <c r="RIL7" s="254"/>
      <c r="RIM7" s="254"/>
      <c r="RIN7" s="254"/>
      <c r="RIO7" s="254"/>
      <c r="RIP7" s="254"/>
      <c r="RIQ7" s="254"/>
      <c r="RIR7" s="254"/>
      <c r="RIS7" s="254"/>
      <c r="RIT7" s="254"/>
      <c r="RIU7" s="254"/>
      <c r="RIV7" s="254"/>
      <c r="RIW7" s="254"/>
      <c r="RIX7" s="254"/>
      <c r="RIY7" s="254"/>
      <c r="RIZ7" s="254"/>
      <c r="RJA7" s="254"/>
      <c r="RJB7" s="254"/>
      <c r="RJC7" s="254"/>
      <c r="RJD7" s="254"/>
      <c r="RJE7" s="254"/>
      <c r="RJF7" s="254"/>
      <c r="RJG7" s="254"/>
      <c r="RJH7" s="254"/>
      <c r="RJI7" s="254"/>
      <c r="RJJ7" s="254"/>
      <c r="RJK7" s="254"/>
      <c r="RJL7" s="254"/>
      <c r="RJM7" s="254"/>
      <c r="RJN7" s="254"/>
      <c r="RJO7" s="254"/>
      <c r="RJP7" s="254"/>
      <c r="RJQ7" s="254"/>
      <c r="RJR7" s="254"/>
      <c r="RJS7" s="254"/>
      <c r="RJT7" s="254"/>
      <c r="RJU7" s="254"/>
      <c r="RJV7" s="254"/>
      <c r="RJW7" s="254"/>
      <c r="RJX7" s="254"/>
      <c r="RJY7" s="254"/>
      <c r="RJZ7" s="254"/>
      <c r="RKA7" s="254"/>
      <c r="RKB7" s="254"/>
      <c r="RKC7" s="254"/>
      <c r="RKD7" s="254"/>
      <c r="RKE7" s="254"/>
      <c r="RKF7" s="254"/>
      <c r="RKG7" s="254"/>
      <c r="RKH7" s="254"/>
      <c r="RKI7" s="254"/>
      <c r="RKJ7" s="254"/>
      <c r="RKK7" s="254"/>
      <c r="RKL7" s="254"/>
      <c r="RKM7" s="254"/>
      <c r="RKN7" s="254"/>
      <c r="RKO7" s="254"/>
      <c r="RKP7" s="254"/>
      <c r="RKQ7" s="254"/>
      <c r="RKR7" s="254"/>
      <c r="RKS7" s="254"/>
      <c r="RKT7" s="254"/>
      <c r="RKU7" s="254"/>
      <c r="RKV7" s="254"/>
      <c r="RKW7" s="254"/>
      <c r="RKX7" s="254"/>
      <c r="RKY7" s="254"/>
      <c r="RKZ7" s="254"/>
      <c r="RLA7" s="254"/>
      <c r="RLB7" s="254"/>
      <c r="RLC7" s="254"/>
      <c r="RLD7" s="254"/>
      <c r="RLE7" s="254"/>
      <c r="RLF7" s="254"/>
      <c r="RLG7" s="254"/>
      <c r="RLH7" s="254"/>
      <c r="RLI7" s="254"/>
      <c r="RLJ7" s="254"/>
      <c r="RLK7" s="254"/>
      <c r="RLL7" s="254"/>
      <c r="RLM7" s="254"/>
      <c r="RLN7" s="254"/>
      <c r="RLO7" s="254"/>
      <c r="RLP7" s="254"/>
      <c r="RLQ7" s="254"/>
      <c r="RLR7" s="254"/>
      <c r="RLS7" s="254"/>
      <c r="RLT7" s="254"/>
      <c r="RLU7" s="254"/>
      <c r="RLV7" s="254"/>
      <c r="RLW7" s="254"/>
      <c r="RLX7" s="254"/>
      <c r="RLY7" s="254"/>
      <c r="RLZ7" s="254"/>
      <c r="RMA7" s="254"/>
      <c r="RMB7" s="254"/>
      <c r="RMC7" s="254"/>
      <c r="RMD7" s="254"/>
      <c r="RME7" s="254"/>
      <c r="RMF7" s="254"/>
      <c r="RMG7" s="254"/>
      <c r="RMH7" s="254"/>
      <c r="RMI7" s="254"/>
      <c r="RMJ7" s="254"/>
      <c r="RMK7" s="254"/>
      <c r="RML7" s="254"/>
      <c r="RMM7" s="254"/>
      <c r="RMN7" s="254"/>
      <c r="RMO7" s="254"/>
      <c r="RMP7" s="254"/>
      <c r="RMQ7" s="254"/>
      <c r="RMR7" s="254"/>
      <c r="RMS7" s="254"/>
      <c r="RMT7" s="254"/>
      <c r="RMU7" s="254"/>
      <c r="RMV7" s="254"/>
      <c r="RMW7" s="254"/>
      <c r="RMX7" s="254"/>
      <c r="RMY7" s="254"/>
      <c r="RMZ7" s="254"/>
      <c r="RNA7" s="254"/>
      <c r="RNB7" s="254"/>
      <c r="RNC7" s="254"/>
      <c r="RND7" s="254"/>
      <c r="RNE7" s="254"/>
      <c r="RNF7" s="254"/>
      <c r="RNG7" s="254"/>
      <c r="RNH7" s="254"/>
      <c r="RNI7" s="254"/>
      <c r="RNJ7" s="254"/>
      <c r="RNK7" s="254"/>
      <c r="RNL7" s="254"/>
      <c r="RNM7" s="254"/>
      <c r="RNN7" s="254"/>
      <c r="RNO7" s="254"/>
      <c r="RNP7" s="254"/>
      <c r="RNQ7" s="254"/>
      <c r="RNR7" s="254"/>
      <c r="RNS7" s="254"/>
      <c r="RNT7" s="254"/>
      <c r="RNU7" s="254"/>
      <c r="RNV7" s="254"/>
      <c r="RNW7" s="254"/>
      <c r="RNX7" s="254"/>
      <c r="RNY7" s="254"/>
      <c r="RNZ7" s="254"/>
      <c r="ROA7" s="254"/>
      <c r="ROB7" s="254"/>
      <c r="ROC7" s="254"/>
      <c r="ROD7" s="254"/>
      <c r="ROE7" s="254"/>
      <c r="ROF7" s="254"/>
      <c r="ROG7" s="254"/>
      <c r="ROH7" s="254"/>
      <c r="ROI7" s="254"/>
      <c r="ROJ7" s="254"/>
      <c r="ROK7" s="254"/>
      <c r="ROL7" s="254"/>
      <c r="ROM7" s="254"/>
      <c r="RON7" s="254"/>
      <c r="ROO7" s="254"/>
      <c r="ROP7" s="254"/>
      <c r="ROQ7" s="254"/>
      <c r="ROR7" s="254"/>
      <c r="ROS7" s="254"/>
      <c r="ROT7" s="254"/>
      <c r="ROU7" s="254"/>
      <c r="ROV7" s="254"/>
      <c r="ROW7" s="254"/>
      <c r="ROX7" s="254"/>
      <c r="ROY7" s="254"/>
      <c r="ROZ7" s="254"/>
      <c r="RPA7" s="254"/>
      <c r="RPB7" s="254"/>
      <c r="RPC7" s="254"/>
      <c r="RPD7" s="254"/>
      <c r="RPE7" s="254"/>
      <c r="RPF7" s="254"/>
      <c r="RPG7" s="254"/>
      <c r="RPH7" s="254"/>
      <c r="RPI7" s="254"/>
      <c r="RPJ7" s="254"/>
      <c r="RPK7" s="254"/>
      <c r="RPL7" s="254"/>
      <c r="RPM7" s="254"/>
      <c r="RPN7" s="254"/>
      <c r="RPO7" s="254"/>
      <c r="RPP7" s="254"/>
      <c r="RPQ7" s="254"/>
      <c r="RPR7" s="254"/>
      <c r="RPS7" s="254"/>
      <c r="RPT7" s="254"/>
      <c r="RPU7" s="254"/>
      <c r="RPV7" s="254"/>
      <c r="RPW7" s="254"/>
      <c r="RPX7" s="254"/>
      <c r="RPY7" s="254"/>
      <c r="RPZ7" s="254"/>
      <c r="RQA7" s="254"/>
      <c r="RQB7" s="254"/>
      <c r="RQC7" s="254"/>
      <c r="RQD7" s="254"/>
      <c r="RQE7" s="254"/>
      <c r="RQF7" s="254"/>
      <c r="RQG7" s="254"/>
      <c r="RQH7" s="254"/>
      <c r="RQI7" s="254"/>
      <c r="RQJ7" s="254"/>
      <c r="RQK7" s="254"/>
      <c r="RQL7" s="254"/>
      <c r="RQM7" s="254"/>
      <c r="RQN7" s="254"/>
      <c r="RQO7" s="254"/>
      <c r="RQP7" s="254"/>
      <c r="RQQ7" s="254"/>
      <c r="RQR7" s="254"/>
      <c r="RQS7" s="254"/>
      <c r="RQT7" s="254"/>
      <c r="RQU7" s="254"/>
      <c r="RQV7" s="254"/>
      <c r="RQW7" s="254"/>
      <c r="RQX7" s="254"/>
      <c r="RQY7" s="254"/>
      <c r="RQZ7" s="254"/>
      <c r="RRA7" s="254"/>
      <c r="RRB7" s="254"/>
      <c r="RRC7" s="254"/>
      <c r="RRD7" s="254"/>
      <c r="RRE7" s="254"/>
      <c r="RRF7" s="254"/>
      <c r="RRG7" s="254"/>
      <c r="RRH7" s="254"/>
      <c r="RRI7" s="254"/>
      <c r="RRJ7" s="254"/>
      <c r="RRK7" s="254"/>
      <c r="RRL7" s="254"/>
      <c r="RRM7" s="254"/>
      <c r="RRN7" s="254"/>
      <c r="RRO7" s="254"/>
      <c r="RRP7" s="254"/>
      <c r="RRQ7" s="254"/>
      <c r="RRR7" s="254"/>
      <c r="RRS7" s="254"/>
      <c r="RRT7" s="254"/>
      <c r="RRU7" s="254"/>
      <c r="RRV7" s="254"/>
      <c r="RRW7" s="254"/>
      <c r="RRX7" s="254"/>
      <c r="RRY7" s="254"/>
      <c r="RRZ7" s="254"/>
      <c r="RSA7" s="254"/>
      <c r="RSB7" s="254"/>
      <c r="RSC7" s="254"/>
      <c r="RSD7" s="254"/>
      <c r="RSE7" s="254"/>
      <c r="RSF7" s="254"/>
      <c r="RSG7" s="254"/>
      <c r="RSH7" s="254"/>
      <c r="RSI7" s="254"/>
      <c r="RSJ7" s="254"/>
      <c r="RSK7" s="254"/>
      <c r="RSL7" s="254"/>
      <c r="RSM7" s="254"/>
      <c r="RSN7" s="254"/>
      <c r="RSO7" s="254"/>
      <c r="RSP7" s="254"/>
      <c r="RSQ7" s="254"/>
      <c r="RSR7" s="254"/>
      <c r="RSS7" s="254"/>
      <c r="RST7" s="254"/>
      <c r="RSU7" s="254"/>
      <c r="RSV7" s="254"/>
      <c r="RSW7" s="254"/>
      <c r="RSX7" s="254"/>
      <c r="RSY7" s="254"/>
      <c r="RSZ7" s="254"/>
      <c r="RTA7" s="254"/>
      <c r="RTB7" s="254"/>
      <c r="RTC7" s="254"/>
      <c r="RTD7" s="254"/>
      <c r="RTE7" s="254"/>
      <c r="RTF7" s="254"/>
      <c r="RTG7" s="254"/>
      <c r="RTH7" s="254"/>
      <c r="RTI7" s="254"/>
      <c r="RTJ7" s="254"/>
      <c r="RTK7" s="254"/>
      <c r="RTL7" s="254"/>
      <c r="RTM7" s="254"/>
      <c r="RTN7" s="254"/>
      <c r="RTO7" s="254"/>
      <c r="RTP7" s="254"/>
      <c r="RTQ7" s="254"/>
      <c r="RTR7" s="254"/>
      <c r="RTS7" s="254"/>
      <c r="RTT7" s="254"/>
      <c r="RTU7" s="254"/>
      <c r="RTV7" s="254"/>
      <c r="RTW7" s="254"/>
      <c r="RTX7" s="254"/>
      <c r="RTY7" s="254"/>
      <c r="RTZ7" s="254"/>
      <c r="RUA7" s="254"/>
      <c r="RUB7" s="254"/>
      <c r="RUC7" s="254"/>
      <c r="RUD7" s="254"/>
      <c r="RUE7" s="254"/>
      <c r="RUF7" s="254"/>
      <c r="RUG7" s="254"/>
      <c r="RUH7" s="254"/>
      <c r="RUI7" s="254"/>
      <c r="RUJ7" s="254"/>
      <c r="RUK7" s="254"/>
      <c r="RUL7" s="254"/>
      <c r="RUM7" s="254"/>
      <c r="RUN7" s="254"/>
      <c r="RUO7" s="254"/>
      <c r="RUP7" s="254"/>
      <c r="RUQ7" s="254"/>
      <c r="RUR7" s="254"/>
      <c r="RUS7" s="254"/>
      <c r="RUT7" s="254"/>
      <c r="RUU7" s="254"/>
      <c r="RUV7" s="254"/>
      <c r="RUW7" s="254"/>
      <c r="RUX7" s="254"/>
      <c r="RUY7" s="254"/>
      <c r="RUZ7" s="254"/>
      <c r="RVA7" s="254"/>
      <c r="RVB7" s="254"/>
      <c r="RVC7" s="254"/>
      <c r="RVD7" s="254"/>
      <c r="RVE7" s="254"/>
      <c r="RVF7" s="254"/>
      <c r="RVG7" s="254"/>
      <c r="RVH7" s="254"/>
      <c r="RVI7" s="254"/>
      <c r="RVJ7" s="254"/>
      <c r="RVK7" s="254"/>
      <c r="RVL7" s="254"/>
      <c r="RVM7" s="254"/>
      <c r="RVN7" s="254"/>
      <c r="RVO7" s="254"/>
      <c r="RVP7" s="254"/>
      <c r="RVQ7" s="254"/>
      <c r="RVR7" s="254"/>
      <c r="RVS7" s="254"/>
      <c r="RVT7" s="254"/>
      <c r="RVU7" s="254"/>
      <c r="RVV7" s="254"/>
      <c r="RVW7" s="254"/>
      <c r="RVX7" s="254"/>
      <c r="RVY7" s="254"/>
      <c r="RVZ7" s="254"/>
      <c r="RWA7" s="254"/>
      <c r="RWB7" s="254"/>
      <c r="RWC7" s="254"/>
      <c r="RWD7" s="254"/>
      <c r="RWE7" s="254"/>
      <c r="RWF7" s="254"/>
      <c r="RWG7" s="254"/>
      <c r="RWH7" s="254"/>
      <c r="RWI7" s="254"/>
      <c r="RWJ7" s="254"/>
      <c r="RWK7" s="254"/>
      <c r="RWL7" s="254"/>
      <c r="RWM7" s="254"/>
      <c r="RWN7" s="254"/>
      <c r="RWO7" s="254"/>
      <c r="RWP7" s="254"/>
      <c r="RWQ7" s="254"/>
      <c r="RWR7" s="254"/>
      <c r="RWS7" s="254"/>
      <c r="RWT7" s="254"/>
      <c r="RWU7" s="254"/>
      <c r="RWV7" s="254"/>
      <c r="RWW7" s="254"/>
      <c r="RWX7" s="254"/>
      <c r="RWY7" s="254"/>
      <c r="RWZ7" s="254"/>
      <c r="RXA7" s="254"/>
      <c r="RXB7" s="254"/>
      <c r="RXC7" s="254"/>
      <c r="RXD7" s="254"/>
      <c r="RXE7" s="254"/>
      <c r="RXF7" s="254"/>
      <c r="RXG7" s="254"/>
      <c r="RXH7" s="254"/>
      <c r="RXI7" s="254"/>
      <c r="RXJ7" s="254"/>
      <c r="RXK7" s="254"/>
      <c r="RXL7" s="254"/>
      <c r="RXM7" s="254"/>
      <c r="RXN7" s="254"/>
      <c r="RXO7" s="254"/>
      <c r="RXP7" s="254"/>
      <c r="RXQ7" s="254"/>
      <c r="RXR7" s="254"/>
      <c r="RXS7" s="254"/>
      <c r="RXT7" s="254"/>
      <c r="RXU7" s="254"/>
      <c r="RXV7" s="254"/>
      <c r="RXW7" s="254"/>
      <c r="RXX7" s="254"/>
      <c r="RXY7" s="254"/>
      <c r="RXZ7" s="254"/>
      <c r="RYA7" s="254"/>
      <c r="RYB7" s="254"/>
      <c r="RYC7" s="254"/>
      <c r="RYD7" s="254"/>
      <c r="RYE7" s="254"/>
      <c r="RYF7" s="254"/>
      <c r="RYG7" s="254"/>
      <c r="RYH7" s="254"/>
      <c r="RYI7" s="254"/>
      <c r="RYJ7" s="254"/>
      <c r="RYK7" s="254"/>
      <c r="RYL7" s="254"/>
      <c r="RYM7" s="254"/>
      <c r="RYN7" s="254"/>
      <c r="RYO7" s="254"/>
      <c r="RYP7" s="254"/>
      <c r="RYQ7" s="254"/>
      <c r="RYR7" s="254"/>
      <c r="RYS7" s="254"/>
      <c r="RYT7" s="254"/>
      <c r="RYU7" s="254"/>
      <c r="RYV7" s="254"/>
      <c r="RYW7" s="254"/>
      <c r="RYX7" s="254"/>
      <c r="RYY7" s="254"/>
      <c r="RYZ7" s="254"/>
      <c r="RZA7" s="254"/>
      <c r="RZB7" s="254"/>
      <c r="RZC7" s="254"/>
      <c r="RZD7" s="254"/>
      <c r="RZE7" s="254"/>
      <c r="RZF7" s="254"/>
      <c r="RZG7" s="254"/>
      <c r="RZH7" s="254"/>
      <c r="RZI7" s="254"/>
      <c r="RZJ7" s="254"/>
      <c r="RZK7" s="254"/>
      <c r="RZL7" s="254"/>
      <c r="RZM7" s="254"/>
      <c r="RZN7" s="254"/>
      <c r="RZO7" s="254"/>
      <c r="RZP7" s="254"/>
      <c r="RZQ7" s="254"/>
      <c r="RZR7" s="254"/>
      <c r="RZS7" s="254"/>
      <c r="RZT7" s="254"/>
      <c r="RZU7" s="254"/>
      <c r="RZV7" s="254"/>
      <c r="RZW7" s="254"/>
      <c r="RZX7" s="254"/>
      <c r="RZY7" s="254"/>
      <c r="RZZ7" s="254"/>
      <c r="SAA7" s="254"/>
      <c r="SAB7" s="254"/>
      <c r="SAC7" s="254"/>
      <c r="SAD7" s="254"/>
      <c r="SAE7" s="254"/>
      <c r="SAF7" s="254"/>
      <c r="SAG7" s="254"/>
      <c r="SAH7" s="254"/>
      <c r="SAI7" s="254"/>
      <c r="SAJ7" s="254"/>
      <c r="SAK7" s="254"/>
      <c r="SAL7" s="254"/>
      <c r="SAM7" s="254"/>
      <c r="SAN7" s="254"/>
      <c r="SAO7" s="254"/>
      <c r="SAP7" s="254"/>
      <c r="SAQ7" s="254"/>
      <c r="SAR7" s="254"/>
      <c r="SAS7" s="254"/>
      <c r="SAT7" s="254"/>
      <c r="SAU7" s="254"/>
      <c r="SAV7" s="254"/>
      <c r="SAW7" s="254"/>
      <c r="SAX7" s="254"/>
      <c r="SAY7" s="254"/>
      <c r="SAZ7" s="254"/>
      <c r="SBA7" s="254"/>
      <c r="SBB7" s="254"/>
      <c r="SBC7" s="254"/>
      <c r="SBD7" s="254"/>
      <c r="SBE7" s="254"/>
      <c r="SBF7" s="254"/>
      <c r="SBG7" s="254"/>
      <c r="SBH7" s="254"/>
      <c r="SBI7" s="254"/>
      <c r="SBJ7" s="254"/>
      <c r="SBK7" s="254"/>
      <c r="SBL7" s="254"/>
      <c r="SBM7" s="254"/>
      <c r="SBN7" s="254"/>
      <c r="SBO7" s="254"/>
      <c r="SBP7" s="254"/>
      <c r="SBQ7" s="254"/>
      <c r="SBR7" s="254"/>
      <c r="SBS7" s="254"/>
      <c r="SBT7" s="254"/>
      <c r="SBU7" s="254"/>
      <c r="SBV7" s="254"/>
      <c r="SBW7" s="254"/>
      <c r="SBX7" s="254"/>
      <c r="SBY7" s="254"/>
      <c r="SBZ7" s="254"/>
      <c r="SCA7" s="254"/>
      <c r="SCB7" s="254"/>
      <c r="SCC7" s="254"/>
      <c r="SCD7" s="254"/>
      <c r="SCE7" s="254"/>
      <c r="SCF7" s="254"/>
      <c r="SCG7" s="254"/>
      <c r="SCH7" s="254"/>
      <c r="SCI7" s="254"/>
      <c r="SCJ7" s="254"/>
      <c r="SCK7" s="254"/>
      <c r="SCL7" s="254"/>
      <c r="SCM7" s="254"/>
      <c r="SCN7" s="254"/>
      <c r="SCO7" s="254"/>
      <c r="SCP7" s="254"/>
      <c r="SCQ7" s="254"/>
      <c r="SCR7" s="254"/>
      <c r="SCS7" s="254"/>
      <c r="SCT7" s="254"/>
      <c r="SCU7" s="254"/>
      <c r="SCV7" s="254"/>
      <c r="SCW7" s="254"/>
      <c r="SCX7" s="254"/>
      <c r="SCY7" s="254"/>
      <c r="SCZ7" s="254"/>
      <c r="SDA7" s="254"/>
      <c r="SDB7" s="254"/>
      <c r="SDC7" s="254"/>
      <c r="SDD7" s="254"/>
      <c r="SDE7" s="254"/>
      <c r="SDF7" s="254"/>
      <c r="SDG7" s="254"/>
      <c r="SDH7" s="254"/>
      <c r="SDI7" s="254"/>
      <c r="SDJ7" s="254"/>
      <c r="SDK7" s="254"/>
      <c r="SDL7" s="254"/>
      <c r="SDM7" s="254"/>
      <c r="SDN7" s="254"/>
      <c r="SDO7" s="254"/>
      <c r="SDP7" s="254"/>
      <c r="SDQ7" s="254"/>
      <c r="SDR7" s="254"/>
      <c r="SDS7" s="254"/>
      <c r="SDT7" s="254"/>
      <c r="SDU7" s="254"/>
      <c r="SDV7" s="254"/>
      <c r="SDW7" s="254"/>
      <c r="SDX7" s="254"/>
      <c r="SDY7" s="254"/>
      <c r="SDZ7" s="254"/>
      <c r="SEA7" s="254"/>
      <c r="SEB7" s="254"/>
      <c r="SEC7" s="254"/>
      <c r="SED7" s="254"/>
      <c r="SEE7" s="254"/>
      <c r="SEF7" s="254"/>
      <c r="SEG7" s="254"/>
      <c r="SEH7" s="254"/>
      <c r="SEI7" s="254"/>
      <c r="SEJ7" s="254"/>
      <c r="SEK7" s="254"/>
      <c r="SEL7" s="254"/>
      <c r="SEM7" s="254"/>
      <c r="SEN7" s="254"/>
      <c r="SEO7" s="254"/>
      <c r="SEP7" s="254"/>
      <c r="SEQ7" s="254"/>
      <c r="SER7" s="254"/>
      <c r="SES7" s="254"/>
      <c r="SET7" s="254"/>
      <c r="SEU7" s="254"/>
      <c r="SEV7" s="254"/>
      <c r="SEW7" s="254"/>
      <c r="SEX7" s="254"/>
      <c r="SEY7" s="254"/>
      <c r="SEZ7" s="254"/>
      <c r="SFA7" s="254"/>
      <c r="SFB7" s="254"/>
      <c r="SFC7" s="254"/>
      <c r="SFD7" s="254"/>
      <c r="SFE7" s="254"/>
      <c r="SFF7" s="254"/>
      <c r="SFG7" s="254"/>
      <c r="SFH7" s="254"/>
      <c r="SFI7" s="254"/>
      <c r="SFJ7" s="254"/>
      <c r="SFK7" s="254"/>
      <c r="SFL7" s="254"/>
      <c r="SFM7" s="254"/>
      <c r="SFN7" s="254"/>
      <c r="SFO7" s="254"/>
      <c r="SFP7" s="254"/>
      <c r="SFQ7" s="254"/>
      <c r="SFR7" s="254"/>
      <c r="SFS7" s="254"/>
      <c r="SFT7" s="254"/>
      <c r="SFU7" s="254"/>
      <c r="SFV7" s="254"/>
      <c r="SFW7" s="254"/>
      <c r="SFX7" s="254"/>
      <c r="SFY7" s="254"/>
      <c r="SFZ7" s="254"/>
      <c r="SGA7" s="254"/>
      <c r="SGB7" s="254"/>
      <c r="SGC7" s="254"/>
      <c r="SGD7" s="254"/>
      <c r="SGE7" s="254"/>
      <c r="SGF7" s="254"/>
      <c r="SGG7" s="254"/>
      <c r="SGH7" s="254"/>
      <c r="SGI7" s="254"/>
      <c r="SGJ7" s="254"/>
      <c r="SGK7" s="254"/>
      <c r="SGL7" s="254"/>
      <c r="SGM7" s="254"/>
      <c r="SGN7" s="254"/>
      <c r="SGO7" s="254"/>
      <c r="SGP7" s="254"/>
      <c r="SGQ7" s="254"/>
      <c r="SGR7" s="254"/>
      <c r="SGS7" s="254"/>
      <c r="SGT7" s="254"/>
      <c r="SGU7" s="254"/>
      <c r="SGV7" s="254"/>
      <c r="SGW7" s="254"/>
      <c r="SGX7" s="254"/>
      <c r="SGY7" s="254"/>
      <c r="SGZ7" s="254"/>
      <c r="SHA7" s="254"/>
      <c r="SHB7" s="254"/>
      <c r="SHC7" s="254"/>
      <c r="SHD7" s="254"/>
      <c r="SHE7" s="254"/>
      <c r="SHF7" s="254"/>
      <c r="SHG7" s="254"/>
      <c r="SHH7" s="254"/>
      <c r="SHI7" s="254"/>
      <c r="SHJ7" s="254"/>
      <c r="SHK7" s="254"/>
      <c r="SHL7" s="254"/>
      <c r="SHM7" s="254"/>
      <c r="SHN7" s="254"/>
      <c r="SHO7" s="254"/>
      <c r="SHP7" s="254"/>
      <c r="SHQ7" s="254"/>
      <c r="SHR7" s="254"/>
      <c r="SHS7" s="254"/>
      <c r="SHT7" s="254"/>
      <c r="SHU7" s="254"/>
      <c r="SHV7" s="254"/>
      <c r="SHW7" s="254"/>
      <c r="SHX7" s="254"/>
      <c r="SHY7" s="254"/>
      <c r="SHZ7" s="254"/>
      <c r="SIA7" s="254"/>
      <c r="SIB7" s="254"/>
      <c r="SIC7" s="254"/>
      <c r="SID7" s="254"/>
      <c r="SIE7" s="254"/>
      <c r="SIF7" s="254"/>
      <c r="SIG7" s="254"/>
      <c r="SIH7" s="254"/>
      <c r="SII7" s="254"/>
      <c r="SIJ7" s="254"/>
      <c r="SIK7" s="254"/>
      <c r="SIL7" s="254"/>
      <c r="SIM7" s="254"/>
      <c r="SIN7" s="254"/>
      <c r="SIO7" s="254"/>
      <c r="SIP7" s="254"/>
      <c r="SIQ7" s="254"/>
      <c r="SIR7" s="254"/>
      <c r="SIS7" s="254"/>
      <c r="SIT7" s="254"/>
      <c r="SIU7" s="254"/>
      <c r="SIV7" s="254"/>
      <c r="SIW7" s="254"/>
      <c r="SIX7" s="254"/>
      <c r="SIY7" s="254"/>
      <c r="SIZ7" s="254"/>
      <c r="SJA7" s="254"/>
      <c r="SJB7" s="254"/>
      <c r="SJC7" s="254"/>
      <c r="SJD7" s="254"/>
      <c r="SJE7" s="254"/>
      <c r="SJF7" s="254"/>
      <c r="SJG7" s="254"/>
      <c r="SJH7" s="254"/>
      <c r="SJI7" s="254"/>
      <c r="SJJ7" s="254"/>
      <c r="SJK7" s="254"/>
      <c r="SJL7" s="254"/>
      <c r="SJM7" s="254"/>
      <c r="SJN7" s="254"/>
      <c r="SJO7" s="254"/>
      <c r="SJP7" s="254"/>
      <c r="SJQ7" s="254"/>
      <c r="SJR7" s="254"/>
      <c r="SJS7" s="254"/>
      <c r="SJT7" s="254"/>
      <c r="SJU7" s="254"/>
      <c r="SJV7" s="254"/>
      <c r="SJW7" s="254"/>
      <c r="SJX7" s="254"/>
      <c r="SJY7" s="254"/>
      <c r="SJZ7" s="254"/>
      <c r="SKA7" s="254"/>
      <c r="SKB7" s="254"/>
      <c r="SKC7" s="254"/>
      <c r="SKD7" s="254"/>
      <c r="SKE7" s="254"/>
      <c r="SKF7" s="254"/>
      <c r="SKG7" s="254"/>
      <c r="SKH7" s="254"/>
      <c r="SKI7" s="254"/>
      <c r="SKJ7" s="254"/>
      <c r="SKK7" s="254"/>
      <c r="SKL7" s="254"/>
      <c r="SKM7" s="254"/>
      <c r="SKN7" s="254"/>
      <c r="SKO7" s="254"/>
      <c r="SKP7" s="254"/>
      <c r="SKQ7" s="254"/>
      <c r="SKR7" s="254"/>
      <c r="SKS7" s="254"/>
      <c r="SKT7" s="254"/>
      <c r="SKU7" s="254"/>
      <c r="SKV7" s="254"/>
      <c r="SKW7" s="254"/>
      <c r="SKX7" s="254"/>
      <c r="SKY7" s="254"/>
      <c r="SKZ7" s="254"/>
      <c r="SLA7" s="254"/>
      <c r="SLB7" s="254"/>
      <c r="SLC7" s="254"/>
      <c r="SLD7" s="254"/>
      <c r="SLE7" s="254"/>
      <c r="SLF7" s="254"/>
      <c r="SLG7" s="254"/>
      <c r="SLH7" s="254"/>
      <c r="SLI7" s="254"/>
      <c r="SLJ7" s="254"/>
      <c r="SLK7" s="254"/>
      <c r="SLL7" s="254"/>
      <c r="SLM7" s="254"/>
      <c r="SLN7" s="254"/>
      <c r="SLO7" s="254"/>
      <c r="SLP7" s="254"/>
      <c r="SLQ7" s="254"/>
      <c r="SLR7" s="254"/>
      <c r="SLS7" s="254"/>
      <c r="SLT7" s="254"/>
      <c r="SLU7" s="254"/>
      <c r="SLV7" s="254"/>
      <c r="SLW7" s="254"/>
      <c r="SLX7" s="254"/>
      <c r="SLY7" s="254"/>
      <c r="SLZ7" s="254"/>
      <c r="SMA7" s="254"/>
      <c r="SMB7" s="254"/>
      <c r="SMC7" s="254"/>
      <c r="SMD7" s="254"/>
      <c r="SME7" s="254"/>
      <c r="SMF7" s="254"/>
      <c r="SMG7" s="254"/>
      <c r="SMH7" s="254"/>
      <c r="SMI7" s="254"/>
      <c r="SMJ7" s="254"/>
      <c r="SMK7" s="254"/>
      <c r="SML7" s="254"/>
      <c r="SMM7" s="254"/>
      <c r="SMN7" s="254"/>
      <c r="SMO7" s="254"/>
      <c r="SMP7" s="254"/>
      <c r="SMQ7" s="254"/>
      <c r="SMR7" s="254"/>
      <c r="SMS7" s="254"/>
      <c r="SMT7" s="254"/>
      <c r="SMU7" s="254"/>
      <c r="SMV7" s="254"/>
      <c r="SMW7" s="254"/>
      <c r="SMX7" s="254"/>
      <c r="SMY7" s="254"/>
      <c r="SMZ7" s="254"/>
      <c r="SNA7" s="254"/>
      <c r="SNB7" s="254"/>
      <c r="SNC7" s="254"/>
      <c r="SND7" s="254"/>
      <c r="SNE7" s="254"/>
      <c r="SNF7" s="254"/>
      <c r="SNG7" s="254"/>
      <c r="SNH7" s="254"/>
      <c r="SNI7" s="254"/>
      <c r="SNJ7" s="254"/>
      <c r="SNK7" s="254"/>
      <c r="SNL7" s="254"/>
      <c r="SNM7" s="254"/>
      <c r="SNN7" s="254"/>
      <c r="SNO7" s="254"/>
      <c r="SNP7" s="254"/>
      <c r="SNQ7" s="254"/>
      <c r="SNR7" s="254"/>
      <c r="SNS7" s="254"/>
      <c r="SNT7" s="254"/>
      <c r="SNU7" s="254"/>
      <c r="SNV7" s="254"/>
      <c r="SNW7" s="254"/>
      <c r="SNX7" s="254"/>
      <c r="SNY7" s="254"/>
      <c r="SNZ7" s="254"/>
      <c r="SOA7" s="254"/>
      <c r="SOB7" s="254"/>
      <c r="SOC7" s="254"/>
      <c r="SOD7" s="254"/>
      <c r="SOE7" s="254"/>
      <c r="SOF7" s="254"/>
      <c r="SOG7" s="254"/>
      <c r="SOH7" s="254"/>
      <c r="SOI7" s="254"/>
      <c r="SOJ7" s="254"/>
      <c r="SOK7" s="254"/>
      <c r="SOL7" s="254"/>
      <c r="SOM7" s="254"/>
      <c r="SON7" s="254"/>
      <c r="SOO7" s="254"/>
      <c r="SOP7" s="254"/>
      <c r="SOQ7" s="254"/>
      <c r="SOR7" s="254"/>
      <c r="SOS7" s="254"/>
      <c r="SOT7" s="254"/>
      <c r="SOU7" s="254"/>
      <c r="SOV7" s="254"/>
      <c r="SOW7" s="254"/>
      <c r="SOX7" s="254"/>
      <c r="SOY7" s="254"/>
      <c r="SOZ7" s="254"/>
      <c r="SPA7" s="254"/>
      <c r="SPB7" s="254"/>
      <c r="SPC7" s="254"/>
      <c r="SPD7" s="254"/>
      <c r="SPE7" s="254"/>
      <c r="SPF7" s="254"/>
      <c r="SPG7" s="254"/>
      <c r="SPH7" s="254"/>
      <c r="SPI7" s="254"/>
      <c r="SPJ7" s="254"/>
      <c r="SPK7" s="254"/>
      <c r="SPL7" s="254"/>
      <c r="SPM7" s="254"/>
      <c r="SPN7" s="254"/>
      <c r="SPO7" s="254"/>
      <c r="SPP7" s="254"/>
      <c r="SPQ7" s="254"/>
      <c r="SPR7" s="254"/>
      <c r="SPS7" s="254"/>
      <c r="SPT7" s="254"/>
      <c r="SPU7" s="254"/>
      <c r="SPV7" s="254"/>
      <c r="SPW7" s="254"/>
      <c r="SPX7" s="254"/>
      <c r="SPY7" s="254"/>
      <c r="SPZ7" s="254"/>
      <c r="SQA7" s="254"/>
      <c r="SQB7" s="254"/>
      <c r="SQC7" s="254"/>
      <c r="SQD7" s="254"/>
      <c r="SQE7" s="254"/>
      <c r="SQF7" s="254"/>
      <c r="SQG7" s="254"/>
      <c r="SQH7" s="254"/>
      <c r="SQI7" s="254"/>
      <c r="SQJ7" s="254"/>
      <c r="SQK7" s="254"/>
      <c r="SQL7" s="254"/>
      <c r="SQM7" s="254"/>
      <c r="SQN7" s="254"/>
      <c r="SQO7" s="254"/>
      <c r="SQP7" s="254"/>
      <c r="SQQ7" s="254"/>
      <c r="SQR7" s="254"/>
      <c r="SQS7" s="254"/>
      <c r="SQT7" s="254"/>
      <c r="SQU7" s="254"/>
      <c r="SQV7" s="254"/>
      <c r="SQW7" s="254"/>
      <c r="SQX7" s="254"/>
      <c r="SQY7" s="254"/>
      <c r="SQZ7" s="254"/>
      <c r="SRA7" s="254"/>
      <c r="SRB7" s="254"/>
      <c r="SRC7" s="254"/>
      <c r="SRD7" s="254"/>
      <c r="SRE7" s="254"/>
      <c r="SRF7" s="254"/>
      <c r="SRG7" s="254"/>
      <c r="SRH7" s="254"/>
      <c r="SRI7" s="254"/>
      <c r="SRJ7" s="254"/>
      <c r="SRK7" s="254"/>
      <c r="SRL7" s="254"/>
      <c r="SRM7" s="254"/>
      <c r="SRN7" s="254"/>
      <c r="SRO7" s="254"/>
      <c r="SRP7" s="254"/>
      <c r="SRQ7" s="254"/>
      <c r="SRR7" s="254"/>
      <c r="SRS7" s="254"/>
      <c r="SRT7" s="254"/>
      <c r="SRU7" s="254"/>
      <c r="SRV7" s="254"/>
      <c r="SRW7" s="254"/>
      <c r="SRX7" s="254"/>
      <c r="SRY7" s="254"/>
      <c r="SRZ7" s="254"/>
      <c r="SSA7" s="254"/>
      <c r="SSB7" s="254"/>
      <c r="SSC7" s="254"/>
      <c r="SSD7" s="254"/>
      <c r="SSE7" s="254"/>
      <c r="SSF7" s="254"/>
      <c r="SSG7" s="254"/>
      <c r="SSH7" s="254"/>
      <c r="SSI7" s="254"/>
      <c r="SSJ7" s="254"/>
      <c r="SSK7" s="254"/>
      <c r="SSL7" s="254"/>
      <c r="SSM7" s="254"/>
      <c r="SSN7" s="254"/>
      <c r="SSO7" s="254"/>
      <c r="SSP7" s="254"/>
      <c r="SSQ7" s="254"/>
      <c r="SSR7" s="254"/>
      <c r="SSS7" s="254"/>
      <c r="SST7" s="254"/>
      <c r="SSU7" s="254"/>
      <c r="SSV7" s="254"/>
      <c r="SSW7" s="254"/>
      <c r="SSX7" s="254"/>
      <c r="SSY7" s="254"/>
      <c r="SSZ7" s="254"/>
      <c r="STA7" s="254"/>
      <c r="STB7" s="254"/>
      <c r="STC7" s="254"/>
      <c r="STD7" s="254"/>
      <c r="STE7" s="254"/>
      <c r="STF7" s="254"/>
      <c r="STG7" s="254"/>
      <c r="STH7" s="254"/>
      <c r="STI7" s="254"/>
      <c r="STJ7" s="254"/>
      <c r="STK7" s="254"/>
      <c r="STL7" s="254"/>
      <c r="STM7" s="254"/>
      <c r="STN7" s="254"/>
      <c r="STO7" s="254"/>
      <c r="STP7" s="254"/>
      <c r="STQ7" s="254"/>
      <c r="STR7" s="254"/>
      <c r="STS7" s="254"/>
      <c r="STT7" s="254"/>
      <c r="STU7" s="254"/>
      <c r="STV7" s="254"/>
      <c r="STW7" s="254"/>
      <c r="STX7" s="254"/>
      <c r="STY7" s="254"/>
      <c r="STZ7" s="254"/>
      <c r="SUA7" s="254"/>
      <c r="SUB7" s="254"/>
      <c r="SUC7" s="254"/>
      <c r="SUD7" s="254"/>
      <c r="SUE7" s="254"/>
      <c r="SUF7" s="254"/>
      <c r="SUG7" s="254"/>
      <c r="SUH7" s="254"/>
      <c r="SUI7" s="254"/>
      <c r="SUJ7" s="254"/>
      <c r="SUK7" s="254"/>
      <c r="SUL7" s="254"/>
      <c r="SUM7" s="254"/>
      <c r="SUN7" s="254"/>
      <c r="SUO7" s="254"/>
      <c r="SUP7" s="254"/>
      <c r="SUQ7" s="254"/>
      <c r="SUR7" s="254"/>
      <c r="SUS7" s="254"/>
      <c r="SUT7" s="254"/>
      <c r="SUU7" s="254"/>
      <c r="SUV7" s="254"/>
      <c r="SUW7" s="254"/>
      <c r="SUX7" s="254"/>
      <c r="SUY7" s="254"/>
      <c r="SUZ7" s="254"/>
      <c r="SVA7" s="254"/>
      <c r="SVB7" s="254"/>
      <c r="SVC7" s="254"/>
      <c r="SVD7" s="254"/>
      <c r="SVE7" s="254"/>
      <c r="SVF7" s="254"/>
      <c r="SVG7" s="254"/>
      <c r="SVH7" s="254"/>
      <c r="SVI7" s="254"/>
      <c r="SVJ7" s="254"/>
      <c r="SVK7" s="254"/>
      <c r="SVL7" s="254"/>
      <c r="SVM7" s="254"/>
      <c r="SVN7" s="254"/>
      <c r="SVO7" s="254"/>
      <c r="SVP7" s="254"/>
      <c r="SVQ7" s="254"/>
      <c r="SVR7" s="254"/>
      <c r="SVS7" s="254"/>
      <c r="SVT7" s="254"/>
      <c r="SVU7" s="254"/>
      <c r="SVV7" s="254"/>
      <c r="SVW7" s="254"/>
      <c r="SVX7" s="254"/>
      <c r="SVY7" s="254"/>
      <c r="SVZ7" s="254"/>
      <c r="SWA7" s="254"/>
      <c r="SWB7" s="254"/>
      <c r="SWC7" s="254"/>
      <c r="SWD7" s="254"/>
      <c r="SWE7" s="254"/>
      <c r="SWF7" s="254"/>
      <c r="SWG7" s="254"/>
      <c r="SWH7" s="254"/>
      <c r="SWI7" s="254"/>
      <c r="SWJ7" s="254"/>
      <c r="SWK7" s="254"/>
      <c r="SWL7" s="254"/>
      <c r="SWM7" s="254"/>
      <c r="SWN7" s="254"/>
      <c r="SWO7" s="254"/>
      <c r="SWP7" s="254"/>
      <c r="SWQ7" s="254"/>
      <c r="SWR7" s="254"/>
      <c r="SWS7" s="254"/>
      <c r="SWT7" s="254"/>
      <c r="SWU7" s="254"/>
      <c r="SWV7" s="254"/>
      <c r="SWW7" s="254"/>
      <c r="SWX7" s="254"/>
      <c r="SWY7" s="254"/>
      <c r="SWZ7" s="254"/>
      <c r="SXA7" s="254"/>
      <c r="SXB7" s="254"/>
      <c r="SXC7" s="254"/>
      <c r="SXD7" s="254"/>
      <c r="SXE7" s="254"/>
      <c r="SXF7" s="254"/>
      <c r="SXG7" s="254"/>
      <c r="SXH7" s="254"/>
      <c r="SXI7" s="254"/>
      <c r="SXJ7" s="254"/>
      <c r="SXK7" s="254"/>
      <c r="SXL7" s="254"/>
      <c r="SXM7" s="254"/>
      <c r="SXN7" s="254"/>
      <c r="SXO7" s="254"/>
      <c r="SXP7" s="254"/>
      <c r="SXQ7" s="254"/>
      <c r="SXR7" s="254"/>
      <c r="SXS7" s="254"/>
      <c r="SXT7" s="254"/>
      <c r="SXU7" s="254"/>
      <c r="SXV7" s="254"/>
      <c r="SXW7" s="254"/>
      <c r="SXX7" s="254"/>
      <c r="SXY7" s="254"/>
      <c r="SXZ7" s="254"/>
      <c r="SYA7" s="254"/>
      <c r="SYB7" s="254"/>
      <c r="SYC7" s="254"/>
      <c r="SYD7" s="254"/>
      <c r="SYE7" s="254"/>
      <c r="SYF7" s="254"/>
      <c r="SYG7" s="254"/>
      <c r="SYH7" s="254"/>
      <c r="SYI7" s="254"/>
      <c r="SYJ7" s="254"/>
      <c r="SYK7" s="254"/>
      <c r="SYL7" s="254"/>
      <c r="SYM7" s="254"/>
      <c r="SYN7" s="254"/>
      <c r="SYO7" s="254"/>
      <c r="SYP7" s="254"/>
      <c r="SYQ7" s="254"/>
      <c r="SYR7" s="254"/>
      <c r="SYS7" s="254"/>
      <c r="SYT7" s="254"/>
      <c r="SYU7" s="254"/>
      <c r="SYV7" s="254"/>
      <c r="SYW7" s="254"/>
      <c r="SYX7" s="254"/>
      <c r="SYY7" s="254"/>
      <c r="SYZ7" s="254"/>
      <c r="SZA7" s="254"/>
      <c r="SZB7" s="254"/>
      <c r="SZC7" s="254"/>
      <c r="SZD7" s="254"/>
      <c r="SZE7" s="254"/>
      <c r="SZF7" s="254"/>
      <c r="SZG7" s="254"/>
      <c r="SZH7" s="254"/>
      <c r="SZI7" s="254"/>
      <c r="SZJ7" s="254"/>
      <c r="SZK7" s="254"/>
      <c r="SZL7" s="254"/>
      <c r="SZM7" s="254"/>
      <c r="SZN7" s="254"/>
      <c r="SZO7" s="254"/>
      <c r="SZP7" s="254"/>
      <c r="SZQ7" s="254"/>
      <c r="SZR7" s="254"/>
      <c r="SZS7" s="254"/>
      <c r="SZT7" s="254"/>
      <c r="SZU7" s="254"/>
      <c r="SZV7" s="254"/>
      <c r="SZW7" s="254"/>
      <c r="SZX7" s="254"/>
      <c r="SZY7" s="254"/>
      <c r="SZZ7" s="254"/>
      <c r="TAA7" s="254"/>
      <c r="TAB7" s="254"/>
      <c r="TAC7" s="254"/>
      <c r="TAD7" s="254"/>
      <c r="TAE7" s="254"/>
      <c r="TAF7" s="254"/>
      <c r="TAG7" s="254"/>
      <c r="TAH7" s="254"/>
      <c r="TAI7" s="254"/>
      <c r="TAJ7" s="254"/>
      <c r="TAK7" s="254"/>
      <c r="TAL7" s="254"/>
      <c r="TAM7" s="254"/>
      <c r="TAN7" s="254"/>
      <c r="TAO7" s="254"/>
      <c r="TAP7" s="254"/>
      <c r="TAQ7" s="254"/>
      <c r="TAR7" s="254"/>
      <c r="TAS7" s="254"/>
      <c r="TAT7" s="254"/>
      <c r="TAU7" s="254"/>
      <c r="TAV7" s="254"/>
      <c r="TAW7" s="254"/>
      <c r="TAX7" s="254"/>
      <c r="TAY7" s="254"/>
      <c r="TAZ7" s="254"/>
      <c r="TBA7" s="254"/>
      <c r="TBB7" s="254"/>
      <c r="TBC7" s="254"/>
      <c r="TBD7" s="254"/>
      <c r="TBE7" s="254"/>
      <c r="TBF7" s="254"/>
      <c r="TBG7" s="254"/>
      <c r="TBH7" s="254"/>
      <c r="TBI7" s="254"/>
      <c r="TBJ7" s="254"/>
      <c r="TBK7" s="254"/>
      <c r="TBL7" s="254"/>
      <c r="TBM7" s="254"/>
      <c r="TBN7" s="254"/>
      <c r="TBO7" s="254"/>
      <c r="TBP7" s="254"/>
      <c r="TBQ7" s="254"/>
      <c r="TBR7" s="254"/>
      <c r="TBS7" s="254"/>
      <c r="TBT7" s="254"/>
      <c r="TBU7" s="254"/>
      <c r="TBV7" s="254"/>
      <c r="TBW7" s="254"/>
      <c r="TBX7" s="254"/>
      <c r="TBY7" s="254"/>
      <c r="TBZ7" s="254"/>
      <c r="TCA7" s="254"/>
      <c r="TCB7" s="254"/>
      <c r="TCC7" s="254"/>
      <c r="TCD7" s="254"/>
      <c r="TCE7" s="254"/>
      <c r="TCF7" s="254"/>
      <c r="TCG7" s="254"/>
      <c r="TCH7" s="254"/>
      <c r="TCI7" s="254"/>
      <c r="TCJ7" s="254"/>
      <c r="TCK7" s="254"/>
      <c r="TCL7" s="254"/>
      <c r="TCM7" s="254"/>
      <c r="TCN7" s="254"/>
      <c r="TCO7" s="254"/>
      <c r="TCP7" s="254"/>
      <c r="TCQ7" s="254"/>
      <c r="TCR7" s="254"/>
      <c r="TCS7" s="254"/>
      <c r="TCT7" s="254"/>
      <c r="TCU7" s="254"/>
      <c r="TCV7" s="254"/>
      <c r="TCW7" s="254"/>
      <c r="TCX7" s="254"/>
      <c r="TCY7" s="254"/>
      <c r="TCZ7" s="254"/>
      <c r="TDA7" s="254"/>
      <c r="TDB7" s="254"/>
      <c r="TDC7" s="254"/>
      <c r="TDD7" s="254"/>
      <c r="TDE7" s="254"/>
      <c r="TDF7" s="254"/>
      <c r="TDG7" s="254"/>
      <c r="TDH7" s="254"/>
      <c r="TDI7" s="254"/>
      <c r="TDJ7" s="254"/>
      <c r="TDK7" s="254"/>
      <c r="TDL7" s="254"/>
      <c r="TDM7" s="254"/>
      <c r="TDN7" s="254"/>
      <c r="TDO7" s="254"/>
      <c r="TDP7" s="254"/>
      <c r="TDQ7" s="254"/>
      <c r="TDR7" s="254"/>
      <c r="TDS7" s="254"/>
      <c r="TDT7" s="254"/>
      <c r="TDU7" s="254"/>
      <c r="TDV7" s="254"/>
      <c r="TDW7" s="254"/>
      <c r="TDX7" s="254"/>
      <c r="TDY7" s="254"/>
      <c r="TDZ7" s="254"/>
      <c r="TEA7" s="254"/>
      <c r="TEB7" s="254"/>
      <c r="TEC7" s="254"/>
      <c r="TED7" s="254"/>
      <c r="TEE7" s="254"/>
      <c r="TEF7" s="254"/>
      <c r="TEG7" s="254"/>
      <c r="TEH7" s="254"/>
      <c r="TEI7" s="254"/>
      <c r="TEJ7" s="254"/>
      <c r="TEK7" s="254"/>
      <c r="TEL7" s="254"/>
      <c r="TEM7" s="254"/>
      <c r="TEN7" s="254"/>
      <c r="TEO7" s="254"/>
      <c r="TEP7" s="254"/>
      <c r="TEQ7" s="254"/>
      <c r="TER7" s="254"/>
      <c r="TES7" s="254"/>
      <c r="TET7" s="254"/>
      <c r="TEU7" s="254"/>
      <c r="TEV7" s="254"/>
      <c r="TEW7" s="254"/>
      <c r="TEX7" s="254"/>
      <c r="TEY7" s="254"/>
      <c r="TEZ7" s="254"/>
      <c r="TFA7" s="254"/>
      <c r="TFB7" s="254"/>
      <c r="TFC7" s="254"/>
      <c r="TFD7" s="254"/>
      <c r="TFE7" s="254"/>
      <c r="TFF7" s="254"/>
      <c r="TFG7" s="254"/>
      <c r="TFH7" s="254"/>
      <c r="TFI7" s="254"/>
      <c r="TFJ7" s="254"/>
      <c r="TFK7" s="254"/>
      <c r="TFL7" s="254"/>
      <c r="TFM7" s="254"/>
      <c r="TFN7" s="254"/>
      <c r="TFO7" s="254"/>
      <c r="TFP7" s="254"/>
      <c r="TFQ7" s="254"/>
      <c r="TFR7" s="254"/>
      <c r="TFS7" s="254"/>
      <c r="TFT7" s="254"/>
      <c r="TFU7" s="254"/>
      <c r="TFV7" s="254"/>
      <c r="TFW7" s="254"/>
      <c r="TFX7" s="254"/>
      <c r="TFY7" s="254"/>
      <c r="TFZ7" s="254"/>
      <c r="TGA7" s="254"/>
      <c r="TGB7" s="254"/>
      <c r="TGC7" s="254"/>
      <c r="TGD7" s="254"/>
      <c r="TGE7" s="254"/>
      <c r="TGF7" s="254"/>
      <c r="TGG7" s="254"/>
      <c r="TGH7" s="254"/>
      <c r="TGI7" s="254"/>
      <c r="TGJ7" s="254"/>
      <c r="TGK7" s="254"/>
      <c r="TGL7" s="254"/>
      <c r="TGM7" s="254"/>
      <c r="TGN7" s="254"/>
      <c r="TGO7" s="254"/>
      <c r="TGP7" s="254"/>
      <c r="TGQ7" s="254"/>
      <c r="TGR7" s="254"/>
      <c r="TGS7" s="254"/>
      <c r="TGT7" s="254"/>
      <c r="TGU7" s="254"/>
      <c r="TGV7" s="254"/>
      <c r="TGW7" s="254"/>
      <c r="TGX7" s="254"/>
      <c r="TGY7" s="254"/>
      <c r="TGZ7" s="254"/>
      <c r="THA7" s="254"/>
      <c r="THB7" s="254"/>
      <c r="THC7" s="254"/>
      <c r="THD7" s="254"/>
      <c r="THE7" s="254"/>
      <c r="THF7" s="254"/>
      <c r="THG7" s="254"/>
      <c r="THH7" s="254"/>
      <c r="THI7" s="254"/>
      <c r="THJ7" s="254"/>
      <c r="THK7" s="254"/>
      <c r="THL7" s="254"/>
      <c r="THM7" s="254"/>
      <c r="THN7" s="254"/>
      <c r="THO7" s="254"/>
      <c r="THP7" s="254"/>
      <c r="THQ7" s="254"/>
      <c r="THR7" s="254"/>
      <c r="THS7" s="254"/>
      <c r="THT7" s="254"/>
      <c r="THU7" s="254"/>
      <c r="THV7" s="254"/>
      <c r="THW7" s="254"/>
      <c r="THX7" s="254"/>
      <c r="THY7" s="254"/>
      <c r="THZ7" s="254"/>
      <c r="TIA7" s="254"/>
      <c r="TIB7" s="254"/>
      <c r="TIC7" s="254"/>
      <c r="TID7" s="254"/>
      <c r="TIE7" s="254"/>
      <c r="TIF7" s="254"/>
      <c r="TIG7" s="254"/>
      <c r="TIH7" s="254"/>
      <c r="TII7" s="254"/>
      <c r="TIJ7" s="254"/>
      <c r="TIK7" s="254"/>
      <c r="TIL7" s="254"/>
      <c r="TIM7" s="254"/>
      <c r="TIN7" s="254"/>
      <c r="TIO7" s="254"/>
      <c r="TIP7" s="254"/>
      <c r="TIQ7" s="254"/>
      <c r="TIR7" s="254"/>
      <c r="TIS7" s="254"/>
      <c r="TIT7" s="254"/>
      <c r="TIU7" s="254"/>
      <c r="TIV7" s="254"/>
      <c r="TIW7" s="254"/>
      <c r="TIX7" s="254"/>
      <c r="TIY7" s="254"/>
      <c r="TIZ7" s="254"/>
      <c r="TJA7" s="254"/>
      <c r="TJB7" s="254"/>
      <c r="TJC7" s="254"/>
      <c r="TJD7" s="254"/>
      <c r="TJE7" s="254"/>
      <c r="TJF7" s="254"/>
      <c r="TJG7" s="254"/>
      <c r="TJH7" s="254"/>
      <c r="TJI7" s="254"/>
      <c r="TJJ7" s="254"/>
      <c r="TJK7" s="254"/>
      <c r="TJL7" s="254"/>
      <c r="TJM7" s="254"/>
      <c r="TJN7" s="254"/>
      <c r="TJO7" s="254"/>
      <c r="TJP7" s="254"/>
      <c r="TJQ7" s="254"/>
      <c r="TJR7" s="254"/>
      <c r="TJS7" s="254"/>
      <c r="TJT7" s="254"/>
      <c r="TJU7" s="254"/>
      <c r="TJV7" s="254"/>
      <c r="TJW7" s="254"/>
      <c r="TJX7" s="254"/>
      <c r="TJY7" s="254"/>
      <c r="TJZ7" s="254"/>
      <c r="TKA7" s="254"/>
      <c r="TKB7" s="254"/>
      <c r="TKC7" s="254"/>
      <c r="TKD7" s="254"/>
      <c r="TKE7" s="254"/>
      <c r="TKF7" s="254"/>
      <c r="TKG7" s="254"/>
      <c r="TKH7" s="254"/>
      <c r="TKI7" s="254"/>
      <c r="TKJ7" s="254"/>
      <c r="TKK7" s="254"/>
      <c r="TKL7" s="254"/>
      <c r="TKM7" s="254"/>
      <c r="TKN7" s="254"/>
      <c r="TKO7" s="254"/>
      <c r="TKP7" s="254"/>
      <c r="TKQ7" s="254"/>
      <c r="TKR7" s="254"/>
      <c r="TKS7" s="254"/>
      <c r="TKT7" s="254"/>
      <c r="TKU7" s="254"/>
      <c r="TKV7" s="254"/>
      <c r="TKW7" s="254"/>
      <c r="TKX7" s="254"/>
      <c r="TKY7" s="254"/>
      <c r="TKZ7" s="254"/>
      <c r="TLA7" s="254"/>
      <c r="TLB7" s="254"/>
      <c r="TLC7" s="254"/>
      <c r="TLD7" s="254"/>
      <c r="TLE7" s="254"/>
      <c r="TLF7" s="254"/>
      <c r="TLG7" s="254"/>
      <c r="TLH7" s="254"/>
      <c r="TLI7" s="254"/>
      <c r="TLJ7" s="254"/>
      <c r="TLK7" s="254"/>
      <c r="TLL7" s="254"/>
      <c r="TLM7" s="254"/>
      <c r="TLN7" s="254"/>
      <c r="TLO7" s="254"/>
      <c r="TLP7" s="254"/>
      <c r="TLQ7" s="254"/>
      <c r="TLR7" s="254"/>
      <c r="TLS7" s="254"/>
      <c r="TLT7" s="254"/>
      <c r="TLU7" s="254"/>
      <c r="TLV7" s="254"/>
      <c r="TLW7" s="254"/>
      <c r="TLX7" s="254"/>
      <c r="TLY7" s="254"/>
      <c r="TLZ7" s="254"/>
      <c r="TMA7" s="254"/>
      <c r="TMB7" s="254"/>
      <c r="TMC7" s="254"/>
      <c r="TMD7" s="254"/>
      <c r="TME7" s="254"/>
      <c r="TMF7" s="254"/>
      <c r="TMG7" s="254"/>
      <c r="TMH7" s="254"/>
      <c r="TMI7" s="254"/>
      <c r="TMJ7" s="254"/>
      <c r="TMK7" s="254"/>
      <c r="TML7" s="254"/>
      <c r="TMM7" s="254"/>
      <c r="TMN7" s="254"/>
      <c r="TMO7" s="254"/>
      <c r="TMP7" s="254"/>
      <c r="TMQ7" s="254"/>
      <c r="TMR7" s="254"/>
      <c r="TMS7" s="254"/>
      <c r="TMT7" s="254"/>
      <c r="TMU7" s="254"/>
      <c r="TMV7" s="254"/>
      <c r="TMW7" s="254"/>
      <c r="TMX7" s="254"/>
      <c r="TMY7" s="254"/>
      <c r="TMZ7" s="254"/>
      <c r="TNA7" s="254"/>
      <c r="TNB7" s="254"/>
      <c r="TNC7" s="254"/>
      <c r="TND7" s="254"/>
      <c r="TNE7" s="254"/>
      <c r="TNF7" s="254"/>
      <c r="TNG7" s="254"/>
      <c r="TNH7" s="254"/>
      <c r="TNI7" s="254"/>
      <c r="TNJ7" s="254"/>
      <c r="TNK7" s="254"/>
      <c r="TNL7" s="254"/>
      <c r="TNM7" s="254"/>
      <c r="TNN7" s="254"/>
      <c r="TNO7" s="254"/>
      <c r="TNP7" s="254"/>
      <c r="TNQ7" s="254"/>
      <c r="TNR7" s="254"/>
      <c r="TNS7" s="254"/>
      <c r="TNT7" s="254"/>
      <c r="TNU7" s="254"/>
      <c r="TNV7" s="254"/>
      <c r="TNW7" s="254"/>
      <c r="TNX7" s="254"/>
      <c r="TNY7" s="254"/>
      <c r="TNZ7" s="254"/>
      <c r="TOA7" s="254"/>
      <c r="TOB7" s="254"/>
      <c r="TOC7" s="254"/>
      <c r="TOD7" s="254"/>
      <c r="TOE7" s="254"/>
      <c r="TOF7" s="254"/>
      <c r="TOG7" s="254"/>
      <c r="TOH7" s="254"/>
      <c r="TOI7" s="254"/>
      <c r="TOJ7" s="254"/>
      <c r="TOK7" s="254"/>
      <c r="TOL7" s="254"/>
      <c r="TOM7" s="254"/>
      <c r="TON7" s="254"/>
      <c r="TOO7" s="254"/>
      <c r="TOP7" s="254"/>
      <c r="TOQ7" s="254"/>
      <c r="TOR7" s="254"/>
      <c r="TOS7" s="254"/>
      <c r="TOT7" s="254"/>
      <c r="TOU7" s="254"/>
      <c r="TOV7" s="254"/>
      <c r="TOW7" s="254"/>
      <c r="TOX7" s="254"/>
      <c r="TOY7" s="254"/>
      <c r="TOZ7" s="254"/>
      <c r="TPA7" s="254"/>
      <c r="TPB7" s="254"/>
      <c r="TPC7" s="254"/>
      <c r="TPD7" s="254"/>
      <c r="TPE7" s="254"/>
      <c r="TPF7" s="254"/>
      <c r="TPG7" s="254"/>
      <c r="TPH7" s="254"/>
      <c r="TPI7" s="254"/>
      <c r="TPJ7" s="254"/>
      <c r="TPK7" s="254"/>
      <c r="TPL7" s="254"/>
      <c r="TPM7" s="254"/>
      <c r="TPN7" s="254"/>
      <c r="TPO7" s="254"/>
      <c r="TPP7" s="254"/>
      <c r="TPQ7" s="254"/>
      <c r="TPR7" s="254"/>
      <c r="TPS7" s="254"/>
      <c r="TPT7" s="254"/>
      <c r="TPU7" s="254"/>
      <c r="TPV7" s="254"/>
      <c r="TPW7" s="254"/>
      <c r="TPX7" s="254"/>
      <c r="TPY7" s="254"/>
      <c r="TPZ7" s="254"/>
      <c r="TQA7" s="254"/>
      <c r="TQB7" s="254"/>
      <c r="TQC7" s="254"/>
      <c r="TQD7" s="254"/>
      <c r="TQE7" s="254"/>
      <c r="TQF7" s="254"/>
      <c r="TQG7" s="254"/>
      <c r="TQH7" s="254"/>
      <c r="TQI7" s="254"/>
      <c r="TQJ7" s="254"/>
      <c r="TQK7" s="254"/>
      <c r="TQL7" s="254"/>
      <c r="TQM7" s="254"/>
      <c r="TQN7" s="254"/>
      <c r="TQO7" s="254"/>
      <c r="TQP7" s="254"/>
      <c r="TQQ7" s="254"/>
      <c r="TQR7" s="254"/>
      <c r="TQS7" s="254"/>
      <c r="TQT7" s="254"/>
      <c r="TQU7" s="254"/>
      <c r="TQV7" s="254"/>
      <c r="TQW7" s="254"/>
      <c r="TQX7" s="254"/>
      <c r="TQY7" s="254"/>
      <c r="TQZ7" s="254"/>
      <c r="TRA7" s="254"/>
      <c r="TRB7" s="254"/>
      <c r="TRC7" s="254"/>
      <c r="TRD7" s="254"/>
      <c r="TRE7" s="254"/>
      <c r="TRF7" s="254"/>
      <c r="TRG7" s="254"/>
      <c r="TRH7" s="254"/>
      <c r="TRI7" s="254"/>
      <c r="TRJ7" s="254"/>
      <c r="TRK7" s="254"/>
      <c r="TRL7" s="254"/>
      <c r="TRM7" s="254"/>
      <c r="TRN7" s="254"/>
      <c r="TRO7" s="254"/>
      <c r="TRP7" s="254"/>
      <c r="TRQ7" s="254"/>
      <c r="TRR7" s="254"/>
      <c r="TRS7" s="254"/>
      <c r="TRT7" s="254"/>
      <c r="TRU7" s="254"/>
      <c r="TRV7" s="254"/>
      <c r="TRW7" s="254"/>
      <c r="TRX7" s="254"/>
      <c r="TRY7" s="254"/>
      <c r="TRZ7" s="254"/>
      <c r="TSA7" s="254"/>
      <c r="TSB7" s="254"/>
      <c r="TSC7" s="254"/>
      <c r="TSD7" s="254"/>
      <c r="TSE7" s="254"/>
      <c r="TSF7" s="254"/>
      <c r="TSG7" s="254"/>
      <c r="TSH7" s="254"/>
      <c r="TSI7" s="254"/>
      <c r="TSJ7" s="254"/>
      <c r="TSK7" s="254"/>
      <c r="TSL7" s="254"/>
      <c r="TSM7" s="254"/>
      <c r="TSN7" s="254"/>
      <c r="TSO7" s="254"/>
      <c r="TSP7" s="254"/>
      <c r="TSQ7" s="254"/>
      <c r="TSR7" s="254"/>
      <c r="TSS7" s="254"/>
      <c r="TST7" s="254"/>
      <c r="TSU7" s="254"/>
      <c r="TSV7" s="254"/>
      <c r="TSW7" s="254"/>
      <c r="TSX7" s="254"/>
      <c r="TSY7" s="254"/>
      <c r="TSZ7" s="254"/>
      <c r="TTA7" s="254"/>
      <c r="TTB7" s="254"/>
      <c r="TTC7" s="254"/>
      <c r="TTD7" s="254"/>
      <c r="TTE7" s="254"/>
      <c r="TTF7" s="254"/>
      <c r="TTG7" s="254"/>
      <c r="TTH7" s="254"/>
      <c r="TTI7" s="254"/>
      <c r="TTJ7" s="254"/>
      <c r="TTK7" s="254"/>
      <c r="TTL7" s="254"/>
      <c r="TTM7" s="254"/>
      <c r="TTN7" s="254"/>
      <c r="TTO7" s="254"/>
      <c r="TTP7" s="254"/>
      <c r="TTQ7" s="254"/>
      <c r="TTR7" s="254"/>
      <c r="TTS7" s="254"/>
      <c r="TTT7" s="254"/>
      <c r="TTU7" s="254"/>
      <c r="TTV7" s="254"/>
      <c r="TTW7" s="254"/>
      <c r="TTX7" s="254"/>
      <c r="TTY7" s="254"/>
      <c r="TTZ7" s="254"/>
      <c r="TUA7" s="254"/>
      <c r="TUB7" s="254"/>
      <c r="TUC7" s="254"/>
      <c r="TUD7" s="254"/>
      <c r="TUE7" s="254"/>
      <c r="TUF7" s="254"/>
      <c r="TUG7" s="254"/>
      <c r="TUH7" s="254"/>
      <c r="TUI7" s="254"/>
      <c r="TUJ7" s="254"/>
      <c r="TUK7" s="254"/>
      <c r="TUL7" s="254"/>
      <c r="TUM7" s="254"/>
      <c r="TUN7" s="254"/>
      <c r="TUO7" s="254"/>
      <c r="TUP7" s="254"/>
      <c r="TUQ7" s="254"/>
      <c r="TUR7" s="254"/>
      <c r="TUS7" s="254"/>
      <c r="TUT7" s="254"/>
      <c r="TUU7" s="254"/>
      <c r="TUV7" s="254"/>
      <c r="TUW7" s="254"/>
      <c r="TUX7" s="254"/>
      <c r="TUY7" s="254"/>
      <c r="TUZ7" s="254"/>
      <c r="TVA7" s="254"/>
      <c r="TVB7" s="254"/>
      <c r="TVC7" s="254"/>
      <c r="TVD7" s="254"/>
      <c r="TVE7" s="254"/>
      <c r="TVF7" s="254"/>
      <c r="TVG7" s="254"/>
      <c r="TVH7" s="254"/>
      <c r="TVI7" s="254"/>
      <c r="TVJ7" s="254"/>
      <c r="TVK7" s="254"/>
      <c r="TVL7" s="254"/>
      <c r="TVM7" s="254"/>
      <c r="TVN7" s="254"/>
      <c r="TVO7" s="254"/>
      <c r="TVP7" s="254"/>
      <c r="TVQ7" s="254"/>
      <c r="TVR7" s="254"/>
      <c r="TVS7" s="254"/>
      <c r="TVT7" s="254"/>
      <c r="TVU7" s="254"/>
      <c r="TVV7" s="254"/>
      <c r="TVW7" s="254"/>
      <c r="TVX7" s="254"/>
      <c r="TVY7" s="254"/>
      <c r="TVZ7" s="254"/>
      <c r="TWA7" s="254"/>
      <c r="TWB7" s="254"/>
      <c r="TWC7" s="254"/>
      <c r="TWD7" s="254"/>
      <c r="TWE7" s="254"/>
      <c r="TWF7" s="254"/>
      <c r="TWG7" s="254"/>
      <c r="TWH7" s="254"/>
      <c r="TWI7" s="254"/>
      <c r="TWJ7" s="254"/>
      <c r="TWK7" s="254"/>
      <c r="TWL7" s="254"/>
      <c r="TWM7" s="254"/>
      <c r="TWN7" s="254"/>
      <c r="TWO7" s="254"/>
      <c r="TWP7" s="254"/>
      <c r="TWQ7" s="254"/>
      <c r="TWR7" s="254"/>
      <c r="TWS7" s="254"/>
      <c r="TWT7" s="254"/>
      <c r="TWU7" s="254"/>
      <c r="TWV7" s="254"/>
      <c r="TWW7" s="254"/>
      <c r="TWX7" s="254"/>
      <c r="TWY7" s="254"/>
      <c r="TWZ7" s="254"/>
      <c r="TXA7" s="254"/>
      <c r="TXB7" s="254"/>
      <c r="TXC7" s="254"/>
      <c r="TXD7" s="254"/>
      <c r="TXE7" s="254"/>
      <c r="TXF7" s="254"/>
      <c r="TXG7" s="254"/>
      <c r="TXH7" s="254"/>
      <c r="TXI7" s="254"/>
      <c r="TXJ7" s="254"/>
      <c r="TXK7" s="254"/>
      <c r="TXL7" s="254"/>
      <c r="TXM7" s="254"/>
      <c r="TXN7" s="254"/>
      <c r="TXO7" s="254"/>
      <c r="TXP7" s="254"/>
      <c r="TXQ7" s="254"/>
      <c r="TXR7" s="254"/>
      <c r="TXS7" s="254"/>
      <c r="TXT7" s="254"/>
      <c r="TXU7" s="254"/>
      <c r="TXV7" s="254"/>
      <c r="TXW7" s="254"/>
      <c r="TXX7" s="254"/>
      <c r="TXY7" s="254"/>
      <c r="TXZ7" s="254"/>
      <c r="TYA7" s="254"/>
      <c r="TYB7" s="254"/>
      <c r="TYC7" s="254"/>
      <c r="TYD7" s="254"/>
      <c r="TYE7" s="254"/>
      <c r="TYF7" s="254"/>
      <c r="TYG7" s="254"/>
      <c r="TYH7" s="254"/>
      <c r="TYI7" s="254"/>
      <c r="TYJ7" s="254"/>
      <c r="TYK7" s="254"/>
      <c r="TYL7" s="254"/>
      <c r="TYM7" s="254"/>
      <c r="TYN7" s="254"/>
      <c r="TYO7" s="254"/>
      <c r="TYP7" s="254"/>
      <c r="TYQ7" s="254"/>
      <c r="TYR7" s="254"/>
      <c r="TYS7" s="254"/>
      <c r="TYT7" s="254"/>
      <c r="TYU7" s="254"/>
      <c r="TYV7" s="254"/>
      <c r="TYW7" s="254"/>
      <c r="TYX7" s="254"/>
      <c r="TYY7" s="254"/>
      <c r="TYZ7" s="254"/>
      <c r="TZA7" s="254"/>
      <c r="TZB7" s="254"/>
      <c r="TZC7" s="254"/>
      <c r="TZD7" s="254"/>
      <c r="TZE7" s="254"/>
      <c r="TZF7" s="254"/>
      <c r="TZG7" s="254"/>
      <c r="TZH7" s="254"/>
      <c r="TZI7" s="254"/>
      <c r="TZJ7" s="254"/>
      <c r="TZK7" s="254"/>
      <c r="TZL7" s="254"/>
      <c r="TZM7" s="254"/>
      <c r="TZN7" s="254"/>
      <c r="TZO7" s="254"/>
      <c r="TZP7" s="254"/>
      <c r="TZQ7" s="254"/>
      <c r="TZR7" s="254"/>
      <c r="TZS7" s="254"/>
      <c r="TZT7" s="254"/>
      <c r="TZU7" s="254"/>
      <c r="TZV7" s="254"/>
      <c r="TZW7" s="254"/>
      <c r="TZX7" s="254"/>
      <c r="TZY7" s="254"/>
      <c r="TZZ7" s="254"/>
      <c r="UAA7" s="254"/>
      <c r="UAB7" s="254"/>
      <c r="UAC7" s="254"/>
      <c r="UAD7" s="254"/>
      <c r="UAE7" s="254"/>
      <c r="UAF7" s="254"/>
      <c r="UAG7" s="254"/>
      <c r="UAH7" s="254"/>
      <c r="UAI7" s="254"/>
      <c r="UAJ7" s="254"/>
      <c r="UAK7" s="254"/>
      <c r="UAL7" s="254"/>
      <c r="UAM7" s="254"/>
      <c r="UAN7" s="254"/>
      <c r="UAO7" s="254"/>
      <c r="UAP7" s="254"/>
      <c r="UAQ7" s="254"/>
      <c r="UAR7" s="254"/>
      <c r="UAS7" s="254"/>
      <c r="UAT7" s="254"/>
      <c r="UAU7" s="254"/>
      <c r="UAV7" s="254"/>
      <c r="UAW7" s="254"/>
      <c r="UAX7" s="254"/>
      <c r="UAY7" s="254"/>
      <c r="UAZ7" s="254"/>
      <c r="UBA7" s="254"/>
      <c r="UBB7" s="254"/>
      <c r="UBC7" s="254"/>
      <c r="UBD7" s="254"/>
      <c r="UBE7" s="254"/>
      <c r="UBF7" s="254"/>
      <c r="UBG7" s="254"/>
      <c r="UBH7" s="254"/>
      <c r="UBI7" s="254"/>
      <c r="UBJ7" s="254"/>
      <c r="UBK7" s="254"/>
      <c r="UBL7" s="254"/>
      <c r="UBM7" s="254"/>
      <c r="UBN7" s="254"/>
      <c r="UBO7" s="254"/>
      <c r="UBP7" s="254"/>
      <c r="UBQ7" s="254"/>
      <c r="UBR7" s="254"/>
      <c r="UBS7" s="254"/>
      <c r="UBT7" s="254"/>
      <c r="UBU7" s="254"/>
      <c r="UBV7" s="254"/>
      <c r="UBW7" s="254"/>
      <c r="UBX7" s="254"/>
      <c r="UBY7" s="254"/>
      <c r="UBZ7" s="254"/>
      <c r="UCA7" s="254"/>
      <c r="UCB7" s="254"/>
      <c r="UCC7" s="254"/>
      <c r="UCD7" s="254"/>
      <c r="UCE7" s="254"/>
      <c r="UCF7" s="254"/>
      <c r="UCG7" s="254"/>
      <c r="UCH7" s="254"/>
      <c r="UCI7" s="254"/>
      <c r="UCJ7" s="254"/>
      <c r="UCK7" s="254"/>
      <c r="UCL7" s="254"/>
      <c r="UCM7" s="254"/>
      <c r="UCN7" s="254"/>
      <c r="UCO7" s="254"/>
      <c r="UCP7" s="254"/>
      <c r="UCQ7" s="254"/>
      <c r="UCR7" s="254"/>
      <c r="UCS7" s="254"/>
      <c r="UCT7" s="254"/>
      <c r="UCU7" s="254"/>
      <c r="UCV7" s="254"/>
      <c r="UCW7" s="254"/>
      <c r="UCX7" s="254"/>
      <c r="UCY7" s="254"/>
      <c r="UCZ7" s="254"/>
      <c r="UDA7" s="254"/>
      <c r="UDB7" s="254"/>
      <c r="UDC7" s="254"/>
      <c r="UDD7" s="254"/>
      <c r="UDE7" s="254"/>
      <c r="UDF7" s="254"/>
      <c r="UDG7" s="254"/>
      <c r="UDH7" s="254"/>
      <c r="UDI7" s="254"/>
      <c r="UDJ7" s="254"/>
      <c r="UDK7" s="254"/>
      <c r="UDL7" s="254"/>
      <c r="UDM7" s="254"/>
      <c r="UDN7" s="254"/>
      <c r="UDO7" s="254"/>
      <c r="UDP7" s="254"/>
      <c r="UDQ7" s="254"/>
      <c r="UDR7" s="254"/>
      <c r="UDS7" s="254"/>
      <c r="UDT7" s="254"/>
      <c r="UDU7" s="254"/>
      <c r="UDV7" s="254"/>
      <c r="UDW7" s="254"/>
      <c r="UDX7" s="254"/>
      <c r="UDY7" s="254"/>
      <c r="UDZ7" s="254"/>
      <c r="UEA7" s="254"/>
      <c r="UEB7" s="254"/>
      <c r="UEC7" s="254"/>
      <c r="UED7" s="254"/>
      <c r="UEE7" s="254"/>
      <c r="UEF7" s="254"/>
      <c r="UEG7" s="254"/>
      <c r="UEH7" s="254"/>
      <c r="UEI7" s="254"/>
      <c r="UEJ7" s="254"/>
      <c r="UEK7" s="254"/>
      <c r="UEL7" s="254"/>
      <c r="UEM7" s="254"/>
      <c r="UEN7" s="254"/>
      <c r="UEO7" s="254"/>
      <c r="UEP7" s="254"/>
      <c r="UEQ7" s="254"/>
      <c r="UER7" s="254"/>
      <c r="UES7" s="254"/>
      <c r="UET7" s="254"/>
      <c r="UEU7" s="254"/>
      <c r="UEV7" s="254"/>
      <c r="UEW7" s="254"/>
      <c r="UEX7" s="254"/>
      <c r="UEY7" s="254"/>
      <c r="UEZ7" s="254"/>
      <c r="UFA7" s="254"/>
      <c r="UFB7" s="254"/>
      <c r="UFC7" s="254"/>
      <c r="UFD7" s="254"/>
      <c r="UFE7" s="254"/>
      <c r="UFF7" s="254"/>
      <c r="UFG7" s="254"/>
      <c r="UFH7" s="254"/>
      <c r="UFI7" s="254"/>
      <c r="UFJ7" s="254"/>
      <c r="UFK7" s="254"/>
      <c r="UFL7" s="254"/>
      <c r="UFM7" s="254"/>
      <c r="UFN7" s="254"/>
      <c r="UFO7" s="254"/>
      <c r="UFP7" s="254"/>
      <c r="UFQ7" s="254"/>
      <c r="UFR7" s="254"/>
      <c r="UFS7" s="254"/>
      <c r="UFT7" s="254"/>
      <c r="UFU7" s="254"/>
      <c r="UFV7" s="254"/>
      <c r="UFW7" s="254"/>
      <c r="UFX7" s="254"/>
      <c r="UFY7" s="254"/>
      <c r="UFZ7" s="254"/>
      <c r="UGA7" s="254"/>
      <c r="UGB7" s="254"/>
      <c r="UGC7" s="254"/>
      <c r="UGD7" s="254"/>
      <c r="UGE7" s="254"/>
      <c r="UGF7" s="254"/>
      <c r="UGG7" s="254"/>
      <c r="UGH7" s="254"/>
      <c r="UGI7" s="254"/>
      <c r="UGJ7" s="254"/>
      <c r="UGK7" s="254"/>
      <c r="UGL7" s="254"/>
      <c r="UGM7" s="254"/>
      <c r="UGN7" s="254"/>
      <c r="UGO7" s="254"/>
      <c r="UGP7" s="254"/>
      <c r="UGQ7" s="254"/>
      <c r="UGR7" s="254"/>
      <c r="UGS7" s="254"/>
      <c r="UGT7" s="254"/>
      <c r="UGU7" s="254"/>
      <c r="UGV7" s="254"/>
      <c r="UGW7" s="254"/>
      <c r="UGX7" s="254"/>
      <c r="UGY7" s="254"/>
      <c r="UGZ7" s="254"/>
      <c r="UHA7" s="254"/>
      <c r="UHB7" s="254"/>
      <c r="UHC7" s="254"/>
      <c r="UHD7" s="254"/>
      <c r="UHE7" s="254"/>
      <c r="UHF7" s="254"/>
      <c r="UHG7" s="254"/>
      <c r="UHH7" s="254"/>
      <c r="UHI7" s="254"/>
      <c r="UHJ7" s="254"/>
      <c r="UHK7" s="254"/>
      <c r="UHL7" s="254"/>
      <c r="UHM7" s="254"/>
      <c r="UHN7" s="254"/>
      <c r="UHO7" s="254"/>
      <c r="UHP7" s="254"/>
      <c r="UHQ7" s="254"/>
      <c r="UHR7" s="254"/>
      <c r="UHS7" s="254"/>
      <c r="UHT7" s="254"/>
      <c r="UHU7" s="254"/>
      <c r="UHV7" s="254"/>
      <c r="UHW7" s="254"/>
      <c r="UHX7" s="254"/>
      <c r="UHY7" s="254"/>
      <c r="UHZ7" s="254"/>
      <c r="UIA7" s="254"/>
      <c r="UIB7" s="254"/>
      <c r="UIC7" s="254"/>
      <c r="UID7" s="254"/>
      <c r="UIE7" s="254"/>
      <c r="UIF7" s="254"/>
      <c r="UIG7" s="254"/>
      <c r="UIH7" s="254"/>
      <c r="UII7" s="254"/>
      <c r="UIJ7" s="254"/>
      <c r="UIK7" s="254"/>
      <c r="UIL7" s="254"/>
      <c r="UIM7" s="254"/>
      <c r="UIN7" s="254"/>
      <c r="UIO7" s="254"/>
      <c r="UIP7" s="254"/>
      <c r="UIQ7" s="254"/>
      <c r="UIR7" s="254"/>
      <c r="UIS7" s="254"/>
      <c r="UIT7" s="254"/>
      <c r="UIU7" s="254"/>
      <c r="UIV7" s="254"/>
      <c r="UIW7" s="254"/>
      <c r="UIX7" s="254"/>
      <c r="UIY7" s="254"/>
      <c r="UIZ7" s="254"/>
      <c r="UJA7" s="254"/>
      <c r="UJB7" s="254"/>
      <c r="UJC7" s="254"/>
      <c r="UJD7" s="254"/>
      <c r="UJE7" s="254"/>
      <c r="UJF7" s="254"/>
      <c r="UJG7" s="254"/>
      <c r="UJH7" s="254"/>
      <c r="UJI7" s="254"/>
      <c r="UJJ7" s="254"/>
      <c r="UJK7" s="254"/>
      <c r="UJL7" s="254"/>
      <c r="UJM7" s="254"/>
      <c r="UJN7" s="254"/>
      <c r="UJO7" s="254"/>
      <c r="UJP7" s="254"/>
      <c r="UJQ7" s="254"/>
      <c r="UJR7" s="254"/>
      <c r="UJS7" s="254"/>
      <c r="UJT7" s="254"/>
      <c r="UJU7" s="254"/>
      <c r="UJV7" s="254"/>
      <c r="UJW7" s="254"/>
      <c r="UJX7" s="254"/>
      <c r="UJY7" s="254"/>
      <c r="UJZ7" s="254"/>
      <c r="UKA7" s="254"/>
      <c r="UKB7" s="254"/>
      <c r="UKC7" s="254"/>
      <c r="UKD7" s="254"/>
      <c r="UKE7" s="254"/>
      <c r="UKF7" s="254"/>
      <c r="UKG7" s="254"/>
      <c r="UKH7" s="254"/>
      <c r="UKI7" s="254"/>
      <c r="UKJ7" s="254"/>
      <c r="UKK7" s="254"/>
      <c r="UKL7" s="254"/>
      <c r="UKM7" s="254"/>
      <c r="UKN7" s="254"/>
      <c r="UKO7" s="254"/>
      <c r="UKP7" s="254"/>
      <c r="UKQ7" s="254"/>
      <c r="UKR7" s="254"/>
      <c r="UKS7" s="254"/>
      <c r="UKT7" s="254"/>
      <c r="UKU7" s="254"/>
      <c r="UKV7" s="254"/>
      <c r="UKW7" s="254"/>
      <c r="UKX7" s="254"/>
      <c r="UKY7" s="254"/>
      <c r="UKZ7" s="254"/>
      <c r="ULA7" s="254"/>
      <c r="ULB7" s="254"/>
      <c r="ULC7" s="254"/>
      <c r="ULD7" s="254"/>
      <c r="ULE7" s="254"/>
      <c r="ULF7" s="254"/>
      <c r="ULG7" s="254"/>
      <c r="ULH7" s="254"/>
      <c r="ULI7" s="254"/>
      <c r="ULJ7" s="254"/>
      <c r="ULK7" s="254"/>
      <c r="ULL7" s="254"/>
      <c r="ULM7" s="254"/>
      <c r="ULN7" s="254"/>
      <c r="ULO7" s="254"/>
      <c r="ULP7" s="254"/>
      <c r="ULQ7" s="254"/>
      <c r="ULR7" s="254"/>
      <c r="ULS7" s="254"/>
      <c r="ULT7" s="254"/>
      <c r="ULU7" s="254"/>
      <c r="ULV7" s="254"/>
      <c r="ULW7" s="254"/>
      <c r="ULX7" s="254"/>
      <c r="ULY7" s="254"/>
      <c r="ULZ7" s="254"/>
      <c r="UMA7" s="254"/>
      <c r="UMB7" s="254"/>
      <c r="UMC7" s="254"/>
      <c r="UMD7" s="254"/>
      <c r="UME7" s="254"/>
      <c r="UMF7" s="254"/>
      <c r="UMG7" s="254"/>
      <c r="UMH7" s="254"/>
      <c r="UMI7" s="254"/>
      <c r="UMJ7" s="254"/>
      <c r="UMK7" s="254"/>
      <c r="UML7" s="254"/>
      <c r="UMM7" s="254"/>
      <c r="UMN7" s="254"/>
      <c r="UMO7" s="254"/>
      <c r="UMP7" s="254"/>
      <c r="UMQ7" s="254"/>
      <c r="UMR7" s="254"/>
      <c r="UMS7" s="254"/>
      <c r="UMT7" s="254"/>
      <c r="UMU7" s="254"/>
      <c r="UMV7" s="254"/>
      <c r="UMW7" s="254"/>
      <c r="UMX7" s="254"/>
      <c r="UMY7" s="254"/>
      <c r="UMZ7" s="254"/>
      <c r="UNA7" s="254"/>
      <c r="UNB7" s="254"/>
      <c r="UNC7" s="254"/>
      <c r="UND7" s="254"/>
      <c r="UNE7" s="254"/>
      <c r="UNF7" s="254"/>
      <c r="UNG7" s="254"/>
      <c r="UNH7" s="254"/>
      <c r="UNI7" s="254"/>
      <c r="UNJ7" s="254"/>
      <c r="UNK7" s="254"/>
      <c r="UNL7" s="254"/>
      <c r="UNM7" s="254"/>
      <c r="UNN7" s="254"/>
      <c r="UNO7" s="254"/>
      <c r="UNP7" s="254"/>
      <c r="UNQ7" s="254"/>
      <c r="UNR7" s="254"/>
      <c r="UNS7" s="254"/>
      <c r="UNT7" s="254"/>
      <c r="UNU7" s="254"/>
      <c r="UNV7" s="254"/>
      <c r="UNW7" s="254"/>
      <c r="UNX7" s="254"/>
      <c r="UNY7" s="254"/>
      <c r="UNZ7" s="254"/>
      <c r="UOA7" s="254"/>
      <c r="UOB7" s="254"/>
      <c r="UOC7" s="254"/>
      <c r="UOD7" s="254"/>
      <c r="UOE7" s="254"/>
      <c r="UOF7" s="254"/>
      <c r="UOG7" s="254"/>
      <c r="UOH7" s="254"/>
      <c r="UOI7" s="254"/>
      <c r="UOJ7" s="254"/>
      <c r="UOK7" s="254"/>
      <c r="UOL7" s="254"/>
      <c r="UOM7" s="254"/>
      <c r="UON7" s="254"/>
      <c r="UOO7" s="254"/>
      <c r="UOP7" s="254"/>
      <c r="UOQ7" s="254"/>
      <c r="UOR7" s="254"/>
      <c r="UOS7" s="254"/>
      <c r="UOT7" s="254"/>
      <c r="UOU7" s="254"/>
      <c r="UOV7" s="254"/>
      <c r="UOW7" s="254"/>
      <c r="UOX7" s="254"/>
      <c r="UOY7" s="254"/>
      <c r="UOZ7" s="254"/>
      <c r="UPA7" s="254"/>
      <c r="UPB7" s="254"/>
      <c r="UPC7" s="254"/>
      <c r="UPD7" s="254"/>
      <c r="UPE7" s="254"/>
      <c r="UPF7" s="254"/>
      <c r="UPG7" s="254"/>
      <c r="UPH7" s="254"/>
      <c r="UPI7" s="254"/>
      <c r="UPJ7" s="254"/>
      <c r="UPK7" s="254"/>
      <c r="UPL7" s="254"/>
      <c r="UPM7" s="254"/>
      <c r="UPN7" s="254"/>
      <c r="UPO7" s="254"/>
      <c r="UPP7" s="254"/>
      <c r="UPQ7" s="254"/>
      <c r="UPR7" s="254"/>
      <c r="UPS7" s="254"/>
      <c r="UPT7" s="254"/>
      <c r="UPU7" s="254"/>
      <c r="UPV7" s="254"/>
      <c r="UPW7" s="254"/>
      <c r="UPX7" s="254"/>
      <c r="UPY7" s="254"/>
      <c r="UPZ7" s="254"/>
      <c r="UQA7" s="254"/>
      <c r="UQB7" s="254"/>
      <c r="UQC7" s="254"/>
      <c r="UQD7" s="254"/>
      <c r="UQE7" s="254"/>
      <c r="UQF7" s="254"/>
      <c r="UQG7" s="254"/>
      <c r="UQH7" s="254"/>
      <c r="UQI7" s="254"/>
      <c r="UQJ7" s="254"/>
      <c r="UQK7" s="254"/>
      <c r="UQL7" s="254"/>
      <c r="UQM7" s="254"/>
      <c r="UQN7" s="254"/>
      <c r="UQO7" s="254"/>
      <c r="UQP7" s="254"/>
      <c r="UQQ7" s="254"/>
      <c r="UQR7" s="254"/>
      <c r="UQS7" s="254"/>
      <c r="UQT7" s="254"/>
      <c r="UQU7" s="254"/>
      <c r="UQV7" s="254"/>
      <c r="UQW7" s="254"/>
      <c r="UQX7" s="254"/>
      <c r="UQY7" s="254"/>
      <c r="UQZ7" s="254"/>
      <c r="URA7" s="254"/>
      <c r="URB7" s="254"/>
      <c r="URC7" s="254"/>
      <c r="URD7" s="254"/>
      <c r="URE7" s="254"/>
      <c r="URF7" s="254"/>
      <c r="URG7" s="254"/>
      <c r="URH7" s="254"/>
      <c r="URI7" s="254"/>
      <c r="URJ7" s="254"/>
      <c r="URK7" s="254"/>
      <c r="URL7" s="254"/>
      <c r="URM7" s="254"/>
      <c r="URN7" s="254"/>
      <c r="URO7" s="254"/>
      <c r="URP7" s="254"/>
      <c r="URQ7" s="254"/>
      <c r="URR7" s="254"/>
      <c r="URS7" s="254"/>
      <c r="URT7" s="254"/>
      <c r="URU7" s="254"/>
      <c r="URV7" s="254"/>
      <c r="URW7" s="254"/>
      <c r="URX7" s="254"/>
      <c r="URY7" s="254"/>
      <c r="URZ7" s="254"/>
      <c r="USA7" s="254"/>
      <c r="USB7" s="254"/>
      <c r="USC7" s="254"/>
      <c r="USD7" s="254"/>
      <c r="USE7" s="254"/>
      <c r="USF7" s="254"/>
      <c r="USG7" s="254"/>
      <c r="USH7" s="254"/>
      <c r="USI7" s="254"/>
      <c r="USJ7" s="254"/>
      <c r="USK7" s="254"/>
      <c r="USL7" s="254"/>
      <c r="USM7" s="254"/>
      <c r="USN7" s="254"/>
      <c r="USO7" s="254"/>
      <c r="USP7" s="254"/>
      <c r="USQ7" s="254"/>
      <c r="USR7" s="254"/>
      <c r="USS7" s="254"/>
      <c r="UST7" s="254"/>
      <c r="USU7" s="254"/>
      <c r="USV7" s="254"/>
      <c r="USW7" s="254"/>
      <c r="USX7" s="254"/>
      <c r="USY7" s="254"/>
      <c r="USZ7" s="254"/>
      <c r="UTA7" s="254"/>
      <c r="UTB7" s="254"/>
      <c r="UTC7" s="254"/>
      <c r="UTD7" s="254"/>
      <c r="UTE7" s="254"/>
      <c r="UTF7" s="254"/>
      <c r="UTG7" s="254"/>
      <c r="UTH7" s="254"/>
      <c r="UTI7" s="254"/>
      <c r="UTJ7" s="254"/>
      <c r="UTK7" s="254"/>
      <c r="UTL7" s="254"/>
      <c r="UTM7" s="254"/>
      <c r="UTN7" s="254"/>
      <c r="UTO7" s="254"/>
      <c r="UTP7" s="254"/>
      <c r="UTQ7" s="254"/>
      <c r="UTR7" s="254"/>
      <c r="UTS7" s="254"/>
      <c r="UTT7" s="254"/>
      <c r="UTU7" s="254"/>
      <c r="UTV7" s="254"/>
      <c r="UTW7" s="254"/>
      <c r="UTX7" s="254"/>
      <c r="UTY7" s="254"/>
      <c r="UTZ7" s="254"/>
      <c r="UUA7" s="254"/>
      <c r="UUB7" s="254"/>
      <c r="UUC7" s="254"/>
      <c r="UUD7" s="254"/>
      <c r="UUE7" s="254"/>
      <c r="UUF7" s="254"/>
      <c r="UUG7" s="254"/>
      <c r="UUH7" s="254"/>
      <c r="UUI7" s="254"/>
      <c r="UUJ7" s="254"/>
      <c r="UUK7" s="254"/>
      <c r="UUL7" s="254"/>
      <c r="UUM7" s="254"/>
      <c r="UUN7" s="254"/>
      <c r="UUO7" s="254"/>
      <c r="UUP7" s="254"/>
      <c r="UUQ7" s="254"/>
      <c r="UUR7" s="254"/>
      <c r="UUS7" s="254"/>
      <c r="UUT7" s="254"/>
      <c r="UUU7" s="254"/>
      <c r="UUV7" s="254"/>
      <c r="UUW7" s="254"/>
      <c r="UUX7" s="254"/>
      <c r="UUY7" s="254"/>
      <c r="UUZ7" s="254"/>
      <c r="UVA7" s="254"/>
      <c r="UVB7" s="254"/>
      <c r="UVC7" s="254"/>
      <c r="UVD7" s="254"/>
      <c r="UVE7" s="254"/>
      <c r="UVF7" s="254"/>
      <c r="UVG7" s="254"/>
      <c r="UVH7" s="254"/>
      <c r="UVI7" s="254"/>
      <c r="UVJ7" s="254"/>
      <c r="UVK7" s="254"/>
      <c r="UVL7" s="254"/>
      <c r="UVM7" s="254"/>
      <c r="UVN7" s="254"/>
      <c r="UVO7" s="254"/>
      <c r="UVP7" s="254"/>
      <c r="UVQ7" s="254"/>
      <c r="UVR7" s="254"/>
      <c r="UVS7" s="254"/>
      <c r="UVT7" s="254"/>
      <c r="UVU7" s="254"/>
      <c r="UVV7" s="254"/>
      <c r="UVW7" s="254"/>
      <c r="UVX7" s="254"/>
      <c r="UVY7" s="254"/>
      <c r="UVZ7" s="254"/>
      <c r="UWA7" s="254"/>
      <c r="UWB7" s="254"/>
      <c r="UWC7" s="254"/>
      <c r="UWD7" s="254"/>
      <c r="UWE7" s="254"/>
      <c r="UWF7" s="254"/>
      <c r="UWG7" s="254"/>
      <c r="UWH7" s="254"/>
      <c r="UWI7" s="254"/>
      <c r="UWJ7" s="254"/>
      <c r="UWK7" s="254"/>
      <c r="UWL7" s="254"/>
      <c r="UWM7" s="254"/>
      <c r="UWN7" s="254"/>
      <c r="UWO7" s="254"/>
      <c r="UWP7" s="254"/>
      <c r="UWQ7" s="254"/>
      <c r="UWR7" s="254"/>
      <c r="UWS7" s="254"/>
      <c r="UWT7" s="254"/>
      <c r="UWU7" s="254"/>
      <c r="UWV7" s="254"/>
      <c r="UWW7" s="254"/>
      <c r="UWX7" s="254"/>
      <c r="UWY7" s="254"/>
      <c r="UWZ7" s="254"/>
      <c r="UXA7" s="254"/>
      <c r="UXB7" s="254"/>
      <c r="UXC7" s="254"/>
      <c r="UXD7" s="254"/>
      <c r="UXE7" s="254"/>
      <c r="UXF7" s="254"/>
      <c r="UXG7" s="254"/>
      <c r="UXH7" s="254"/>
      <c r="UXI7" s="254"/>
      <c r="UXJ7" s="254"/>
      <c r="UXK7" s="254"/>
      <c r="UXL7" s="254"/>
      <c r="UXM7" s="254"/>
      <c r="UXN7" s="254"/>
      <c r="UXO7" s="254"/>
      <c r="UXP7" s="254"/>
      <c r="UXQ7" s="254"/>
      <c r="UXR7" s="254"/>
      <c r="UXS7" s="254"/>
      <c r="UXT7" s="254"/>
      <c r="UXU7" s="254"/>
      <c r="UXV7" s="254"/>
      <c r="UXW7" s="254"/>
      <c r="UXX7" s="254"/>
      <c r="UXY7" s="254"/>
      <c r="UXZ7" s="254"/>
      <c r="UYA7" s="254"/>
      <c r="UYB7" s="254"/>
      <c r="UYC7" s="254"/>
      <c r="UYD7" s="254"/>
      <c r="UYE7" s="254"/>
      <c r="UYF7" s="254"/>
      <c r="UYG7" s="254"/>
      <c r="UYH7" s="254"/>
      <c r="UYI7" s="254"/>
      <c r="UYJ7" s="254"/>
      <c r="UYK7" s="254"/>
      <c r="UYL7" s="254"/>
      <c r="UYM7" s="254"/>
      <c r="UYN7" s="254"/>
      <c r="UYO7" s="254"/>
      <c r="UYP7" s="254"/>
      <c r="UYQ7" s="254"/>
      <c r="UYR7" s="254"/>
      <c r="UYS7" s="254"/>
      <c r="UYT7" s="254"/>
      <c r="UYU7" s="254"/>
      <c r="UYV7" s="254"/>
      <c r="UYW7" s="254"/>
      <c r="UYX7" s="254"/>
      <c r="UYY7" s="254"/>
      <c r="UYZ7" s="254"/>
      <c r="UZA7" s="254"/>
      <c r="UZB7" s="254"/>
      <c r="UZC7" s="254"/>
      <c r="UZD7" s="254"/>
      <c r="UZE7" s="254"/>
      <c r="UZF7" s="254"/>
      <c r="UZG7" s="254"/>
      <c r="UZH7" s="254"/>
      <c r="UZI7" s="254"/>
      <c r="UZJ7" s="254"/>
      <c r="UZK7" s="254"/>
      <c r="UZL7" s="254"/>
      <c r="UZM7" s="254"/>
      <c r="UZN7" s="254"/>
      <c r="UZO7" s="254"/>
      <c r="UZP7" s="254"/>
      <c r="UZQ7" s="254"/>
      <c r="UZR7" s="254"/>
      <c r="UZS7" s="254"/>
      <c r="UZT7" s="254"/>
      <c r="UZU7" s="254"/>
      <c r="UZV7" s="254"/>
      <c r="UZW7" s="254"/>
      <c r="UZX7" s="254"/>
      <c r="UZY7" s="254"/>
      <c r="UZZ7" s="254"/>
      <c r="VAA7" s="254"/>
      <c r="VAB7" s="254"/>
      <c r="VAC7" s="254"/>
      <c r="VAD7" s="254"/>
      <c r="VAE7" s="254"/>
      <c r="VAF7" s="254"/>
      <c r="VAG7" s="254"/>
      <c r="VAH7" s="254"/>
      <c r="VAI7" s="254"/>
      <c r="VAJ7" s="254"/>
      <c r="VAK7" s="254"/>
      <c r="VAL7" s="254"/>
      <c r="VAM7" s="254"/>
      <c r="VAN7" s="254"/>
      <c r="VAO7" s="254"/>
      <c r="VAP7" s="254"/>
      <c r="VAQ7" s="254"/>
      <c r="VAR7" s="254"/>
      <c r="VAS7" s="254"/>
      <c r="VAT7" s="254"/>
      <c r="VAU7" s="254"/>
      <c r="VAV7" s="254"/>
      <c r="VAW7" s="254"/>
      <c r="VAX7" s="254"/>
      <c r="VAY7" s="254"/>
      <c r="VAZ7" s="254"/>
      <c r="VBA7" s="254"/>
      <c r="VBB7" s="254"/>
      <c r="VBC7" s="254"/>
      <c r="VBD7" s="254"/>
      <c r="VBE7" s="254"/>
      <c r="VBF7" s="254"/>
      <c r="VBG7" s="254"/>
      <c r="VBH7" s="254"/>
      <c r="VBI7" s="254"/>
      <c r="VBJ7" s="254"/>
      <c r="VBK7" s="254"/>
      <c r="VBL7" s="254"/>
      <c r="VBM7" s="254"/>
      <c r="VBN7" s="254"/>
      <c r="VBO7" s="254"/>
      <c r="VBP7" s="254"/>
      <c r="VBQ7" s="254"/>
      <c r="VBR7" s="254"/>
      <c r="VBS7" s="254"/>
      <c r="VBT7" s="254"/>
      <c r="VBU7" s="254"/>
      <c r="VBV7" s="254"/>
      <c r="VBW7" s="254"/>
      <c r="VBX7" s="254"/>
      <c r="VBY7" s="254"/>
      <c r="VBZ7" s="254"/>
      <c r="VCA7" s="254"/>
      <c r="VCB7" s="254"/>
      <c r="VCC7" s="254"/>
      <c r="VCD7" s="254"/>
      <c r="VCE7" s="254"/>
      <c r="VCF7" s="254"/>
      <c r="VCG7" s="254"/>
      <c r="VCH7" s="254"/>
      <c r="VCI7" s="254"/>
      <c r="VCJ7" s="254"/>
      <c r="VCK7" s="254"/>
      <c r="VCL7" s="254"/>
      <c r="VCM7" s="254"/>
      <c r="VCN7" s="254"/>
      <c r="VCO7" s="254"/>
      <c r="VCP7" s="254"/>
      <c r="VCQ7" s="254"/>
      <c r="VCR7" s="254"/>
      <c r="VCS7" s="254"/>
      <c r="VCT7" s="254"/>
      <c r="VCU7" s="254"/>
      <c r="VCV7" s="254"/>
      <c r="VCW7" s="254"/>
      <c r="VCX7" s="254"/>
      <c r="VCY7" s="254"/>
      <c r="VCZ7" s="254"/>
      <c r="VDA7" s="254"/>
      <c r="VDB7" s="254"/>
      <c r="VDC7" s="254"/>
      <c r="VDD7" s="254"/>
      <c r="VDE7" s="254"/>
      <c r="VDF7" s="254"/>
      <c r="VDG7" s="254"/>
      <c r="VDH7" s="254"/>
      <c r="VDI7" s="254"/>
      <c r="VDJ7" s="254"/>
      <c r="VDK7" s="254"/>
      <c r="VDL7" s="254"/>
      <c r="VDM7" s="254"/>
      <c r="VDN7" s="254"/>
      <c r="VDO7" s="254"/>
      <c r="VDP7" s="254"/>
      <c r="VDQ7" s="254"/>
      <c r="VDR7" s="254"/>
      <c r="VDS7" s="254"/>
      <c r="VDT7" s="254"/>
      <c r="VDU7" s="254"/>
      <c r="VDV7" s="254"/>
      <c r="VDW7" s="254"/>
      <c r="VDX7" s="254"/>
      <c r="VDY7" s="254"/>
      <c r="VDZ7" s="254"/>
      <c r="VEA7" s="254"/>
      <c r="VEB7" s="254"/>
      <c r="VEC7" s="254"/>
      <c r="VED7" s="254"/>
      <c r="VEE7" s="254"/>
      <c r="VEF7" s="254"/>
      <c r="VEG7" s="254"/>
      <c r="VEH7" s="254"/>
      <c r="VEI7" s="254"/>
      <c r="VEJ7" s="254"/>
      <c r="VEK7" s="254"/>
      <c r="VEL7" s="254"/>
      <c r="VEM7" s="254"/>
      <c r="VEN7" s="254"/>
      <c r="VEO7" s="254"/>
      <c r="VEP7" s="254"/>
      <c r="VEQ7" s="254"/>
      <c r="VER7" s="254"/>
      <c r="VES7" s="254"/>
      <c r="VET7" s="254"/>
      <c r="VEU7" s="254"/>
      <c r="VEV7" s="254"/>
      <c r="VEW7" s="254"/>
      <c r="VEX7" s="254"/>
      <c r="VEY7" s="254"/>
      <c r="VEZ7" s="254"/>
      <c r="VFA7" s="254"/>
      <c r="VFB7" s="254"/>
      <c r="VFC7" s="254"/>
      <c r="VFD7" s="254"/>
      <c r="VFE7" s="254"/>
      <c r="VFF7" s="254"/>
      <c r="VFG7" s="254"/>
      <c r="VFH7" s="254"/>
      <c r="VFI7" s="254"/>
      <c r="VFJ7" s="254"/>
      <c r="VFK7" s="254"/>
      <c r="VFL7" s="254"/>
      <c r="VFM7" s="254"/>
      <c r="VFN7" s="254"/>
      <c r="VFO7" s="254"/>
      <c r="VFP7" s="254"/>
      <c r="VFQ7" s="254"/>
      <c r="VFR7" s="254"/>
      <c r="VFS7" s="254"/>
      <c r="VFT7" s="254"/>
      <c r="VFU7" s="254"/>
      <c r="VFV7" s="254"/>
      <c r="VFW7" s="254"/>
      <c r="VFX7" s="254"/>
      <c r="VFY7" s="254"/>
      <c r="VFZ7" s="254"/>
      <c r="VGA7" s="254"/>
      <c r="VGB7" s="254"/>
      <c r="VGC7" s="254"/>
      <c r="VGD7" s="254"/>
      <c r="VGE7" s="254"/>
      <c r="VGF7" s="254"/>
      <c r="VGG7" s="254"/>
      <c r="VGH7" s="254"/>
      <c r="VGI7" s="254"/>
      <c r="VGJ7" s="254"/>
      <c r="VGK7" s="254"/>
      <c r="VGL7" s="254"/>
      <c r="VGM7" s="254"/>
      <c r="VGN7" s="254"/>
      <c r="VGO7" s="254"/>
      <c r="VGP7" s="254"/>
      <c r="VGQ7" s="254"/>
      <c r="VGR7" s="254"/>
      <c r="VGS7" s="254"/>
      <c r="VGT7" s="254"/>
      <c r="VGU7" s="254"/>
      <c r="VGV7" s="254"/>
      <c r="VGW7" s="254"/>
      <c r="VGX7" s="254"/>
      <c r="VGY7" s="254"/>
      <c r="VGZ7" s="254"/>
      <c r="VHA7" s="254"/>
      <c r="VHB7" s="254"/>
      <c r="VHC7" s="254"/>
      <c r="VHD7" s="254"/>
      <c r="VHE7" s="254"/>
      <c r="VHF7" s="254"/>
      <c r="VHG7" s="254"/>
      <c r="VHH7" s="254"/>
      <c r="VHI7" s="254"/>
      <c r="VHJ7" s="254"/>
      <c r="VHK7" s="254"/>
      <c r="VHL7" s="254"/>
      <c r="VHM7" s="254"/>
      <c r="VHN7" s="254"/>
      <c r="VHO7" s="254"/>
      <c r="VHP7" s="254"/>
      <c r="VHQ7" s="254"/>
      <c r="VHR7" s="254"/>
      <c r="VHS7" s="254"/>
      <c r="VHT7" s="254"/>
      <c r="VHU7" s="254"/>
      <c r="VHV7" s="254"/>
      <c r="VHW7" s="254"/>
      <c r="VHX7" s="254"/>
      <c r="VHY7" s="254"/>
      <c r="VHZ7" s="254"/>
      <c r="VIA7" s="254"/>
      <c r="VIB7" s="254"/>
      <c r="VIC7" s="254"/>
      <c r="VID7" s="254"/>
      <c r="VIE7" s="254"/>
      <c r="VIF7" s="254"/>
      <c r="VIG7" s="254"/>
      <c r="VIH7" s="254"/>
      <c r="VII7" s="254"/>
      <c r="VIJ7" s="254"/>
      <c r="VIK7" s="254"/>
      <c r="VIL7" s="254"/>
      <c r="VIM7" s="254"/>
      <c r="VIN7" s="254"/>
      <c r="VIO7" s="254"/>
      <c r="VIP7" s="254"/>
      <c r="VIQ7" s="254"/>
      <c r="VIR7" s="254"/>
      <c r="VIS7" s="254"/>
      <c r="VIT7" s="254"/>
      <c r="VIU7" s="254"/>
      <c r="VIV7" s="254"/>
      <c r="VIW7" s="254"/>
      <c r="VIX7" s="254"/>
      <c r="VIY7" s="254"/>
      <c r="VIZ7" s="254"/>
      <c r="VJA7" s="254"/>
      <c r="VJB7" s="254"/>
      <c r="VJC7" s="254"/>
      <c r="VJD7" s="254"/>
      <c r="VJE7" s="254"/>
      <c r="VJF7" s="254"/>
      <c r="VJG7" s="254"/>
      <c r="VJH7" s="254"/>
      <c r="VJI7" s="254"/>
      <c r="VJJ7" s="254"/>
      <c r="VJK7" s="254"/>
      <c r="VJL7" s="254"/>
      <c r="VJM7" s="254"/>
      <c r="VJN7" s="254"/>
      <c r="VJO7" s="254"/>
      <c r="VJP7" s="254"/>
      <c r="VJQ7" s="254"/>
      <c r="VJR7" s="254"/>
      <c r="VJS7" s="254"/>
      <c r="VJT7" s="254"/>
      <c r="VJU7" s="254"/>
      <c r="VJV7" s="254"/>
      <c r="VJW7" s="254"/>
      <c r="VJX7" s="254"/>
      <c r="VJY7" s="254"/>
      <c r="VJZ7" s="254"/>
      <c r="VKA7" s="254"/>
      <c r="VKB7" s="254"/>
      <c r="VKC7" s="254"/>
      <c r="VKD7" s="254"/>
      <c r="VKE7" s="254"/>
      <c r="VKF7" s="254"/>
      <c r="VKG7" s="254"/>
      <c r="VKH7" s="254"/>
      <c r="VKI7" s="254"/>
      <c r="VKJ7" s="254"/>
      <c r="VKK7" s="254"/>
      <c r="VKL7" s="254"/>
      <c r="VKM7" s="254"/>
      <c r="VKN7" s="254"/>
      <c r="VKO7" s="254"/>
      <c r="VKP7" s="254"/>
      <c r="VKQ7" s="254"/>
      <c r="VKR7" s="254"/>
      <c r="VKS7" s="254"/>
      <c r="VKT7" s="254"/>
      <c r="VKU7" s="254"/>
      <c r="VKV7" s="254"/>
      <c r="VKW7" s="254"/>
      <c r="VKX7" s="254"/>
      <c r="VKY7" s="254"/>
      <c r="VKZ7" s="254"/>
      <c r="VLA7" s="254"/>
      <c r="VLB7" s="254"/>
      <c r="VLC7" s="254"/>
      <c r="VLD7" s="254"/>
      <c r="VLE7" s="254"/>
      <c r="VLF7" s="254"/>
      <c r="VLG7" s="254"/>
      <c r="VLH7" s="254"/>
      <c r="VLI7" s="254"/>
      <c r="VLJ7" s="254"/>
      <c r="VLK7" s="254"/>
      <c r="VLL7" s="254"/>
      <c r="VLM7" s="254"/>
      <c r="VLN7" s="254"/>
      <c r="VLO7" s="254"/>
      <c r="VLP7" s="254"/>
      <c r="VLQ7" s="254"/>
      <c r="VLR7" s="254"/>
      <c r="VLS7" s="254"/>
      <c r="VLT7" s="254"/>
      <c r="VLU7" s="254"/>
      <c r="VLV7" s="254"/>
      <c r="VLW7" s="254"/>
      <c r="VLX7" s="254"/>
      <c r="VLY7" s="254"/>
      <c r="VLZ7" s="254"/>
      <c r="VMA7" s="254"/>
      <c r="VMB7" s="254"/>
      <c r="VMC7" s="254"/>
      <c r="VMD7" s="254"/>
      <c r="VME7" s="254"/>
      <c r="VMF7" s="254"/>
      <c r="VMG7" s="254"/>
      <c r="VMH7" s="254"/>
      <c r="VMI7" s="254"/>
      <c r="VMJ7" s="254"/>
      <c r="VMK7" s="254"/>
      <c r="VML7" s="254"/>
      <c r="VMM7" s="254"/>
      <c r="VMN7" s="254"/>
      <c r="VMO7" s="254"/>
      <c r="VMP7" s="254"/>
      <c r="VMQ7" s="254"/>
      <c r="VMR7" s="254"/>
      <c r="VMS7" s="254"/>
      <c r="VMT7" s="254"/>
      <c r="VMU7" s="254"/>
      <c r="VMV7" s="254"/>
      <c r="VMW7" s="254"/>
      <c r="VMX7" s="254"/>
      <c r="VMY7" s="254"/>
      <c r="VMZ7" s="254"/>
      <c r="VNA7" s="254"/>
      <c r="VNB7" s="254"/>
      <c r="VNC7" s="254"/>
      <c r="VND7" s="254"/>
      <c r="VNE7" s="254"/>
      <c r="VNF7" s="254"/>
      <c r="VNG7" s="254"/>
      <c r="VNH7" s="254"/>
      <c r="VNI7" s="254"/>
      <c r="VNJ7" s="254"/>
      <c r="VNK7" s="254"/>
      <c r="VNL7" s="254"/>
      <c r="VNM7" s="254"/>
      <c r="VNN7" s="254"/>
      <c r="VNO7" s="254"/>
      <c r="VNP7" s="254"/>
      <c r="VNQ7" s="254"/>
      <c r="VNR7" s="254"/>
      <c r="VNS7" s="254"/>
      <c r="VNT7" s="254"/>
      <c r="VNU7" s="254"/>
      <c r="VNV7" s="254"/>
      <c r="VNW7" s="254"/>
      <c r="VNX7" s="254"/>
      <c r="VNY7" s="254"/>
      <c r="VNZ7" s="254"/>
      <c r="VOA7" s="254"/>
      <c r="VOB7" s="254"/>
      <c r="VOC7" s="254"/>
      <c r="VOD7" s="254"/>
      <c r="VOE7" s="254"/>
      <c r="VOF7" s="254"/>
      <c r="VOG7" s="254"/>
      <c r="VOH7" s="254"/>
      <c r="VOI7" s="254"/>
      <c r="VOJ7" s="254"/>
      <c r="VOK7" s="254"/>
      <c r="VOL7" s="254"/>
      <c r="VOM7" s="254"/>
      <c r="VON7" s="254"/>
      <c r="VOO7" s="254"/>
      <c r="VOP7" s="254"/>
      <c r="VOQ7" s="254"/>
      <c r="VOR7" s="254"/>
      <c r="VOS7" s="254"/>
      <c r="VOT7" s="254"/>
      <c r="VOU7" s="254"/>
      <c r="VOV7" s="254"/>
      <c r="VOW7" s="254"/>
      <c r="VOX7" s="254"/>
      <c r="VOY7" s="254"/>
      <c r="VOZ7" s="254"/>
      <c r="VPA7" s="254"/>
      <c r="VPB7" s="254"/>
      <c r="VPC7" s="254"/>
      <c r="VPD7" s="254"/>
      <c r="VPE7" s="254"/>
      <c r="VPF7" s="254"/>
      <c r="VPG7" s="254"/>
      <c r="VPH7" s="254"/>
      <c r="VPI7" s="254"/>
      <c r="VPJ7" s="254"/>
      <c r="VPK7" s="254"/>
      <c r="VPL7" s="254"/>
      <c r="VPM7" s="254"/>
      <c r="VPN7" s="254"/>
      <c r="VPO7" s="254"/>
      <c r="VPP7" s="254"/>
      <c r="VPQ7" s="254"/>
      <c r="VPR7" s="254"/>
      <c r="VPS7" s="254"/>
      <c r="VPT7" s="254"/>
      <c r="VPU7" s="254"/>
      <c r="VPV7" s="254"/>
      <c r="VPW7" s="254"/>
      <c r="VPX7" s="254"/>
      <c r="VPY7" s="254"/>
      <c r="VPZ7" s="254"/>
      <c r="VQA7" s="254"/>
      <c r="VQB7" s="254"/>
      <c r="VQC7" s="254"/>
      <c r="VQD7" s="254"/>
      <c r="VQE7" s="254"/>
      <c r="VQF7" s="254"/>
      <c r="VQG7" s="254"/>
      <c r="VQH7" s="254"/>
      <c r="VQI7" s="254"/>
      <c r="VQJ7" s="254"/>
      <c r="VQK7" s="254"/>
      <c r="VQL7" s="254"/>
      <c r="VQM7" s="254"/>
      <c r="VQN7" s="254"/>
      <c r="VQO7" s="254"/>
      <c r="VQP7" s="254"/>
      <c r="VQQ7" s="254"/>
      <c r="VQR7" s="254"/>
      <c r="VQS7" s="254"/>
      <c r="VQT7" s="254"/>
      <c r="VQU7" s="254"/>
      <c r="VQV7" s="254"/>
      <c r="VQW7" s="254"/>
      <c r="VQX7" s="254"/>
      <c r="VQY7" s="254"/>
      <c r="VQZ7" s="254"/>
      <c r="VRA7" s="254"/>
      <c r="VRB7" s="254"/>
      <c r="VRC7" s="254"/>
      <c r="VRD7" s="254"/>
      <c r="VRE7" s="254"/>
      <c r="VRF7" s="254"/>
      <c r="VRG7" s="254"/>
      <c r="VRH7" s="254"/>
      <c r="VRI7" s="254"/>
      <c r="VRJ7" s="254"/>
      <c r="VRK7" s="254"/>
      <c r="VRL7" s="254"/>
      <c r="VRM7" s="254"/>
      <c r="VRN7" s="254"/>
      <c r="VRO7" s="254"/>
      <c r="VRP7" s="254"/>
      <c r="VRQ7" s="254"/>
      <c r="VRR7" s="254"/>
      <c r="VRS7" s="254"/>
      <c r="VRT7" s="254"/>
      <c r="VRU7" s="254"/>
      <c r="VRV7" s="254"/>
      <c r="VRW7" s="254"/>
      <c r="VRX7" s="254"/>
      <c r="VRY7" s="254"/>
      <c r="VRZ7" s="254"/>
      <c r="VSA7" s="254"/>
      <c r="VSB7" s="254"/>
      <c r="VSC7" s="254"/>
      <c r="VSD7" s="254"/>
      <c r="VSE7" s="254"/>
      <c r="VSF7" s="254"/>
      <c r="VSG7" s="254"/>
      <c r="VSH7" s="254"/>
      <c r="VSI7" s="254"/>
      <c r="VSJ7" s="254"/>
      <c r="VSK7" s="254"/>
      <c r="VSL7" s="254"/>
      <c r="VSM7" s="254"/>
      <c r="VSN7" s="254"/>
      <c r="VSO7" s="254"/>
      <c r="VSP7" s="254"/>
      <c r="VSQ7" s="254"/>
      <c r="VSR7" s="254"/>
      <c r="VSS7" s="254"/>
      <c r="VST7" s="254"/>
      <c r="VSU7" s="254"/>
      <c r="VSV7" s="254"/>
      <c r="VSW7" s="254"/>
      <c r="VSX7" s="254"/>
      <c r="VSY7" s="254"/>
      <c r="VSZ7" s="254"/>
      <c r="VTA7" s="254"/>
      <c r="VTB7" s="254"/>
      <c r="VTC7" s="254"/>
      <c r="VTD7" s="254"/>
      <c r="VTE7" s="254"/>
      <c r="VTF7" s="254"/>
      <c r="VTG7" s="254"/>
      <c r="VTH7" s="254"/>
      <c r="VTI7" s="254"/>
      <c r="VTJ7" s="254"/>
      <c r="VTK7" s="254"/>
      <c r="VTL7" s="254"/>
      <c r="VTM7" s="254"/>
      <c r="VTN7" s="254"/>
      <c r="VTO7" s="254"/>
      <c r="VTP7" s="254"/>
      <c r="VTQ7" s="254"/>
      <c r="VTR7" s="254"/>
      <c r="VTS7" s="254"/>
      <c r="VTT7" s="254"/>
      <c r="VTU7" s="254"/>
      <c r="VTV7" s="254"/>
      <c r="VTW7" s="254"/>
      <c r="VTX7" s="254"/>
      <c r="VTY7" s="254"/>
      <c r="VTZ7" s="254"/>
      <c r="VUA7" s="254"/>
      <c r="VUB7" s="254"/>
      <c r="VUC7" s="254"/>
      <c r="VUD7" s="254"/>
      <c r="VUE7" s="254"/>
      <c r="VUF7" s="254"/>
      <c r="VUG7" s="254"/>
      <c r="VUH7" s="254"/>
      <c r="VUI7" s="254"/>
      <c r="VUJ7" s="254"/>
      <c r="VUK7" s="254"/>
      <c r="VUL7" s="254"/>
      <c r="VUM7" s="254"/>
      <c r="VUN7" s="254"/>
      <c r="VUO7" s="254"/>
      <c r="VUP7" s="254"/>
      <c r="VUQ7" s="254"/>
      <c r="VUR7" s="254"/>
      <c r="VUS7" s="254"/>
      <c r="VUT7" s="254"/>
      <c r="VUU7" s="254"/>
      <c r="VUV7" s="254"/>
      <c r="VUW7" s="254"/>
      <c r="VUX7" s="254"/>
      <c r="VUY7" s="254"/>
      <c r="VUZ7" s="254"/>
      <c r="VVA7" s="254"/>
      <c r="VVB7" s="254"/>
      <c r="VVC7" s="254"/>
      <c r="VVD7" s="254"/>
      <c r="VVE7" s="254"/>
      <c r="VVF7" s="254"/>
      <c r="VVG7" s="254"/>
      <c r="VVH7" s="254"/>
      <c r="VVI7" s="254"/>
      <c r="VVJ7" s="254"/>
      <c r="VVK7" s="254"/>
      <c r="VVL7" s="254"/>
      <c r="VVM7" s="254"/>
      <c r="VVN7" s="254"/>
      <c r="VVO7" s="254"/>
      <c r="VVP7" s="254"/>
      <c r="VVQ7" s="254"/>
      <c r="VVR7" s="254"/>
      <c r="VVS7" s="254"/>
      <c r="VVT7" s="254"/>
      <c r="VVU7" s="254"/>
      <c r="VVV7" s="254"/>
      <c r="VVW7" s="254"/>
      <c r="VVX7" s="254"/>
      <c r="VVY7" s="254"/>
      <c r="VVZ7" s="254"/>
      <c r="VWA7" s="254"/>
      <c r="VWB7" s="254"/>
      <c r="VWC7" s="254"/>
      <c r="VWD7" s="254"/>
      <c r="VWE7" s="254"/>
      <c r="VWF7" s="254"/>
      <c r="VWG7" s="254"/>
      <c r="VWH7" s="254"/>
      <c r="VWI7" s="254"/>
      <c r="VWJ7" s="254"/>
      <c r="VWK7" s="254"/>
      <c r="VWL7" s="254"/>
      <c r="VWM7" s="254"/>
      <c r="VWN7" s="254"/>
      <c r="VWO7" s="254"/>
      <c r="VWP7" s="254"/>
      <c r="VWQ7" s="254"/>
      <c r="VWR7" s="254"/>
      <c r="VWS7" s="254"/>
      <c r="VWT7" s="254"/>
      <c r="VWU7" s="254"/>
      <c r="VWV7" s="254"/>
      <c r="VWW7" s="254"/>
      <c r="VWX7" s="254"/>
      <c r="VWY7" s="254"/>
      <c r="VWZ7" s="254"/>
      <c r="VXA7" s="254"/>
      <c r="VXB7" s="254"/>
      <c r="VXC7" s="254"/>
      <c r="VXD7" s="254"/>
      <c r="VXE7" s="254"/>
      <c r="VXF7" s="254"/>
      <c r="VXG7" s="254"/>
      <c r="VXH7" s="254"/>
      <c r="VXI7" s="254"/>
      <c r="VXJ7" s="254"/>
      <c r="VXK7" s="254"/>
      <c r="VXL7" s="254"/>
      <c r="VXM7" s="254"/>
      <c r="VXN7" s="254"/>
      <c r="VXO7" s="254"/>
      <c r="VXP7" s="254"/>
      <c r="VXQ7" s="254"/>
      <c r="VXR7" s="254"/>
      <c r="VXS7" s="254"/>
      <c r="VXT7" s="254"/>
      <c r="VXU7" s="254"/>
      <c r="VXV7" s="254"/>
      <c r="VXW7" s="254"/>
      <c r="VXX7" s="254"/>
      <c r="VXY7" s="254"/>
      <c r="VXZ7" s="254"/>
      <c r="VYA7" s="254"/>
      <c r="VYB7" s="254"/>
      <c r="VYC7" s="254"/>
      <c r="VYD7" s="254"/>
      <c r="VYE7" s="254"/>
      <c r="VYF7" s="254"/>
      <c r="VYG7" s="254"/>
      <c r="VYH7" s="254"/>
      <c r="VYI7" s="254"/>
      <c r="VYJ7" s="254"/>
      <c r="VYK7" s="254"/>
      <c r="VYL7" s="254"/>
      <c r="VYM7" s="254"/>
      <c r="VYN7" s="254"/>
      <c r="VYO7" s="254"/>
      <c r="VYP7" s="254"/>
      <c r="VYQ7" s="254"/>
      <c r="VYR7" s="254"/>
      <c r="VYS7" s="254"/>
      <c r="VYT7" s="254"/>
      <c r="VYU7" s="254"/>
      <c r="VYV7" s="254"/>
      <c r="VYW7" s="254"/>
      <c r="VYX7" s="254"/>
      <c r="VYY7" s="254"/>
      <c r="VYZ7" s="254"/>
      <c r="VZA7" s="254"/>
      <c r="VZB7" s="254"/>
      <c r="VZC7" s="254"/>
      <c r="VZD7" s="254"/>
      <c r="VZE7" s="254"/>
      <c r="VZF7" s="254"/>
      <c r="VZG7" s="254"/>
      <c r="VZH7" s="254"/>
      <c r="VZI7" s="254"/>
      <c r="VZJ7" s="254"/>
      <c r="VZK7" s="254"/>
      <c r="VZL7" s="254"/>
      <c r="VZM7" s="254"/>
      <c r="VZN7" s="254"/>
      <c r="VZO7" s="254"/>
      <c r="VZP7" s="254"/>
      <c r="VZQ7" s="254"/>
      <c r="VZR7" s="254"/>
      <c r="VZS7" s="254"/>
      <c r="VZT7" s="254"/>
      <c r="VZU7" s="254"/>
      <c r="VZV7" s="254"/>
      <c r="VZW7" s="254"/>
      <c r="VZX7" s="254"/>
      <c r="VZY7" s="254"/>
      <c r="VZZ7" s="254"/>
      <c r="WAA7" s="254"/>
      <c r="WAB7" s="254"/>
      <c r="WAC7" s="254"/>
      <c r="WAD7" s="254"/>
      <c r="WAE7" s="254"/>
      <c r="WAF7" s="254"/>
      <c r="WAG7" s="254"/>
      <c r="WAH7" s="254"/>
      <c r="WAI7" s="254"/>
      <c r="WAJ7" s="254"/>
      <c r="WAK7" s="254"/>
      <c r="WAL7" s="254"/>
      <c r="WAM7" s="254"/>
      <c r="WAN7" s="254"/>
      <c r="WAO7" s="254"/>
      <c r="WAP7" s="254"/>
      <c r="WAQ7" s="254"/>
      <c r="WAR7" s="254"/>
      <c r="WAS7" s="254"/>
      <c r="WAT7" s="254"/>
      <c r="WAU7" s="254"/>
      <c r="WAV7" s="254"/>
      <c r="WAW7" s="254"/>
      <c r="WAX7" s="254"/>
      <c r="WAY7" s="254"/>
      <c r="WAZ7" s="254"/>
      <c r="WBA7" s="254"/>
      <c r="WBB7" s="254"/>
      <c r="WBC7" s="254"/>
      <c r="WBD7" s="254"/>
      <c r="WBE7" s="254"/>
      <c r="WBF7" s="254"/>
      <c r="WBG7" s="254"/>
      <c r="WBH7" s="254"/>
      <c r="WBI7" s="254"/>
      <c r="WBJ7" s="254"/>
      <c r="WBK7" s="254"/>
      <c r="WBL7" s="254"/>
      <c r="WBM7" s="254"/>
      <c r="WBN7" s="254"/>
      <c r="WBO7" s="254"/>
      <c r="WBP7" s="254"/>
      <c r="WBQ7" s="254"/>
      <c r="WBR7" s="254"/>
      <c r="WBS7" s="254"/>
      <c r="WBT7" s="254"/>
      <c r="WBU7" s="254"/>
      <c r="WBV7" s="254"/>
      <c r="WBW7" s="254"/>
      <c r="WBX7" s="254"/>
      <c r="WBY7" s="254"/>
      <c r="WBZ7" s="254"/>
      <c r="WCA7" s="254"/>
      <c r="WCB7" s="254"/>
      <c r="WCC7" s="254"/>
      <c r="WCD7" s="254"/>
      <c r="WCE7" s="254"/>
      <c r="WCF7" s="254"/>
      <c r="WCG7" s="254"/>
      <c r="WCH7" s="254"/>
      <c r="WCI7" s="254"/>
      <c r="WCJ7" s="254"/>
      <c r="WCK7" s="254"/>
      <c r="WCL7" s="254"/>
      <c r="WCM7" s="254"/>
      <c r="WCN7" s="254"/>
      <c r="WCO7" s="254"/>
      <c r="WCP7" s="254"/>
      <c r="WCQ7" s="254"/>
      <c r="WCR7" s="254"/>
      <c r="WCS7" s="254"/>
      <c r="WCT7" s="254"/>
      <c r="WCU7" s="254"/>
      <c r="WCV7" s="254"/>
      <c r="WCW7" s="254"/>
      <c r="WCX7" s="254"/>
      <c r="WCY7" s="254"/>
      <c r="WCZ7" s="254"/>
      <c r="WDA7" s="254"/>
      <c r="WDB7" s="254"/>
      <c r="WDC7" s="254"/>
      <c r="WDD7" s="254"/>
      <c r="WDE7" s="254"/>
      <c r="WDF7" s="254"/>
      <c r="WDG7" s="254"/>
      <c r="WDH7" s="254"/>
      <c r="WDI7" s="254"/>
      <c r="WDJ7" s="254"/>
      <c r="WDK7" s="254"/>
      <c r="WDL7" s="254"/>
      <c r="WDM7" s="254"/>
      <c r="WDN7" s="254"/>
      <c r="WDO7" s="254"/>
      <c r="WDP7" s="254"/>
      <c r="WDQ7" s="254"/>
      <c r="WDR7" s="254"/>
      <c r="WDS7" s="254"/>
      <c r="WDT7" s="254"/>
      <c r="WDU7" s="254"/>
      <c r="WDV7" s="254"/>
      <c r="WDW7" s="254"/>
      <c r="WDX7" s="254"/>
      <c r="WDY7" s="254"/>
      <c r="WDZ7" s="254"/>
      <c r="WEA7" s="254"/>
      <c r="WEB7" s="254"/>
      <c r="WEC7" s="254"/>
      <c r="WED7" s="254"/>
      <c r="WEE7" s="254"/>
      <c r="WEF7" s="254"/>
      <c r="WEG7" s="254"/>
      <c r="WEH7" s="254"/>
      <c r="WEI7" s="254"/>
      <c r="WEJ7" s="254"/>
      <c r="WEK7" s="254"/>
      <c r="WEL7" s="254"/>
      <c r="WEM7" s="254"/>
      <c r="WEN7" s="254"/>
      <c r="WEO7" s="254"/>
      <c r="WEP7" s="254"/>
      <c r="WEQ7" s="254"/>
      <c r="WER7" s="254"/>
      <c r="WES7" s="254"/>
      <c r="WET7" s="254"/>
      <c r="WEU7" s="254"/>
      <c r="WEV7" s="254"/>
      <c r="WEW7" s="254"/>
      <c r="WEX7" s="254"/>
      <c r="WEY7" s="254"/>
      <c r="WEZ7" s="254"/>
      <c r="WFA7" s="254"/>
      <c r="WFB7" s="254"/>
      <c r="WFC7" s="254"/>
      <c r="WFD7" s="254"/>
      <c r="WFE7" s="254"/>
      <c r="WFF7" s="254"/>
      <c r="WFG7" s="254"/>
      <c r="WFH7" s="254"/>
      <c r="WFI7" s="254"/>
      <c r="WFJ7" s="254"/>
      <c r="WFK7" s="254"/>
      <c r="WFL7" s="254"/>
      <c r="WFM7" s="254"/>
      <c r="WFN7" s="254"/>
      <c r="WFO7" s="254"/>
      <c r="WFP7" s="254"/>
      <c r="WFQ7" s="254"/>
      <c r="WFR7" s="254"/>
      <c r="WFS7" s="254"/>
      <c r="WFT7" s="254"/>
      <c r="WFU7" s="254"/>
      <c r="WFV7" s="254"/>
      <c r="WFW7" s="254"/>
      <c r="WFX7" s="254"/>
      <c r="WFY7" s="254"/>
      <c r="WFZ7" s="254"/>
      <c r="WGA7" s="254"/>
      <c r="WGB7" s="254"/>
      <c r="WGC7" s="254"/>
      <c r="WGD7" s="254"/>
      <c r="WGE7" s="254"/>
      <c r="WGF7" s="254"/>
      <c r="WGG7" s="254"/>
      <c r="WGH7" s="254"/>
      <c r="WGI7" s="254"/>
      <c r="WGJ7" s="254"/>
      <c r="WGK7" s="254"/>
      <c r="WGL7" s="254"/>
      <c r="WGM7" s="254"/>
      <c r="WGN7" s="254"/>
      <c r="WGO7" s="254"/>
      <c r="WGP7" s="254"/>
      <c r="WGQ7" s="254"/>
      <c r="WGR7" s="254"/>
      <c r="WGS7" s="254"/>
      <c r="WGT7" s="254"/>
      <c r="WGU7" s="254"/>
      <c r="WGV7" s="254"/>
      <c r="WGW7" s="254"/>
      <c r="WGX7" s="254"/>
      <c r="WGY7" s="254"/>
      <c r="WGZ7" s="254"/>
      <c r="WHA7" s="254"/>
      <c r="WHB7" s="254"/>
      <c r="WHC7" s="254"/>
      <c r="WHD7" s="254"/>
      <c r="WHE7" s="254"/>
      <c r="WHF7" s="254"/>
      <c r="WHG7" s="254"/>
      <c r="WHH7" s="254"/>
      <c r="WHI7" s="254"/>
      <c r="WHJ7" s="254"/>
      <c r="WHK7" s="254"/>
      <c r="WHL7" s="254"/>
      <c r="WHM7" s="254"/>
      <c r="WHN7" s="254"/>
      <c r="WHO7" s="254"/>
      <c r="WHP7" s="254"/>
      <c r="WHQ7" s="254"/>
      <c r="WHR7" s="254"/>
      <c r="WHS7" s="254"/>
      <c r="WHT7" s="254"/>
      <c r="WHU7" s="254"/>
      <c r="WHV7" s="254"/>
      <c r="WHW7" s="254"/>
      <c r="WHX7" s="254"/>
      <c r="WHY7" s="254"/>
      <c r="WHZ7" s="254"/>
      <c r="WIA7" s="254"/>
      <c r="WIB7" s="254"/>
      <c r="WIC7" s="254"/>
      <c r="WID7" s="254"/>
      <c r="WIE7" s="254"/>
      <c r="WIF7" s="254"/>
      <c r="WIG7" s="254"/>
      <c r="WIH7" s="254"/>
      <c r="WII7" s="254"/>
      <c r="WIJ7" s="254"/>
      <c r="WIK7" s="254"/>
      <c r="WIL7" s="254"/>
      <c r="WIM7" s="254"/>
      <c r="WIN7" s="254"/>
      <c r="WIO7" s="254"/>
      <c r="WIP7" s="254"/>
      <c r="WIQ7" s="254"/>
      <c r="WIR7" s="254"/>
      <c r="WIS7" s="254"/>
      <c r="WIT7" s="254"/>
      <c r="WIU7" s="254"/>
      <c r="WIV7" s="254"/>
      <c r="WIW7" s="254"/>
      <c r="WIX7" s="254"/>
      <c r="WIY7" s="254"/>
      <c r="WIZ7" s="254"/>
      <c r="WJA7" s="254"/>
      <c r="WJB7" s="254"/>
      <c r="WJC7" s="254"/>
      <c r="WJD7" s="254"/>
      <c r="WJE7" s="254"/>
      <c r="WJF7" s="254"/>
      <c r="WJG7" s="254"/>
      <c r="WJH7" s="254"/>
      <c r="WJI7" s="254"/>
      <c r="WJJ7" s="254"/>
      <c r="WJK7" s="254"/>
      <c r="WJL7" s="254"/>
      <c r="WJM7" s="254"/>
      <c r="WJN7" s="254"/>
      <c r="WJO7" s="254"/>
      <c r="WJP7" s="254"/>
      <c r="WJQ7" s="254"/>
      <c r="WJR7" s="254"/>
      <c r="WJS7" s="254"/>
      <c r="WJT7" s="254"/>
      <c r="WJU7" s="254"/>
      <c r="WJV7" s="254"/>
      <c r="WJW7" s="254"/>
      <c r="WJX7" s="254"/>
      <c r="WJY7" s="254"/>
      <c r="WJZ7" s="254"/>
      <c r="WKA7" s="254"/>
      <c r="WKB7" s="254"/>
      <c r="WKC7" s="254"/>
      <c r="WKD7" s="254"/>
      <c r="WKE7" s="254"/>
      <c r="WKF7" s="254"/>
      <c r="WKG7" s="254"/>
      <c r="WKH7" s="254"/>
      <c r="WKI7" s="254"/>
      <c r="WKJ7" s="254"/>
      <c r="WKK7" s="254"/>
      <c r="WKL7" s="254"/>
      <c r="WKM7" s="254"/>
      <c r="WKN7" s="254"/>
      <c r="WKO7" s="254"/>
      <c r="WKP7" s="254"/>
      <c r="WKQ7" s="254"/>
      <c r="WKR7" s="254"/>
      <c r="WKS7" s="254"/>
      <c r="WKT7" s="254"/>
      <c r="WKU7" s="254"/>
      <c r="WKV7" s="254"/>
      <c r="WKW7" s="254"/>
      <c r="WKX7" s="254"/>
      <c r="WKY7" s="254"/>
      <c r="WKZ7" s="254"/>
      <c r="WLA7" s="254"/>
      <c r="WLB7" s="254"/>
      <c r="WLC7" s="254"/>
      <c r="WLD7" s="254"/>
      <c r="WLE7" s="254"/>
      <c r="WLF7" s="254"/>
      <c r="WLG7" s="254"/>
      <c r="WLH7" s="254"/>
      <c r="WLI7" s="254"/>
      <c r="WLJ7" s="254"/>
      <c r="WLK7" s="254"/>
      <c r="WLL7" s="254"/>
      <c r="WLM7" s="254"/>
      <c r="WLN7" s="254"/>
      <c r="WLO7" s="254"/>
      <c r="WLP7" s="254"/>
      <c r="WLQ7" s="254"/>
      <c r="WLR7" s="254"/>
      <c r="WLS7" s="254"/>
      <c r="WLT7" s="254"/>
      <c r="WLU7" s="254"/>
      <c r="WLV7" s="254"/>
      <c r="WLW7" s="254"/>
      <c r="WLX7" s="254"/>
      <c r="WLY7" s="254"/>
      <c r="WLZ7" s="254"/>
      <c r="WMA7" s="254"/>
      <c r="WMB7" s="254"/>
      <c r="WMC7" s="254"/>
      <c r="WMD7" s="254"/>
      <c r="WME7" s="254"/>
      <c r="WMF7" s="254"/>
      <c r="WMG7" s="254"/>
      <c r="WMH7" s="254"/>
      <c r="WMI7" s="254"/>
      <c r="WMJ7" s="254"/>
      <c r="WMK7" s="254"/>
      <c r="WML7" s="254"/>
      <c r="WMM7" s="254"/>
      <c r="WMN7" s="254"/>
      <c r="WMO7" s="254"/>
      <c r="WMP7" s="254"/>
      <c r="WMQ7" s="254"/>
      <c r="WMR7" s="254"/>
      <c r="WMS7" s="254"/>
      <c r="WMT7" s="254"/>
      <c r="WMU7" s="254"/>
      <c r="WMV7" s="254"/>
      <c r="WMW7" s="254"/>
      <c r="WMX7" s="254"/>
      <c r="WMY7" s="254"/>
      <c r="WMZ7" s="254"/>
      <c r="WNA7" s="254"/>
      <c r="WNB7" s="254"/>
      <c r="WNC7" s="254"/>
      <c r="WND7" s="254"/>
      <c r="WNE7" s="254"/>
      <c r="WNF7" s="254"/>
      <c r="WNG7" s="254"/>
      <c r="WNH7" s="254"/>
      <c r="WNI7" s="254"/>
      <c r="WNJ7" s="254"/>
      <c r="WNK7" s="254"/>
      <c r="WNL7" s="254"/>
      <c r="WNM7" s="254"/>
      <c r="WNN7" s="254"/>
      <c r="WNO7" s="254"/>
      <c r="WNP7" s="254"/>
      <c r="WNQ7" s="254"/>
      <c r="WNR7" s="254"/>
      <c r="WNS7" s="254"/>
      <c r="WNT7" s="254"/>
      <c r="WNU7" s="254"/>
      <c r="WNV7" s="254"/>
      <c r="WNW7" s="254"/>
      <c r="WNX7" s="254"/>
      <c r="WNY7" s="254"/>
      <c r="WNZ7" s="254"/>
      <c r="WOA7" s="254"/>
      <c r="WOB7" s="254"/>
      <c r="WOC7" s="254"/>
      <c r="WOD7" s="254"/>
      <c r="WOE7" s="254"/>
      <c r="WOF7" s="254"/>
      <c r="WOG7" s="254"/>
      <c r="WOH7" s="254"/>
      <c r="WOI7" s="254"/>
      <c r="WOJ7" s="254"/>
      <c r="WOK7" s="254"/>
      <c r="WOL7" s="254"/>
      <c r="WOM7" s="254"/>
      <c r="WON7" s="254"/>
      <c r="WOO7" s="254"/>
      <c r="WOP7" s="254"/>
      <c r="WOQ7" s="254"/>
      <c r="WOR7" s="254"/>
      <c r="WOS7" s="254"/>
      <c r="WOT7" s="254"/>
      <c r="WOU7" s="254"/>
      <c r="WOV7" s="254"/>
      <c r="WOW7" s="254"/>
      <c r="WOX7" s="254"/>
      <c r="WOY7" s="254"/>
      <c r="WOZ7" s="254"/>
      <c r="WPA7" s="254"/>
      <c r="WPB7" s="254"/>
      <c r="WPC7" s="254"/>
      <c r="WPD7" s="254"/>
      <c r="WPE7" s="254"/>
      <c r="WPF7" s="254"/>
      <c r="WPG7" s="254"/>
      <c r="WPH7" s="254"/>
      <c r="WPI7" s="254"/>
      <c r="WPJ7" s="254"/>
      <c r="WPK7" s="254"/>
      <c r="WPL7" s="254"/>
      <c r="WPM7" s="254"/>
      <c r="WPN7" s="254"/>
      <c r="WPO7" s="254"/>
      <c r="WPP7" s="254"/>
      <c r="WPQ7" s="254"/>
      <c r="WPR7" s="254"/>
      <c r="WPS7" s="254"/>
      <c r="WPT7" s="254"/>
      <c r="WPU7" s="254"/>
      <c r="WPV7" s="254"/>
      <c r="WPW7" s="254"/>
      <c r="WPX7" s="254"/>
      <c r="WPY7" s="254"/>
      <c r="WPZ7" s="254"/>
      <c r="WQA7" s="254"/>
      <c r="WQB7" s="254"/>
      <c r="WQC7" s="254"/>
      <c r="WQD7" s="254"/>
      <c r="WQE7" s="254"/>
      <c r="WQF7" s="254"/>
      <c r="WQG7" s="254"/>
      <c r="WQH7" s="254"/>
      <c r="WQI7" s="254"/>
      <c r="WQJ7" s="254"/>
      <c r="WQK7" s="254"/>
      <c r="WQL7" s="254"/>
      <c r="WQM7" s="254"/>
      <c r="WQN7" s="254"/>
      <c r="WQO7" s="254"/>
      <c r="WQP7" s="254"/>
      <c r="WQQ7" s="254"/>
      <c r="WQR7" s="254"/>
      <c r="WQS7" s="254"/>
      <c r="WQT7" s="254"/>
      <c r="WQU7" s="254"/>
      <c r="WQV7" s="254"/>
      <c r="WQW7" s="254"/>
      <c r="WQX7" s="254"/>
      <c r="WQY7" s="254"/>
      <c r="WQZ7" s="254"/>
      <c r="WRA7" s="254"/>
      <c r="WRB7" s="254"/>
      <c r="WRC7" s="254"/>
      <c r="WRD7" s="254"/>
      <c r="WRE7" s="254"/>
      <c r="WRF7" s="254"/>
      <c r="WRG7" s="254"/>
      <c r="WRH7" s="254"/>
      <c r="WRI7" s="254"/>
      <c r="WRJ7" s="254"/>
      <c r="WRK7" s="254"/>
      <c r="WRL7" s="254"/>
      <c r="WRM7" s="254"/>
      <c r="WRN7" s="254"/>
      <c r="WRO7" s="254"/>
      <c r="WRP7" s="254"/>
      <c r="WRQ7" s="254"/>
      <c r="WRR7" s="254"/>
      <c r="WRS7" s="254"/>
      <c r="WRT7" s="254"/>
      <c r="WRU7" s="254"/>
      <c r="WRV7" s="254"/>
      <c r="WRW7" s="254"/>
      <c r="WRX7" s="254"/>
      <c r="WRY7" s="254"/>
      <c r="WRZ7" s="254"/>
      <c r="WSA7" s="254"/>
      <c r="WSB7" s="254"/>
      <c r="WSC7" s="254"/>
      <c r="WSD7" s="254"/>
      <c r="WSE7" s="254"/>
      <c r="WSF7" s="254"/>
      <c r="WSG7" s="254"/>
      <c r="WSH7" s="254"/>
      <c r="WSI7" s="254"/>
      <c r="WSJ7" s="254"/>
      <c r="WSK7" s="254"/>
      <c r="WSL7" s="254"/>
      <c r="WSM7" s="254"/>
      <c r="WSN7" s="254"/>
      <c r="WSO7" s="254"/>
      <c r="WSP7" s="254"/>
      <c r="WSQ7" s="254"/>
      <c r="WSR7" s="254"/>
      <c r="WSS7" s="254"/>
      <c r="WST7" s="254"/>
      <c r="WSU7" s="254"/>
      <c r="WSV7" s="254"/>
      <c r="WSW7" s="254"/>
      <c r="WSX7" s="254"/>
      <c r="WSY7" s="254"/>
      <c r="WSZ7" s="254"/>
      <c r="WTA7" s="254"/>
      <c r="WTB7" s="254"/>
      <c r="WTC7" s="254"/>
      <c r="WTD7" s="254"/>
      <c r="WTE7" s="254"/>
      <c r="WTF7" s="254"/>
      <c r="WTG7" s="254"/>
      <c r="WTH7" s="254"/>
      <c r="WTI7" s="254"/>
      <c r="WTJ7" s="254"/>
      <c r="WTK7" s="254"/>
      <c r="WTL7" s="254"/>
      <c r="WTM7" s="254"/>
      <c r="WTN7" s="254"/>
      <c r="WTO7" s="254"/>
      <c r="WTP7" s="254"/>
      <c r="WTQ7" s="254"/>
      <c r="WTR7" s="254"/>
      <c r="WTS7" s="254"/>
      <c r="WTT7" s="254"/>
      <c r="WTU7" s="254"/>
      <c r="WTV7" s="254"/>
      <c r="WTW7" s="254"/>
      <c r="WTX7" s="254"/>
      <c r="WTY7" s="254"/>
      <c r="WTZ7" s="254"/>
      <c r="WUA7" s="254"/>
      <c r="WUB7" s="254"/>
      <c r="WUC7" s="254"/>
      <c r="WUD7" s="254"/>
      <c r="WUE7" s="254"/>
      <c r="WUF7" s="254"/>
      <c r="WUG7" s="254"/>
      <c r="WUH7" s="254"/>
      <c r="WUI7" s="254"/>
      <c r="WUJ7" s="254"/>
      <c r="WUK7" s="254"/>
      <c r="WUL7" s="254"/>
      <c r="WUM7" s="254"/>
      <c r="WUN7" s="254"/>
      <c r="WUO7" s="254"/>
      <c r="WUP7" s="254"/>
      <c r="WUQ7" s="254"/>
      <c r="WUR7" s="254"/>
      <c r="WUS7" s="254"/>
      <c r="WUT7" s="254"/>
      <c r="WUU7" s="254"/>
      <c r="WUV7" s="254"/>
      <c r="WUW7" s="254"/>
      <c r="WUX7" s="254"/>
      <c r="WUY7" s="254"/>
      <c r="WUZ7" s="254"/>
      <c r="WVA7" s="254"/>
      <c r="WVB7" s="254"/>
      <c r="WVC7" s="254"/>
      <c r="WVD7" s="254"/>
      <c r="WVE7" s="254"/>
      <c r="WVF7" s="254"/>
      <c r="WVG7" s="254"/>
      <c r="WVH7" s="254"/>
      <c r="WVI7" s="254"/>
      <c r="WVJ7" s="254"/>
      <c r="WVK7" s="254"/>
      <c r="WVL7" s="254"/>
      <c r="WVM7" s="254"/>
      <c r="WVN7" s="254"/>
      <c r="WVO7" s="254"/>
      <c r="WVP7" s="254"/>
      <c r="WVQ7" s="254"/>
      <c r="WVR7" s="254"/>
      <c r="WVS7" s="254"/>
      <c r="WVT7" s="254"/>
      <c r="WVU7" s="254"/>
      <c r="WVV7" s="254"/>
      <c r="WVW7" s="254"/>
      <c r="WVX7" s="254"/>
      <c r="WVY7" s="254"/>
      <c r="WVZ7" s="254"/>
      <c r="WWA7" s="254"/>
      <c r="WWB7" s="254"/>
      <c r="WWC7" s="254"/>
      <c r="WWD7" s="254"/>
      <c r="WWE7" s="254"/>
      <c r="WWF7" s="254"/>
      <c r="WWG7" s="254"/>
      <c r="WWH7" s="254"/>
      <c r="WWI7" s="254"/>
      <c r="WWJ7" s="254"/>
      <c r="WWK7" s="254"/>
      <c r="WWL7" s="254"/>
      <c r="WWM7" s="254"/>
      <c r="WWN7" s="254"/>
      <c r="WWO7" s="254"/>
      <c r="WWP7" s="254"/>
      <c r="WWQ7" s="254"/>
      <c r="WWR7" s="254"/>
      <c r="WWS7" s="254"/>
      <c r="WWT7" s="254"/>
      <c r="WWU7" s="254"/>
      <c r="WWV7" s="254"/>
      <c r="WWW7" s="254"/>
      <c r="WWX7" s="254"/>
      <c r="WWY7" s="254"/>
      <c r="WWZ7" s="254"/>
      <c r="WXA7" s="254"/>
      <c r="WXB7" s="254"/>
      <c r="WXC7" s="254"/>
      <c r="WXD7" s="254"/>
      <c r="WXE7" s="254"/>
      <c r="WXF7" s="254"/>
      <c r="WXG7" s="254"/>
      <c r="WXH7" s="254"/>
      <c r="WXI7" s="254"/>
      <c r="WXJ7" s="254"/>
      <c r="WXK7" s="254"/>
      <c r="WXL7" s="254"/>
      <c r="WXM7" s="254"/>
      <c r="WXN7" s="254"/>
      <c r="WXO7" s="254"/>
      <c r="WXP7" s="254"/>
      <c r="WXQ7" s="254"/>
      <c r="WXR7" s="254"/>
      <c r="WXS7" s="254"/>
      <c r="WXT7" s="254"/>
      <c r="WXU7" s="254"/>
      <c r="WXV7" s="254"/>
      <c r="WXW7" s="254"/>
      <c r="WXX7" s="254"/>
      <c r="WXY7" s="254"/>
      <c r="WXZ7" s="254"/>
      <c r="WYA7" s="254"/>
      <c r="WYB7" s="254"/>
      <c r="WYC7" s="254"/>
      <c r="WYD7" s="254"/>
      <c r="WYE7" s="254"/>
      <c r="WYF7" s="254"/>
      <c r="WYG7" s="254"/>
      <c r="WYH7" s="254"/>
      <c r="WYI7" s="254"/>
      <c r="WYJ7" s="254"/>
      <c r="WYK7" s="254"/>
      <c r="WYL7" s="254"/>
      <c r="WYM7" s="254"/>
      <c r="WYN7" s="254"/>
      <c r="WYO7" s="254"/>
      <c r="WYP7" s="254"/>
      <c r="WYQ7" s="254"/>
      <c r="WYR7" s="254"/>
      <c r="WYS7" s="254"/>
      <c r="WYT7" s="254"/>
      <c r="WYU7" s="254"/>
      <c r="WYV7" s="254"/>
      <c r="WYW7" s="254"/>
      <c r="WYX7" s="254"/>
      <c r="WYY7" s="254"/>
      <c r="WYZ7" s="254"/>
      <c r="WZA7" s="254"/>
      <c r="WZB7" s="254"/>
      <c r="WZC7" s="254"/>
      <c r="WZD7" s="254"/>
      <c r="WZE7" s="254"/>
      <c r="WZF7" s="254"/>
      <c r="WZG7" s="254"/>
      <c r="WZH7" s="254"/>
      <c r="WZI7" s="254"/>
      <c r="WZJ7" s="254"/>
      <c r="WZK7" s="254"/>
      <c r="WZL7" s="254"/>
      <c r="WZM7" s="254"/>
      <c r="WZN7" s="254"/>
      <c r="WZO7" s="254"/>
      <c r="WZP7" s="254"/>
      <c r="WZQ7" s="254"/>
      <c r="WZR7" s="254"/>
      <c r="WZS7" s="254"/>
      <c r="WZT7" s="254"/>
      <c r="WZU7" s="254"/>
      <c r="WZV7" s="254"/>
      <c r="WZW7" s="254"/>
      <c r="WZX7" s="254"/>
      <c r="WZY7" s="254"/>
      <c r="WZZ7" s="254"/>
      <c r="XAA7" s="254"/>
      <c r="XAB7" s="254"/>
      <c r="XAC7" s="254"/>
      <c r="XAD7" s="254"/>
      <c r="XAE7" s="254"/>
      <c r="XAF7" s="254"/>
      <c r="XAG7" s="254"/>
      <c r="XAH7" s="254"/>
      <c r="XAI7" s="254"/>
      <c r="XAJ7" s="254"/>
      <c r="XAK7" s="254"/>
      <c r="XAL7" s="254"/>
      <c r="XAM7" s="254"/>
      <c r="XAN7" s="254"/>
      <c r="XAO7" s="254"/>
      <c r="XAP7" s="254"/>
      <c r="XAQ7" s="254"/>
      <c r="XAR7" s="254"/>
      <c r="XAS7" s="254"/>
      <c r="XAT7" s="254"/>
      <c r="XAU7" s="254"/>
      <c r="XAV7" s="254"/>
      <c r="XAW7" s="254"/>
      <c r="XAX7" s="254"/>
      <c r="XAY7" s="254"/>
      <c r="XAZ7" s="254"/>
      <c r="XBA7" s="254"/>
      <c r="XBB7" s="254"/>
      <c r="XBC7" s="254"/>
      <c r="XBD7" s="254"/>
      <c r="XBE7" s="254"/>
      <c r="XBF7" s="254"/>
      <c r="XBG7" s="254"/>
      <c r="XBH7" s="254"/>
      <c r="XBI7" s="254"/>
      <c r="XBJ7" s="254"/>
      <c r="XBK7" s="254"/>
      <c r="XBL7" s="254"/>
      <c r="XBM7" s="254"/>
      <c r="XBN7" s="254"/>
      <c r="XBO7" s="254"/>
      <c r="XBP7" s="254"/>
      <c r="XBQ7" s="254"/>
      <c r="XBR7" s="254"/>
      <c r="XBS7" s="254"/>
      <c r="XBT7" s="254"/>
      <c r="XBU7" s="254"/>
      <c r="XBV7" s="254"/>
      <c r="XBW7" s="254"/>
      <c r="XBX7" s="254"/>
      <c r="XBY7" s="254"/>
      <c r="XBZ7" s="254"/>
      <c r="XCA7" s="254"/>
      <c r="XCB7" s="254"/>
      <c r="XCC7" s="254"/>
      <c r="XCD7" s="254"/>
      <c r="XCE7" s="254"/>
      <c r="XCF7" s="254"/>
      <c r="XCG7" s="254"/>
      <c r="XCH7" s="254"/>
      <c r="XCI7" s="254"/>
      <c r="XCJ7" s="254"/>
      <c r="XCK7" s="254"/>
      <c r="XCL7" s="254"/>
      <c r="XCM7" s="254"/>
      <c r="XCN7" s="254"/>
      <c r="XCO7" s="254"/>
      <c r="XCP7" s="254"/>
      <c r="XCQ7" s="254"/>
      <c r="XCR7" s="254"/>
      <c r="XCS7" s="254"/>
      <c r="XCT7" s="254"/>
      <c r="XCU7" s="254"/>
      <c r="XCV7" s="254"/>
      <c r="XCW7" s="254"/>
      <c r="XCX7" s="254"/>
      <c r="XCY7" s="254"/>
      <c r="XCZ7" s="254"/>
      <c r="XDA7" s="254"/>
      <c r="XDB7" s="254"/>
      <c r="XDC7" s="254"/>
      <c r="XDD7" s="254"/>
      <c r="XDE7" s="254"/>
      <c r="XDF7" s="254"/>
      <c r="XDG7" s="254"/>
      <c r="XDH7" s="254"/>
      <c r="XDI7" s="254"/>
      <c r="XDJ7" s="254"/>
      <c r="XDK7" s="254"/>
      <c r="XDL7" s="254"/>
      <c r="XDM7" s="254"/>
      <c r="XDN7" s="254"/>
      <c r="XDO7" s="254"/>
      <c r="XDP7" s="254"/>
      <c r="XDQ7" s="254"/>
      <c r="XDR7" s="254"/>
      <c r="XDS7" s="254"/>
      <c r="XDT7" s="254"/>
      <c r="XDU7" s="254"/>
      <c r="XDV7" s="254"/>
      <c r="XDW7" s="254"/>
      <c r="XDX7" s="254"/>
      <c r="XDY7" s="254"/>
      <c r="XDZ7" s="254"/>
      <c r="XEA7" s="254"/>
      <c r="XEB7" s="254"/>
      <c r="XEC7" s="254"/>
      <c r="XED7" s="254"/>
      <c r="XEE7" s="254"/>
      <c r="XEF7" s="254"/>
      <c r="XEG7" s="254"/>
      <c r="XEH7" s="254"/>
    </row>
    <row r="8" s="278" customFormat="1" customHeight="1" spans="1:1024 1025:16362">
      <c r="A8" s="182" t="s">
        <v>226</v>
      </c>
      <c r="B8" s="182"/>
      <c r="C8" s="182"/>
      <c r="D8" s="182"/>
      <c r="E8" s="182"/>
      <c r="F8" s="182"/>
      <c r="G8" s="182"/>
      <c r="H8" s="182"/>
      <c r="I8" s="182"/>
      <c r="J8" s="182"/>
      <c r="K8" s="284"/>
      <c r="L8" s="284"/>
      <c r="M8" s="285"/>
    </row>
    <row r="9" s="61" customFormat="1" ht="57" customHeight="1" spans="1:1024 1025:16362">
      <c r="A9" s="271" t="s">
        <v>42</v>
      </c>
      <c r="B9" s="286" t="s">
        <v>214</v>
      </c>
      <c r="C9" s="271" t="s">
        <v>227</v>
      </c>
      <c r="D9" s="287" t="s">
        <v>24</v>
      </c>
      <c r="E9" s="287" t="s">
        <v>25</v>
      </c>
      <c r="F9" s="287" t="s">
        <v>26</v>
      </c>
      <c r="G9" s="287" t="s">
        <v>27</v>
      </c>
      <c r="H9" s="287" t="s">
        <v>28</v>
      </c>
      <c r="I9" s="287" t="s">
        <v>29</v>
      </c>
      <c r="J9" s="287" t="s">
        <v>30</v>
      </c>
      <c r="K9" s="172"/>
      <c r="L9" s="172"/>
      <c r="M9" s="288"/>
    </row>
    <row r="10" s="61" customFormat="1" customHeight="1" spans="1:1024 1025:16362">
      <c r="A10" s="269" t="s">
        <v>16</v>
      </c>
      <c r="B10" s="269" t="s">
        <v>66</v>
      </c>
      <c r="C10" s="269" t="s">
        <v>31</v>
      </c>
      <c r="D10" s="269">
        <v>6</v>
      </c>
      <c r="E10" s="269">
        <v>0</v>
      </c>
      <c r="F10" s="269">
        <v>0</v>
      </c>
      <c r="G10" s="269">
        <v>0</v>
      </c>
      <c r="H10" s="269">
        <v>0</v>
      </c>
      <c r="I10" s="269">
        <v>0</v>
      </c>
      <c r="J10" s="269">
        <v>0</v>
      </c>
      <c r="K10" s="171"/>
      <c r="L10" s="172"/>
      <c r="M10" s="288"/>
    </row>
    <row r="11" s="61" customFormat="1" customHeight="1" spans="1:1024 1025:16362">
      <c r="A11" s="269"/>
      <c r="B11" s="269"/>
      <c r="C11" s="269" t="s">
        <v>32</v>
      </c>
      <c r="D11" s="269">
        <v>313</v>
      </c>
      <c r="E11" s="269">
        <v>8</v>
      </c>
      <c r="F11" s="269">
        <v>17</v>
      </c>
      <c r="G11" s="269">
        <v>6</v>
      </c>
      <c r="H11" s="269">
        <v>0</v>
      </c>
      <c r="I11" s="269">
        <v>0</v>
      </c>
      <c r="J11" s="269">
        <v>91</v>
      </c>
      <c r="K11" s="172"/>
      <c r="L11" s="172"/>
      <c r="M11" s="288"/>
    </row>
    <row r="12" s="61" customFormat="1" customHeight="1" spans="1:1024 1025:16362">
      <c r="A12" s="269" t="s">
        <v>16</v>
      </c>
      <c r="B12" s="269" t="s">
        <v>146</v>
      </c>
      <c r="C12" s="269" t="s">
        <v>31</v>
      </c>
      <c r="D12" s="269">
        <v>17</v>
      </c>
      <c r="E12" s="269">
        <v>7</v>
      </c>
      <c r="F12" s="269">
        <v>2</v>
      </c>
      <c r="G12" s="269">
        <v>1</v>
      </c>
      <c r="H12" s="269">
        <v>0</v>
      </c>
      <c r="I12" s="269">
        <v>0</v>
      </c>
      <c r="J12" s="269">
        <v>0</v>
      </c>
      <c r="K12" s="172"/>
      <c r="L12" s="172"/>
      <c r="M12" s="288"/>
    </row>
    <row r="13" s="61" customFormat="1" customHeight="1" spans="1:1024 1025:16362">
      <c r="A13" s="269"/>
      <c r="B13" s="269"/>
      <c r="C13" s="269" t="s">
        <v>32</v>
      </c>
      <c r="D13" s="269">
        <v>35</v>
      </c>
      <c r="E13" s="269">
        <v>13</v>
      </c>
      <c r="F13" s="269">
        <v>3</v>
      </c>
      <c r="G13" s="269">
        <v>1</v>
      </c>
      <c r="H13" s="269">
        <v>0</v>
      </c>
      <c r="I13" s="269">
        <v>1</v>
      </c>
      <c r="J13" s="269">
        <v>53</v>
      </c>
      <c r="K13" s="172"/>
      <c r="L13" s="172"/>
      <c r="M13" s="288"/>
    </row>
    <row r="14" s="61" customFormat="1" customHeight="1" spans="1:1024 1025:16362">
      <c r="A14" s="269" t="s">
        <v>16</v>
      </c>
      <c r="B14" s="269" t="s">
        <v>224</v>
      </c>
      <c r="C14" s="269" t="s">
        <v>31</v>
      </c>
      <c r="D14" s="269">
        <v>14</v>
      </c>
      <c r="E14" s="269">
        <v>0</v>
      </c>
      <c r="F14" s="269">
        <v>0</v>
      </c>
      <c r="G14" s="269">
        <v>0</v>
      </c>
      <c r="H14" s="269">
        <v>0</v>
      </c>
      <c r="I14" s="269">
        <v>0</v>
      </c>
      <c r="J14" s="269">
        <v>0</v>
      </c>
      <c r="K14" s="172"/>
      <c r="L14" s="172"/>
      <c r="M14" s="288"/>
    </row>
    <row r="15" s="61" customFormat="1" customHeight="1" spans="1:1024 1025:16362">
      <c r="A15" s="269"/>
      <c r="B15" s="269"/>
      <c r="C15" s="269" t="s">
        <v>32</v>
      </c>
      <c r="D15" s="269">
        <v>26</v>
      </c>
      <c r="E15" s="269">
        <v>1</v>
      </c>
      <c r="F15" s="269">
        <v>3</v>
      </c>
      <c r="G15" s="269">
        <v>0</v>
      </c>
      <c r="H15" s="269">
        <v>0</v>
      </c>
      <c r="I15" s="269">
        <v>0</v>
      </c>
      <c r="J15" s="269">
        <v>3</v>
      </c>
      <c r="K15" s="172"/>
      <c r="L15" s="172"/>
      <c r="M15" s="288"/>
    </row>
    <row r="16" s="61" customFormat="1" customHeight="1" spans="1:1024 1025:16362">
      <c r="A16" s="271" t="s">
        <v>228</v>
      </c>
      <c r="B16" s="271"/>
      <c r="C16" s="269" t="s">
        <v>31</v>
      </c>
      <c r="D16" s="271">
        <f t="shared" ref="D16:J16" si="1">D10+D12+D14</f>
        <v>37</v>
      </c>
      <c r="E16" s="271">
        <f t="shared" si="1"/>
        <v>7</v>
      </c>
      <c r="F16" s="271">
        <f t="shared" si="1"/>
        <v>2</v>
      </c>
      <c r="G16" s="271">
        <f t="shared" si="1"/>
        <v>1</v>
      </c>
      <c r="H16" s="271">
        <f t="shared" si="1"/>
        <v>0</v>
      </c>
      <c r="I16" s="271">
        <f t="shared" si="1"/>
        <v>0</v>
      </c>
      <c r="J16" s="271">
        <f t="shared" si="1"/>
        <v>0</v>
      </c>
      <c r="K16" s="172"/>
      <c r="L16" s="172"/>
      <c r="M16" s="288"/>
    </row>
    <row r="17" s="61" customFormat="1" customHeight="1" spans="1:1024 1025:16362">
      <c r="A17" s="271"/>
      <c r="B17" s="271"/>
      <c r="C17" s="271" t="s">
        <v>32</v>
      </c>
      <c r="D17" s="271">
        <f t="shared" ref="D17:J17" si="2">D11+D13+D15</f>
        <v>374</v>
      </c>
      <c r="E17" s="271">
        <f t="shared" si="2"/>
        <v>22</v>
      </c>
      <c r="F17" s="271">
        <f t="shared" si="2"/>
        <v>23</v>
      </c>
      <c r="G17" s="271">
        <f t="shared" si="2"/>
        <v>7</v>
      </c>
      <c r="H17" s="271">
        <f t="shared" si="2"/>
        <v>0</v>
      </c>
      <c r="I17" s="271">
        <f t="shared" si="2"/>
        <v>1</v>
      </c>
      <c r="J17" s="271">
        <f t="shared" si="2"/>
        <v>147</v>
      </c>
      <c r="K17" s="172"/>
      <c r="L17" s="172"/>
      <c r="M17" s="288"/>
    </row>
    <row r="18" s="252" customFormat="1" customHeight="1" spans="1:1024 1025:16362">
      <c r="A18" s="255"/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  <c r="CL18" s="255"/>
      <c r="CM18" s="255"/>
      <c r="CN18" s="255"/>
      <c r="CO18" s="255"/>
      <c r="CP18" s="255"/>
      <c r="CQ18" s="255"/>
      <c r="CR18" s="255"/>
      <c r="CS18" s="255"/>
      <c r="CT18" s="255"/>
      <c r="CU18" s="255"/>
      <c r="CV18" s="255"/>
      <c r="CW18" s="255"/>
      <c r="CX18" s="255"/>
      <c r="CY18" s="255"/>
      <c r="CZ18" s="255"/>
      <c r="DA18" s="255"/>
      <c r="DB18" s="255"/>
      <c r="DC18" s="255"/>
      <c r="DD18" s="255"/>
      <c r="DE18" s="255"/>
      <c r="DF18" s="255"/>
      <c r="DG18" s="255"/>
      <c r="DH18" s="255"/>
      <c r="DI18" s="255"/>
      <c r="DJ18" s="255"/>
      <c r="DK18" s="255"/>
      <c r="DL18" s="255"/>
      <c r="DM18" s="255"/>
      <c r="DN18" s="255"/>
      <c r="DO18" s="255"/>
      <c r="DP18" s="255"/>
      <c r="DQ18" s="255"/>
      <c r="DR18" s="255"/>
      <c r="DS18" s="255"/>
      <c r="DT18" s="255"/>
      <c r="DU18" s="255"/>
      <c r="DV18" s="255"/>
      <c r="DW18" s="255"/>
      <c r="DX18" s="255"/>
      <c r="DY18" s="255"/>
      <c r="DZ18" s="255"/>
      <c r="EA18" s="255"/>
      <c r="EB18" s="255"/>
      <c r="EC18" s="255"/>
      <c r="ED18" s="255"/>
      <c r="EE18" s="255"/>
      <c r="EF18" s="255"/>
      <c r="EG18" s="255"/>
      <c r="EH18" s="255"/>
      <c r="EI18" s="255"/>
      <c r="EJ18" s="255"/>
      <c r="EK18" s="255"/>
      <c r="EL18" s="255"/>
      <c r="EM18" s="255"/>
      <c r="EN18" s="255"/>
      <c r="EO18" s="255"/>
      <c r="EP18" s="255"/>
      <c r="EQ18" s="255"/>
      <c r="ER18" s="255"/>
      <c r="ES18" s="255"/>
      <c r="ET18" s="255"/>
      <c r="EU18" s="255"/>
      <c r="EV18" s="255"/>
      <c r="EW18" s="255"/>
      <c r="EX18" s="255"/>
      <c r="EY18" s="255"/>
      <c r="EZ18" s="255"/>
      <c r="FA18" s="255"/>
      <c r="FB18" s="255"/>
      <c r="FC18" s="255"/>
      <c r="FD18" s="255"/>
      <c r="FE18" s="255"/>
      <c r="FF18" s="255"/>
      <c r="FG18" s="255"/>
      <c r="FH18" s="255"/>
      <c r="FI18" s="255"/>
      <c r="FJ18" s="255"/>
      <c r="FK18" s="255"/>
      <c r="FL18" s="255"/>
      <c r="FM18" s="255"/>
      <c r="FN18" s="255"/>
      <c r="FO18" s="255"/>
      <c r="FP18" s="255"/>
      <c r="FQ18" s="255"/>
      <c r="FR18" s="255"/>
      <c r="FS18" s="255"/>
      <c r="FT18" s="255"/>
      <c r="FU18" s="255"/>
      <c r="FV18" s="255"/>
      <c r="FW18" s="255"/>
      <c r="FX18" s="255"/>
      <c r="FY18" s="255"/>
      <c r="FZ18" s="255"/>
      <c r="GA18" s="255"/>
      <c r="GB18" s="255"/>
      <c r="GC18" s="255"/>
      <c r="GD18" s="255"/>
      <c r="GE18" s="255"/>
      <c r="GF18" s="255"/>
      <c r="GG18" s="255"/>
      <c r="GH18" s="255"/>
      <c r="GI18" s="255"/>
      <c r="GJ18" s="255"/>
      <c r="GK18" s="255"/>
      <c r="GL18" s="255"/>
      <c r="GM18" s="255"/>
      <c r="GN18" s="255"/>
      <c r="GO18" s="255"/>
      <c r="GP18" s="255"/>
      <c r="GQ18" s="255"/>
      <c r="GR18" s="255"/>
      <c r="GS18" s="255"/>
      <c r="GT18" s="255"/>
      <c r="GU18" s="255"/>
      <c r="GV18" s="255"/>
      <c r="GW18" s="255"/>
      <c r="GX18" s="255"/>
      <c r="GY18" s="255"/>
      <c r="GZ18" s="255"/>
      <c r="HA18" s="255"/>
      <c r="HB18" s="255"/>
      <c r="HC18" s="255"/>
      <c r="HD18" s="255"/>
      <c r="HE18" s="255"/>
      <c r="HF18" s="255"/>
      <c r="HG18" s="255"/>
      <c r="HH18" s="255"/>
      <c r="HI18" s="255"/>
      <c r="HJ18" s="255"/>
      <c r="HK18" s="255"/>
      <c r="HL18" s="255"/>
      <c r="HM18" s="255"/>
      <c r="HN18" s="255"/>
      <c r="HO18" s="255"/>
      <c r="HP18" s="255"/>
      <c r="HQ18" s="255"/>
      <c r="HR18" s="255"/>
      <c r="HS18" s="255"/>
      <c r="HT18" s="255"/>
      <c r="HU18" s="255"/>
      <c r="HV18" s="255"/>
      <c r="HW18" s="255"/>
      <c r="HX18" s="255"/>
      <c r="HY18" s="255"/>
      <c r="HZ18" s="255"/>
      <c r="IA18" s="255"/>
      <c r="IB18" s="255"/>
      <c r="IC18" s="255"/>
      <c r="ID18" s="255"/>
      <c r="IE18" s="255"/>
      <c r="IF18" s="255"/>
      <c r="IG18" s="255"/>
      <c r="IH18" s="255"/>
      <c r="II18" s="255"/>
      <c r="IJ18" s="255"/>
      <c r="IK18" s="255"/>
      <c r="IL18" s="255"/>
      <c r="IM18" s="255"/>
      <c r="IN18" s="255"/>
      <c r="IO18" s="255"/>
      <c r="IP18" s="255"/>
      <c r="IQ18" s="255"/>
      <c r="IR18" s="255"/>
      <c r="IS18" s="255"/>
      <c r="IT18" s="255"/>
      <c r="IU18" s="255"/>
      <c r="IV18" s="255"/>
      <c r="IW18" s="255"/>
      <c r="IX18" s="255"/>
      <c r="IY18" s="255"/>
      <c r="IZ18" s="255"/>
      <c r="JA18" s="255"/>
      <c r="JB18" s="255"/>
      <c r="JC18" s="255"/>
      <c r="JD18" s="255"/>
      <c r="JE18" s="255"/>
      <c r="JF18" s="255"/>
      <c r="JG18" s="255"/>
      <c r="JH18" s="255"/>
      <c r="JI18" s="255"/>
      <c r="JJ18" s="255"/>
      <c r="JK18" s="255"/>
      <c r="JL18" s="255"/>
      <c r="JM18" s="255"/>
      <c r="JN18" s="255"/>
      <c r="JO18" s="255"/>
      <c r="JP18" s="255"/>
      <c r="JQ18" s="255"/>
      <c r="JR18" s="255"/>
      <c r="JS18" s="255"/>
      <c r="JT18" s="255"/>
      <c r="JU18" s="255"/>
      <c r="JV18" s="255"/>
      <c r="JW18" s="255"/>
      <c r="JX18" s="255"/>
      <c r="JY18" s="255"/>
      <c r="JZ18" s="255"/>
      <c r="KA18" s="255"/>
      <c r="KB18" s="255"/>
      <c r="KC18" s="255"/>
      <c r="KD18" s="255"/>
      <c r="KE18" s="255"/>
      <c r="KF18" s="255"/>
      <c r="KG18" s="255"/>
      <c r="KH18" s="255"/>
      <c r="KI18" s="255"/>
      <c r="KJ18" s="255"/>
      <c r="KK18" s="255"/>
      <c r="KL18" s="255"/>
      <c r="KM18" s="255"/>
      <c r="KN18" s="255"/>
      <c r="KO18" s="255"/>
      <c r="KP18" s="255"/>
      <c r="KQ18" s="255"/>
      <c r="KR18" s="255"/>
      <c r="KS18" s="255"/>
      <c r="KT18" s="255"/>
      <c r="KU18" s="255"/>
      <c r="KV18" s="255"/>
      <c r="KW18" s="255"/>
      <c r="KX18" s="255"/>
      <c r="KY18" s="255"/>
      <c r="KZ18" s="255"/>
      <c r="LA18" s="255"/>
      <c r="LB18" s="255"/>
      <c r="LC18" s="255"/>
      <c r="LD18" s="255"/>
      <c r="LE18" s="255"/>
      <c r="LF18" s="255"/>
      <c r="LG18" s="255"/>
      <c r="LH18" s="255"/>
      <c r="LI18" s="255"/>
      <c r="LJ18" s="255"/>
      <c r="LK18" s="255"/>
      <c r="LL18" s="255"/>
      <c r="LM18" s="255"/>
      <c r="LN18" s="255"/>
      <c r="LO18" s="255"/>
      <c r="LP18" s="255"/>
      <c r="LQ18" s="255"/>
      <c r="LR18" s="255"/>
      <c r="LS18" s="255"/>
      <c r="LT18" s="255"/>
      <c r="LU18" s="255"/>
      <c r="LV18" s="255"/>
      <c r="LW18" s="255"/>
      <c r="LX18" s="255"/>
      <c r="LY18" s="255"/>
      <c r="LZ18" s="255"/>
      <c r="MA18" s="255"/>
      <c r="MB18" s="255"/>
      <c r="MC18" s="255"/>
      <c r="MD18" s="255"/>
      <c r="ME18" s="255"/>
      <c r="MF18" s="255"/>
      <c r="MG18" s="255"/>
      <c r="MH18" s="255"/>
      <c r="MI18" s="255"/>
      <c r="MJ18" s="255"/>
      <c r="MK18" s="255"/>
      <c r="ML18" s="255"/>
      <c r="MM18" s="255"/>
      <c r="MN18" s="255"/>
      <c r="MO18" s="255"/>
      <c r="MP18" s="255"/>
      <c r="MQ18" s="255"/>
      <c r="MR18" s="255"/>
      <c r="MS18" s="255"/>
      <c r="MT18" s="255"/>
      <c r="MU18" s="255"/>
      <c r="MV18" s="255"/>
      <c r="MW18" s="255"/>
      <c r="MX18" s="255"/>
      <c r="MY18" s="255"/>
      <c r="MZ18" s="255"/>
      <c r="NA18" s="255"/>
      <c r="NB18" s="255"/>
      <c r="NC18" s="255"/>
      <c r="ND18" s="255"/>
      <c r="NE18" s="255"/>
      <c r="NF18" s="255"/>
      <c r="NG18" s="255"/>
      <c r="NH18" s="255"/>
      <c r="NI18" s="255"/>
      <c r="NJ18" s="255"/>
      <c r="NK18" s="255"/>
      <c r="NL18" s="255"/>
      <c r="NM18" s="255"/>
      <c r="NN18" s="255"/>
      <c r="NO18" s="255"/>
      <c r="NP18" s="255"/>
      <c r="NQ18" s="255"/>
      <c r="NR18" s="255"/>
      <c r="NS18" s="255"/>
      <c r="NT18" s="255"/>
      <c r="NU18" s="255"/>
      <c r="NV18" s="255"/>
      <c r="NW18" s="255"/>
      <c r="NX18" s="255"/>
      <c r="NY18" s="255"/>
      <c r="NZ18" s="255"/>
      <c r="OA18" s="255"/>
      <c r="OB18" s="255"/>
      <c r="OC18" s="255"/>
      <c r="OD18" s="255"/>
      <c r="OE18" s="255"/>
      <c r="OF18" s="255"/>
      <c r="OG18" s="255"/>
      <c r="OH18" s="255"/>
      <c r="OI18" s="255"/>
      <c r="OJ18" s="255"/>
      <c r="OK18" s="255"/>
      <c r="OL18" s="255"/>
      <c r="OM18" s="255"/>
      <c r="ON18" s="255"/>
      <c r="OO18" s="255"/>
      <c r="OP18" s="255"/>
      <c r="OQ18" s="255"/>
      <c r="OR18" s="255"/>
      <c r="OS18" s="255"/>
      <c r="OT18" s="255"/>
      <c r="OU18" s="255"/>
      <c r="OV18" s="255"/>
      <c r="OW18" s="255"/>
      <c r="OX18" s="255"/>
      <c r="OY18" s="255"/>
      <c r="OZ18" s="255"/>
      <c r="PA18" s="255"/>
      <c r="PB18" s="255"/>
      <c r="PC18" s="255"/>
      <c r="PD18" s="255"/>
      <c r="PE18" s="255"/>
      <c r="PF18" s="255"/>
      <c r="PG18" s="255"/>
      <c r="PH18" s="255"/>
      <c r="PI18" s="255"/>
      <c r="PJ18" s="255"/>
      <c r="PK18" s="255"/>
      <c r="PL18" s="255"/>
      <c r="PM18" s="255"/>
      <c r="PN18" s="255"/>
      <c r="PO18" s="255"/>
      <c r="PP18" s="255"/>
      <c r="PQ18" s="255"/>
      <c r="PR18" s="255"/>
      <c r="PS18" s="255"/>
      <c r="PT18" s="255"/>
      <c r="PU18" s="255"/>
      <c r="PV18" s="255"/>
      <c r="PW18" s="255"/>
      <c r="PX18" s="255"/>
      <c r="PY18" s="255"/>
      <c r="PZ18" s="255"/>
      <c r="QA18" s="255"/>
      <c r="QB18" s="255"/>
      <c r="QC18" s="255"/>
      <c r="QD18" s="255"/>
      <c r="QE18" s="255"/>
      <c r="QF18" s="255"/>
      <c r="QG18" s="255"/>
      <c r="QH18" s="255"/>
      <c r="QI18" s="255"/>
      <c r="QJ18" s="255"/>
      <c r="QK18" s="255"/>
      <c r="QL18" s="255"/>
      <c r="QM18" s="255"/>
      <c r="QN18" s="255"/>
      <c r="QO18" s="255"/>
      <c r="QP18" s="255"/>
      <c r="QQ18" s="255"/>
      <c r="QR18" s="255"/>
      <c r="QS18" s="255"/>
      <c r="QT18" s="255"/>
      <c r="QU18" s="255"/>
      <c r="QV18" s="255"/>
      <c r="QW18" s="255"/>
      <c r="QX18" s="255"/>
      <c r="QY18" s="255"/>
      <c r="QZ18" s="255"/>
      <c r="RA18" s="255"/>
      <c r="RB18" s="255"/>
      <c r="RC18" s="255"/>
      <c r="RD18" s="255"/>
      <c r="RE18" s="255"/>
      <c r="RF18" s="255"/>
      <c r="RG18" s="255"/>
      <c r="RH18" s="255"/>
      <c r="RI18" s="255"/>
      <c r="RJ18" s="255"/>
      <c r="RK18" s="255"/>
      <c r="RL18" s="255"/>
      <c r="RM18" s="255"/>
      <c r="RN18" s="255"/>
      <c r="RO18" s="255"/>
      <c r="RP18" s="255"/>
      <c r="RQ18" s="255"/>
      <c r="RR18" s="255"/>
      <c r="RS18" s="255"/>
      <c r="RT18" s="255"/>
      <c r="RU18" s="255"/>
      <c r="RV18" s="255"/>
      <c r="RW18" s="255"/>
      <c r="RX18" s="255"/>
      <c r="RY18" s="255"/>
      <c r="RZ18" s="255"/>
      <c r="SA18" s="255"/>
      <c r="SB18" s="255"/>
      <c r="SC18" s="255"/>
      <c r="SD18" s="255"/>
      <c r="SE18" s="255"/>
      <c r="SF18" s="255"/>
      <c r="SG18" s="255"/>
      <c r="SH18" s="255"/>
      <c r="SI18" s="255"/>
      <c r="SJ18" s="255"/>
      <c r="SK18" s="255"/>
      <c r="SL18" s="255"/>
      <c r="SM18" s="255"/>
      <c r="SN18" s="255"/>
      <c r="SO18" s="255"/>
      <c r="SP18" s="255"/>
      <c r="SQ18" s="255"/>
      <c r="SR18" s="255"/>
      <c r="SS18" s="255"/>
      <c r="ST18" s="255"/>
      <c r="SU18" s="255"/>
      <c r="SV18" s="255"/>
      <c r="SW18" s="255"/>
      <c r="SX18" s="255"/>
      <c r="SY18" s="255"/>
      <c r="SZ18" s="255"/>
      <c r="TA18" s="255"/>
      <c r="TB18" s="255"/>
      <c r="TC18" s="255"/>
      <c r="TD18" s="255"/>
      <c r="TE18" s="255"/>
      <c r="TF18" s="255"/>
      <c r="TG18" s="255"/>
      <c r="TH18" s="255"/>
      <c r="TI18" s="255"/>
      <c r="TJ18" s="255"/>
      <c r="TK18" s="255"/>
      <c r="TL18" s="255"/>
      <c r="TM18" s="255"/>
      <c r="TN18" s="255"/>
      <c r="TO18" s="255"/>
      <c r="TP18" s="255"/>
      <c r="TQ18" s="255"/>
      <c r="TR18" s="255"/>
      <c r="TS18" s="255"/>
      <c r="TT18" s="255"/>
      <c r="TU18" s="255"/>
      <c r="TV18" s="255"/>
      <c r="TW18" s="255"/>
      <c r="TX18" s="255"/>
      <c r="TY18" s="255"/>
      <c r="TZ18" s="255"/>
      <c r="UA18" s="255"/>
      <c r="UB18" s="255"/>
      <c r="UC18" s="255"/>
      <c r="UD18" s="255"/>
      <c r="UE18" s="255"/>
      <c r="UF18" s="255"/>
      <c r="UG18" s="255"/>
      <c r="UH18" s="255"/>
      <c r="UI18" s="255"/>
      <c r="UJ18" s="255"/>
      <c r="UK18" s="255"/>
      <c r="UL18" s="255"/>
      <c r="UM18" s="255"/>
      <c r="UN18" s="255"/>
      <c r="UO18" s="255"/>
      <c r="UP18" s="255"/>
      <c r="UQ18" s="255"/>
      <c r="UR18" s="255"/>
      <c r="US18" s="255"/>
      <c r="UT18" s="255"/>
      <c r="UU18" s="255"/>
      <c r="UV18" s="255"/>
      <c r="UW18" s="255"/>
      <c r="UX18" s="255"/>
      <c r="UY18" s="255"/>
      <c r="UZ18" s="255"/>
      <c r="VA18" s="255"/>
      <c r="VB18" s="255"/>
      <c r="VC18" s="255"/>
      <c r="VD18" s="255"/>
      <c r="VE18" s="255"/>
      <c r="VF18" s="255"/>
      <c r="VG18" s="255"/>
      <c r="VH18" s="255"/>
      <c r="VI18" s="255"/>
      <c r="VJ18" s="255"/>
      <c r="VK18" s="255"/>
      <c r="VL18" s="255"/>
      <c r="VM18" s="255"/>
      <c r="VN18" s="255"/>
      <c r="VO18" s="255"/>
      <c r="VP18" s="255"/>
      <c r="VQ18" s="255"/>
      <c r="VR18" s="255"/>
      <c r="VS18" s="255"/>
      <c r="VT18" s="255"/>
      <c r="VU18" s="255"/>
      <c r="VV18" s="255"/>
      <c r="VW18" s="255"/>
      <c r="VX18" s="255"/>
      <c r="VY18" s="255"/>
      <c r="VZ18" s="255"/>
      <c r="WA18" s="255"/>
      <c r="WB18" s="255"/>
      <c r="WC18" s="255"/>
      <c r="WD18" s="255"/>
      <c r="WE18" s="255"/>
      <c r="WF18" s="255"/>
      <c r="WG18" s="255"/>
      <c r="WH18" s="255"/>
      <c r="WI18" s="255"/>
      <c r="WJ18" s="255"/>
      <c r="WK18" s="255"/>
      <c r="WL18" s="255"/>
      <c r="WM18" s="255"/>
      <c r="WN18" s="255"/>
      <c r="WO18" s="255"/>
      <c r="WP18" s="255"/>
      <c r="WQ18" s="255"/>
      <c r="WR18" s="255"/>
      <c r="WS18" s="255"/>
      <c r="WT18" s="255"/>
      <c r="WU18" s="255"/>
      <c r="WV18" s="255"/>
      <c r="WW18" s="255"/>
      <c r="WX18" s="255"/>
      <c r="WY18" s="255"/>
      <c r="WZ18" s="255"/>
      <c r="XA18" s="255"/>
      <c r="XB18" s="255"/>
      <c r="XC18" s="255"/>
      <c r="XD18" s="255"/>
      <c r="XE18" s="255"/>
      <c r="XF18" s="255"/>
      <c r="XG18" s="255"/>
      <c r="XH18" s="255"/>
      <c r="XI18" s="255"/>
      <c r="XJ18" s="255"/>
      <c r="XK18" s="255"/>
      <c r="XL18" s="255"/>
      <c r="XM18" s="255"/>
      <c r="XN18" s="255"/>
      <c r="XO18" s="255"/>
      <c r="XP18" s="255"/>
      <c r="XQ18" s="255"/>
      <c r="XR18" s="255"/>
      <c r="XS18" s="255"/>
      <c r="XT18" s="255"/>
      <c r="XU18" s="255"/>
      <c r="XV18" s="255"/>
      <c r="XW18" s="255"/>
      <c r="XX18" s="255"/>
      <c r="XY18" s="255"/>
      <c r="XZ18" s="255"/>
      <c r="YA18" s="255"/>
      <c r="YB18" s="255"/>
      <c r="YC18" s="255"/>
      <c r="YD18" s="255"/>
      <c r="YE18" s="255"/>
      <c r="YF18" s="255"/>
      <c r="YG18" s="255"/>
      <c r="YH18" s="255"/>
      <c r="YI18" s="255"/>
      <c r="YJ18" s="255"/>
      <c r="YK18" s="255"/>
      <c r="YL18" s="255"/>
      <c r="YM18" s="255"/>
      <c r="YN18" s="255"/>
      <c r="YO18" s="255"/>
      <c r="YP18" s="255"/>
      <c r="YQ18" s="255"/>
      <c r="YR18" s="255"/>
      <c r="YS18" s="255"/>
      <c r="YT18" s="255"/>
      <c r="YU18" s="255"/>
      <c r="YV18" s="255"/>
      <c r="YW18" s="255"/>
      <c r="YX18" s="255"/>
      <c r="YY18" s="255"/>
      <c r="YZ18" s="255"/>
      <c r="ZA18" s="255"/>
      <c r="ZB18" s="255"/>
      <c r="ZC18" s="255"/>
      <c r="ZD18" s="255"/>
      <c r="ZE18" s="255"/>
      <c r="ZF18" s="255"/>
      <c r="ZG18" s="255"/>
      <c r="ZH18" s="255"/>
      <c r="ZI18" s="255"/>
      <c r="ZJ18" s="255"/>
      <c r="ZK18" s="255"/>
      <c r="ZL18" s="255"/>
      <c r="ZM18" s="255"/>
      <c r="ZN18" s="255"/>
      <c r="ZO18" s="255"/>
      <c r="ZP18" s="255"/>
      <c r="ZQ18" s="255"/>
      <c r="ZR18" s="255"/>
      <c r="ZS18" s="255"/>
      <c r="ZT18" s="255"/>
      <c r="ZU18" s="255"/>
      <c r="ZV18" s="255"/>
      <c r="ZW18" s="255"/>
      <c r="ZX18" s="255"/>
      <c r="ZY18" s="255"/>
      <c r="ZZ18" s="255"/>
      <c r="AAA18" s="255"/>
      <c r="AAB18" s="255"/>
      <c r="AAC18" s="255"/>
      <c r="AAD18" s="255"/>
      <c r="AAE18" s="255"/>
      <c r="AAF18" s="255"/>
      <c r="AAG18" s="255"/>
      <c r="AAH18" s="255"/>
      <c r="AAI18" s="255"/>
      <c r="AAJ18" s="255"/>
      <c r="AAK18" s="255"/>
      <c r="AAL18" s="255"/>
      <c r="AAM18" s="255"/>
      <c r="AAN18" s="255"/>
      <c r="AAO18" s="255"/>
      <c r="AAP18" s="255"/>
      <c r="AAQ18" s="255"/>
      <c r="AAR18" s="255"/>
      <c r="AAS18" s="255"/>
      <c r="AAT18" s="255"/>
      <c r="AAU18" s="255"/>
      <c r="AAV18" s="255"/>
      <c r="AAW18" s="255"/>
      <c r="AAX18" s="255"/>
      <c r="AAY18" s="255"/>
      <c r="AAZ18" s="255"/>
      <c r="ABA18" s="255"/>
      <c r="ABB18" s="255"/>
      <c r="ABC18" s="255"/>
      <c r="ABD18" s="255"/>
      <c r="ABE18" s="255"/>
      <c r="ABF18" s="255"/>
      <c r="ABG18" s="255"/>
      <c r="ABH18" s="255"/>
      <c r="ABI18" s="255"/>
      <c r="ABJ18" s="255"/>
      <c r="ABK18" s="255"/>
      <c r="ABL18" s="255"/>
      <c r="ABM18" s="255"/>
      <c r="ABN18" s="255"/>
      <c r="ABO18" s="255"/>
      <c r="ABP18" s="255"/>
      <c r="ABQ18" s="255"/>
      <c r="ABR18" s="255"/>
      <c r="ABS18" s="255"/>
      <c r="ABT18" s="255"/>
      <c r="ABU18" s="255"/>
      <c r="ABV18" s="255"/>
      <c r="ABW18" s="255"/>
      <c r="ABX18" s="255"/>
      <c r="ABY18" s="255"/>
      <c r="ABZ18" s="255"/>
      <c r="ACA18" s="255"/>
      <c r="ACB18" s="255"/>
      <c r="ACC18" s="255"/>
      <c r="ACD18" s="255"/>
      <c r="ACE18" s="255"/>
      <c r="ACF18" s="255"/>
      <c r="ACG18" s="255"/>
      <c r="ACH18" s="255"/>
      <c r="ACI18" s="255"/>
      <c r="ACJ18" s="255"/>
      <c r="ACK18" s="255"/>
      <c r="ACL18" s="255"/>
      <c r="ACM18" s="255"/>
      <c r="ACN18" s="255"/>
      <c r="ACO18" s="255"/>
      <c r="ACP18" s="255"/>
      <c r="ACQ18" s="255"/>
      <c r="ACR18" s="255"/>
      <c r="ACS18" s="255"/>
      <c r="ACT18" s="255"/>
      <c r="ACU18" s="255"/>
      <c r="ACV18" s="255"/>
      <c r="ACW18" s="255"/>
      <c r="ACX18" s="255"/>
      <c r="ACY18" s="255"/>
      <c r="ACZ18" s="255"/>
      <c r="ADA18" s="255"/>
      <c r="ADB18" s="255"/>
      <c r="ADC18" s="255"/>
      <c r="ADD18" s="255"/>
      <c r="ADE18" s="255"/>
      <c r="ADF18" s="255"/>
      <c r="ADG18" s="255"/>
      <c r="ADH18" s="255"/>
      <c r="ADI18" s="255"/>
      <c r="ADJ18" s="255"/>
      <c r="ADK18" s="255"/>
      <c r="ADL18" s="255"/>
      <c r="ADM18" s="255"/>
      <c r="ADN18" s="255"/>
      <c r="ADO18" s="255"/>
      <c r="ADP18" s="255"/>
      <c r="ADQ18" s="255"/>
      <c r="ADR18" s="255"/>
      <c r="ADS18" s="255"/>
      <c r="ADT18" s="255"/>
      <c r="ADU18" s="255"/>
      <c r="ADV18" s="255"/>
      <c r="ADW18" s="255"/>
      <c r="ADX18" s="255"/>
      <c r="ADY18" s="255"/>
      <c r="ADZ18" s="255"/>
      <c r="AEA18" s="255"/>
      <c r="AEB18" s="255"/>
      <c r="AEC18" s="255"/>
      <c r="AED18" s="255"/>
      <c r="AEE18" s="255"/>
      <c r="AEF18" s="255"/>
      <c r="AEG18" s="255"/>
      <c r="AEH18" s="255"/>
      <c r="AEI18" s="255"/>
      <c r="AEJ18" s="255"/>
      <c r="AEK18" s="255"/>
      <c r="AEL18" s="255"/>
      <c r="AEM18" s="255"/>
      <c r="AEN18" s="255"/>
      <c r="AEO18" s="255"/>
      <c r="AEP18" s="255"/>
      <c r="AEQ18" s="255"/>
      <c r="AER18" s="255"/>
      <c r="AES18" s="255"/>
      <c r="AET18" s="255"/>
      <c r="AEU18" s="255"/>
      <c r="AEV18" s="255"/>
      <c r="AEW18" s="255"/>
      <c r="AEX18" s="255"/>
      <c r="AEY18" s="255"/>
      <c r="AEZ18" s="255"/>
      <c r="AFA18" s="255"/>
      <c r="AFB18" s="255"/>
      <c r="AFC18" s="255"/>
      <c r="AFD18" s="255"/>
      <c r="AFE18" s="255"/>
      <c r="AFF18" s="255"/>
      <c r="AFG18" s="255"/>
      <c r="AFH18" s="255"/>
      <c r="AFI18" s="255"/>
      <c r="AFJ18" s="255"/>
      <c r="AFK18" s="255"/>
      <c r="AFL18" s="255"/>
      <c r="AFM18" s="255"/>
      <c r="AFN18" s="255"/>
      <c r="AFO18" s="255"/>
      <c r="AFP18" s="255"/>
      <c r="AFQ18" s="255"/>
      <c r="AFR18" s="255"/>
      <c r="AFS18" s="255"/>
      <c r="AFT18" s="255"/>
      <c r="AFU18" s="255"/>
      <c r="AFV18" s="255"/>
      <c r="AFW18" s="255"/>
      <c r="AFX18" s="255"/>
      <c r="AFY18" s="255"/>
      <c r="AFZ18" s="255"/>
      <c r="AGA18" s="255"/>
      <c r="AGB18" s="255"/>
      <c r="AGC18" s="255"/>
      <c r="AGD18" s="255"/>
      <c r="AGE18" s="255"/>
      <c r="AGF18" s="255"/>
      <c r="AGG18" s="255"/>
      <c r="AGH18" s="255"/>
      <c r="AGI18" s="255"/>
      <c r="AGJ18" s="255"/>
      <c r="AGK18" s="255"/>
      <c r="AGL18" s="255"/>
      <c r="AGM18" s="255"/>
      <c r="AGN18" s="255"/>
      <c r="AGO18" s="255"/>
      <c r="AGP18" s="255"/>
      <c r="AGQ18" s="255"/>
      <c r="AGR18" s="255"/>
      <c r="AGS18" s="255"/>
      <c r="AGT18" s="255"/>
      <c r="AGU18" s="255"/>
      <c r="AGV18" s="255"/>
      <c r="AGW18" s="255"/>
      <c r="AGX18" s="255"/>
      <c r="AGY18" s="255"/>
      <c r="AGZ18" s="255"/>
      <c r="AHA18" s="255"/>
      <c r="AHB18" s="255"/>
      <c r="AHC18" s="255"/>
      <c r="AHD18" s="255"/>
      <c r="AHE18" s="255"/>
      <c r="AHF18" s="255"/>
      <c r="AHG18" s="255"/>
      <c r="AHH18" s="255"/>
      <c r="AHI18" s="255"/>
      <c r="AHJ18" s="255"/>
      <c r="AHK18" s="255"/>
      <c r="AHL18" s="255"/>
      <c r="AHM18" s="255"/>
      <c r="AHN18" s="255"/>
      <c r="AHO18" s="255"/>
      <c r="AHP18" s="255"/>
      <c r="AHQ18" s="255"/>
      <c r="AHR18" s="255"/>
      <c r="AHS18" s="255"/>
      <c r="AHT18" s="255"/>
      <c r="AHU18" s="255"/>
      <c r="AHV18" s="255"/>
      <c r="AHW18" s="255"/>
      <c r="AHX18" s="255"/>
      <c r="AHY18" s="255"/>
      <c r="AHZ18" s="255"/>
      <c r="AIA18" s="255"/>
      <c r="AIB18" s="255"/>
      <c r="AIC18" s="255"/>
      <c r="AID18" s="255"/>
      <c r="AIE18" s="255"/>
      <c r="AIF18" s="255"/>
      <c r="AIG18" s="255"/>
      <c r="AIH18" s="255"/>
      <c r="AII18" s="255"/>
      <c r="AIJ18" s="255"/>
      <c r="AIK18" s="255"/>
      <c r="AIL18" s="255"/>
      <c r="AIM18" s="255"/>
      <c r="AIN18" s="255"/>
      <c r="AIO18" s="255"/>
      <c r="AIP18" s="255"/>
      <c r="AIQ18" s="255"/>
      <c r="AIR18" s="255"/>
      <c r="AIS18" s="255"/>
      <c r="AIT18" s="255"/>
      <c r="AIU18" s="255"/>
      <c r="AIV18" s="255"/>
      <c r="AIW18" s="255"/>
      <c r="AIX18" s="255"/>
      <c r="AIY18" s="255"/>
      <c r="AIZ18" s="255"/>
      <c r="AJA18" s="255"/>
      <c r="AJB18" s="255"/>
      <c r="AJC18" s="255"/>
      <c r="AJD18" s="255"/>
      <c r="AJE18" s="255"/>
      <c r="AJF18" s="255"/>
      <c r="AJG18" s="255"/>
      <c r="AJH18" s="255"/>
      <c r="AJI18" s="255"/>
      <c r="AJJ18" s="255"/>
      <c r="AJK18" s="255"/>
      <c r="AJL18" s="255"/>
      <c r="AJM18" s="255"/>
      <c r="AJN18" s="255"/>
      <c r="AJO18" s="255"/>
      <c r="AJP18" s="255"/>
      <c r="AJQ18" s="255"/>
      <c r="AJR18" s="255"/>
      <c r="AJS18" s="255"/>
      <c r="AJT18" s="255"/>
      <c r="AJU18" s="255"/>
      <c r="AJV18" s="255"/>
      <c r="AJW18" s="255"/>
      <c r="AJX18" s="255"/>
      <c r="AJY18" s="255"/>
      <c r="AJZ18" s="255"/>
      <c r="AKA18" s="255"/>
      <c r="AKB18" s="255"/>
      <c r="AKC18" s="255"/>
      <c r="AKD18" s="255"/>
      <c r="AKE18" s="255"/>
      <c r="AKF18" s="255"/>
      <c r="AKG18" s="255"/>
      <c r="AKH18" s="255"/>
      <c r="AKI18" s="255"/>
      <c r="AKJ18" s="255"/>
      <c r="AKK18" s="255"/>
      <c r="AKL18" s="255"/>
      <c r="AKM18" s="255"/>
      <c r="AKN18" s="255"/>
      <c r="AKO18" s="255"/>
      <c r="AKP18" s="255"/>
      <c r="AKQ18" s="255"/>
      <c r="AKR18" s="255"/>
      <c r="AKS18" s="255"/>
      <c r="AKT18" s="255"/>
      <c r="AKU18" s="255"/>
      <c r="AKV18" s="255"/>
      <c r="AKW18" s="255"/>
      <c r="AKX18" s="255"/>
      <c r="AKY18" s="255"/>
      <c r="AKZ18" s="255"/>
      <c r="ALA18" s="255"/>
      <c r="ALB18" s="255"/>
      <c r="ALC18" s="255"/>
      <c r="ALD18" s="255"/>
      <c r="ALE18" s="255"/>
      <c r="ALF18" s="255"/>
      <c r="ALG18" s="255"/>
      <c r="ALH18" s="255"/>
      <c r="ALI18" s="255"/>
      <c r="ALJ18" s="255"/>
      <c r="ALK18" s="255"/>
      <c r="ALL18" s="255"/>
      <c r="ALM18" s="255"/>
      <c r="ALN18" s="255"/>
      <c r="ALO18" s="255"/>
      <c r="ALP18" s="255"/>
      <c r="ALQ18" s="255"/>
      <c r="ALR18" s="255"/>
      <c r="ALS18" s="255"/>
      <c r="ALT18" s="255"/>
      <c r="ALU18" s="255"/>
      <c r="ALV18" s="255"/>
      <c r="ALW18" s="255"/>
      <c r="ALX18" s="255"/>
      <c r="ALY18" s="255"/>
      <c r="ALZ18" s="255"/>
      <c r="AMA18" s="255"/>
      <c r="AMB18" s="255"/>
      <c r="AMC18" s="255"/>
      <c r="AMD18" s="255"/>
      <c r="AME18" s="255"/>
      <c r="AMF18" s="255"/>
      <c r="AMG18" s="255"/>
      <c r="AMH18" s="255"/>
      <c r="AMI18" s="255"/>
      <c r="AMJ18" s="255"/>
      <c r="AMK18" s="255"/>
      <c r="AML18" s="255"/>
      <c r="AMM18" s="255"/>
      <c r="AMN18" s="255"/>
      <c r="AMO18" s="255"/>
      <c r="AMP18" s="255"/>
      <c r="AMQ18" s="255"/>
      <c r="AMR18" s="255"/>
      <c r="AMS18" s="255"/>
      <c r="AMT18" s="255"/>
      <c r="AMU18" s="255"/>
      <c r="AMV18" s="255"/>
      <c r="AMW18" s="255"/>
      <c r="AMX18" s="255"/>
      <c r="AMY18" s="255"/>
      <c r="AMZ18" s="255"/>
      <c r="ANA18" s="255"/>
      <c r="ANB18" s="255"/>
      <c r="ANC18" s="255"/>
      <c r="AND18" s="255"/>
      <c r="ANE18" s="255"/>
      <c r="ANF18" s="255"/>
      <c r="ANG18" s="255"/>
      <c r="ANH18" s="255"/>
      <c r="ANI18" s="255"/>
      <c r="ANJ18" s="255"/>
      <c r="ANK18" s="255"/>
      <c r="ANL18" s="255"/>
      <c r="ANM18" s="255"/>
      <c r="ANN18" s="255"/>
      <c r="ANO18" s="255"/>
      <c r="ANP18" s="255"/>
      <c r="ANQ18" s="255"/>
      <c r="ANR18" s="255"/>
      <c r="ANS18" s="255"/>
      <c r="ANT18" s="255"/>
      <c r="ANU18" s="255"/>
      <c r="ANV18" s="255"/>
      <c r="ANW18" s="255"/>
      <c r="ANX18" s="255"/>
      <c r="ANY18" s="255"/>
      <c r="ANZ18" s="255"/>
      <c r="AOA18" s="255"/>
      <c r="AOB18" s="255"/>
      <c r="AOC18" s="255"/>
      <c r="AOD18" s="255"/>
      <c r="AOE18" s="255"/>
      <c r="AOF18" s="255"/>
      <c r="AOG18" s="255"/>
      <c r="AOH18" s="255"/>
      <c r="AOI18" s="255"/>
      <c r="AOJ18" s="255"/>
      <c r="AOK18" s="255"/>
      <c r="AOL18" s="255"/>
      <c r="AOM18" s="255"/>
      <c r="AON18" s="255"/>
      <c r="AOO18" s="255"/>
      <c r="AOP18" s="255"/>
      <c r="AOQ18" s="255"/>
      <c r="AOR18" s="255"/>
      <c r="AOS18" s="255"/>
      <c r="AOT18" s="255"/>
      <c r="AOU18" s="255"/>
      <c r="AOV18" s="255"/>
      <c r="AOW18" s="255"/>
      <c r="AOX18" s="255"/>
      <c r="AOY18" s="255"/>
      <c r="AOZ18" s="255"/>
      <c r="APA18" s="255"/>
      <c r="APB18" s="255"/>
      <c r="APC18" s="255"/>
      <c r="APD18" s="255"/>
      <c r="APE18" s="255"/>
      <c r="APF18" s="255"/>
      <c r="APG18" s="255"/>
      <c r="APH18" s="255"/>
      <c r="API18" s="255"/>
      <c r="APJ18" s="255"/>
      <c r="APK18" s="255"/>
      <c r="APL18" s="255"/>
      <c r="APM18" s="255"/>
      <c r="APN18" s="255"/>
      <c r="APO18" s="255"/>
      <c r="APP18" s="255"/>
      <c r="APQ18" s="255"/>
      <c r="APR18" s="255"/>
      <c r="APS18" s="255"/>
      <c r="APT18" s="255"/>
      <c r="APU18" s="255"/>
      <c r="APV18" s="255"/>
      <c r="APW18" s="255"/>
      <c r="APX18" s="255"/>
      <c r="APY18" s="255"/>
      <c r="APZ18" s="255"/>
      <c r="AQA18" s="255"/>
      <c r="AQB18" s="255"/>
      <c r="AQC18" s="255"/>
      <c r="AQD18" s="255"/>
      <c r="AQE18" s="255"/>
      <c r="AQF18" s="255"/>
      <c r="AQG18" s="255"/>
      <c r="AQH18" s="255"/>
      <c r="AQI18" s="255"/>
      <c r="AQJ18" s="255"/>
      <c r="AQK18" s="255"/>
      <c r="AQL18" s="255"/>
      <c r="AQM18" s="255"/>
      <c r="AQN18" s="255"/>
      <c r="AQO18" s="255"/>
      <c r="AQP18" s="255"/>
      <c r="AQQ18" s="255"/>
      <c r="AQR18" s="255"/>
      <c r="AQS18" s="255"/>
      <c r="AQT18" s="255"/>
      <c r="AQU18" s="255"/>
      <c r="AQV18" s="255"/>
      <c r="AQW18" s="255"/>
      <c r="AQX18" s="255"/>
      <c r="AQY18" s="255"/>
      <c r="AQZ18" s="255"/>
      <c r="ARA18" s="255"/>
      <c r="ARB18" s="255"/>
      <c r="ARC18" s="255"/>
      <c r="ARD18" s="255"/>
      <c r="ARE18" s="255"/>
      <c r="ARF18" s="255"/>
      <c r="ARG18" s="255"/>
      <c r="ARH18" s="255"/>
      <c r="ARI18" s="255"/>
      <c r="ARJ18" s="255"/>
      <c r="ARK18" s="255"/>
      <c r="ARL18" s="255"/>
      <c r="ARM18" s="255"/>
      <c r="ARN18" s="255"/>
      <c r="ARO18" s="255"/>
      <c r="ARP18" s="255"/>
      <c r="ARQ18" s="255"/>
      <c r="ARR18" s="255"/>
      <c r="ARS18" s="255"/>
      <c r="ART18" s="255"/>
      <c r="ARU18" s="255"/>
      <c r="ARV18" s="255"/>
      <c r="ARW18" s="255"/>
      <c r="ARX18" s="255"/>
      <c r="ARY18" s="255"/>
      <c r="ARZ18" s="255"/>
      <c r="ASA18" s="255"/>
      <c r="ASB18" s="255"/>
      <c r="ASC18" s="255"/>
      <c r="ASD18" s="255"/>
      <c r="ASE18" s="255"/>
      <c r="ASF18" s="255"/>
      <c r="ASG18" s="255"/>
      <c r="ASH18" s="255"/>
      <c r="ASI18" s="255"/>
      <c r="ASJ18" s="255"/>
      <c r="ASK18" s="255"/>
      <c r="ASL18" s="255"/>
      <c r="ASM18" s="255"/>
      <c r="ASN18" s="255"/>
      <c r="ASO18" s="255"/>
      <c r="ASP18" s="255"/>
      <c r="ASQ18" s="255"/>
      <c r="ASR18" s="255"/>
      <c r="ASS18" s="255"/>
      <c r="AST18" s="255"/>
      <c r="ASU18" s="255"/>
      <c r="ASV18" s="255"/>
      <c r="ASW18" s="255"/>
      <c r="ASX18" s="255"/>
      <c r="ASY18" s="255"/>
      <c r="ASZ18" s="255"/>
      <c r="ATA18" s="255"/>
      <c r="ATB18" s="255"/>
      <c r="ATC18" s="255"/>
      <c r="ATD18" s="255"/>
      <c r="ATE18" s="255"/>
      <c r="ATF18" s="255"/>
      <c r="ATG18" s="255"/>
      <c r="ATH18" s="255"/>
      <c r="ATI18" s="255"/>
      <c r="ATJ18" s="255"/>
      <c r="ATK18" s="255"/>
      <c r="ATL18" s="255"/>
      <c r="ATM18" s="255"/>
      <c r="ATN18" s="255"/>
      <c r="ATO18" s="255"/>
      <c r="ATP18" s="255"/>
      <c r="ATQ18" s="255"/>
      <c r="ATR18" s="255"/>
      <c r="ATS18" s="255"/>
      <c r="ATT18" s="255"/>
      <c r="ATU18" s="255"/>
      <c r="ATV18" s="255"/>
      <c r="ATW18" s="255"/>
      <c r="ATX18" s="255"/>
      <c r="ATY18" s="255"/>
      <c r="ATZ18" s="255"/>
      <c r="AUA18" s="255"/>
      <c r="AUB18" s="255"/>
      <c r="AUC18" s="255"/>
      <c r="AUD18" s="255"/>
      <c r="AUE18" s="255"/>
      <c r="AUF18" s="255"/>
      <c r="AUG18" s="255"/>
      <c r="AUH18" s="255"/>
      <c r="AUI18" s="255"/>
      <c r="AUJ18" s="255"/>
      <c r="AUK18" s="255"/>
      <c r="AUL18" s="255"/>
      <c r="AUM18" s="255"/>
      <c r="AUN18" s="255"/>
      <c r="AUO18" s="255"/>
      <c r="AUP18" s="255"/>
      <c r="AUQ18" s="255"/>
      <c r="AUR18" s="255"/>
      <c r="AUS18" s="255"/>
      <c r="AUT18" s="255"/>
      <c r="AUU18" s="255"/>
      <c r="AUV18" s="255"/>
      <c r="AUW18" s="255"/>
      <c r="AUX18" s="255"/>
      <c r="AUY18" s="255"/>
      <c r="AUZ18" s="255"/>
      <c r="AVA18" s="255"/>
      <c r="AVB18" s="255"/>
      <c r="AVC18" s="255"/>
      <c r="AVD18" s="255"/>
      <c r="AVE18" s="255"/>
      <c r="AVF18" s="255"/>
      <c r="AVG18" s="255"/>
      <c r="AVH18" s="255"/>
      <c r="AVI18" s="255"/>
      <c r="AVJ18" s="255"/>
      <c r="AVK18" s="255"/>
      <c r="AVL18" s="255"/>
      <c r="AVM18" s="255"/>
      <c r="AVN18" s="255"/>
      <c r="AVO18" s="255"/>
      <c r="AVP18" s="255"/>
      <c r="AVQ18" s="255"/>
      <c r="AVR18" s="255"/>
      <c r="AVS18" s="255"/>
      <c r="AVT18" s="255"/>
      <c r="AVU18" s="255"/>
      <c r="AVV18" s="255"/>
      <c r="AVW18" s="255"/>
      <c r="AVX18" s="255"/>
      <c r="AVY18" s="255"/>
      <c r="AVZ18" s="255"/>
      <c r="AWA18" s="255"/>
      <c r="AWB18" s="255"/>
      <c r="AWC18" s="255"/>
      <c r="AWD18" s="255"/>
      <c r="AWE18" s="255"/>
      <c r="AWF18" s="255"/>
      <c r="AWG18" s="255"/>
      <c r="AWH18" s="255"/>
      <c r="AWI18" s="255"/>
      <c r="AWJ18" s="255"/>
      <c r="AWK18" s="255"/>
      <c r="AWL18" s="255"/>
      <c r="AWM18" s="255"/>
      <c r="AWN18" s="255"/>
      <c r="AWO18" s="255"/>
      <c r="AWP18" s="255"/>
      <c r="AWQ18" s="255"/>
      <c r="AWR18" s="255"/>
      <c r="AWS18" s="255"/>
      <c r="AWT18" s="255"/>
      <c r="AWU18" s="255"/>
      <c r="AWV18" s="255"/>
      <c r="AWW18" s="255"/>
      <c r="AWX18" s="255"/>
      <c r="AWY18" s="255"/>
      <c r="AWZ18" s="255"/>
      <c r="AXA18" s="255"/>
      <c r="AXB18" s="255"/>
      <c r="AXC18" s="255"/>
      <c r="AXD18" s="255"/>
      <c r="AXE18" s="255"/>
      <c r="AXF18" s="255"/>
      <c r="AXG18" s="255"/>
      <c r="AXH18" s="255"/>
      <c r="AXI18" s="255"/>
      <c r="AXJ18" s="255"/>
      <c r="AXK18" s="255"/>
      <c r="AXL18" s="255"/>
      <c r="AXM18" s="255"/>
      <c r="AXN18" s="255"/>
      <c r="AXO18" s="255"/>
      <c r="AXP18" s="255"/>
      <c r="AXQ18" s="255"/>
      <c r="AXR18" s="255"/>
      <c r="AXS18" s="255"/>
      <c r="AXT18" s="255"/>
      <c r="AXU18" s="255"/>
      <c r="AXV18" s="255"/>
      <c r="AXW18" s="255"/>
      <c r="AXX18" s="255"/>
      <c r="AXY18" s="255"/>
      <c r="AXZ18" s="255"/>
      <c r="AYA18" s="255"/>
      <c r="AYB18" s="255"/>
      <c r="AYC18" s="255"/>
      <c r="AYD18" s="255"/>
      <c r="AYE18" s="255"/>
      <c r="AYF18" s="255"/>
      <c r="AYG18" s="255"/>
      <c r="AYH18" s="255"/>
      <c r="AYI18" s="255"/>
      <c r="AYJ18" s="255"/>
      <c r="AYK18" s="255"/>
      <c r="AYL18" s="255"/>
      <c r="AYM18" s="255"/>
      <c r="AYN18" s="255"/>
      <c r="AYO18" s="255"/>
      <c r="AYP18" s="255"/>
      <c r="AYQ18" s="255"/>
      <c r="AYR18" s="255"/>
      <c r="AYS18" s="255"/>
      <c r="AYT18" s="255"/>
      <c r="AYU18" s="255"/>
      <c r="AYV18" s="255"/>
      <c r="AYW18" s="255"/>
      <c r="AYX18" s="255"/>
      <c r="AYY18" s="255"/>
      <c r="AYZ18" s="255"/>
      <c r="AZA18" s="255"/>
      <c r="AZB18" s="255"/>
      <c r="AZC18" s="255"/>
      <c r="AZD18" s="255"/>
      <c r="AZE18" s="255"/>
      <c r="AZF18" s="255"/>
      <c r="AZG18" s="255"/>
      <c r="AZH18" s="255"/>
      <c r="AZI18" s="255"/>
      <c r="AZJ18" s="255"/>
      <c r="AZK18" s="255"/>
      <c r="AZL18" s="255"/>
      <c r="AZM18" s="255"/>
      <c r="AZN18" s="255"/>
      <c r="AZO18" s="255"/>
      <c r="AZP18" s="255"/>
      <c r="AZQ18" s="255"/>
      <c r="AZR18" s="255"/>
      <c r="AZS18" s="255"/>
      <c r="AZT18" s="255"/>
      <c r="AZU18" s="255"/>
      <c r="AZV18" s="255"/>
      <c r="AZW18" s="255"/>
      <c r="AZX18" s="255"/>
      <c r="AZY18" s="255"/>
      <c r="AZZ18" s="255"/>
      <c r="BAA18" s="255"/>
      <c r="BAB18" s="255"/>
      <c r="BAC18" s="255"/>
      <c r="BAD18" s="255"/>
      <c r="BAE18" s="255"/>
      <c r="BAF18" s="255"/>
      <c r="BAG18" s="255"/>
      <c r="BAH18" s="255"/>
      <c r="BAI18" s="255"/>
      <c r="BAJ18" s="255"/>
      <c r="BAK18" s="255"/>
      <c r="BAL18" s="255"/>
      <c r="BAM18" s="255"/>
      <c r="BAN18" s="255"/>
      <c r="BAO18" s="255"/>
      <c r="BAP18" s="255"/>
      <c r="BAQ18" s="255"/>
      <c r="BAR18" s="255"/>
      <c r="BAS18" s="255"/>
      <c r="BAT18" s="255"/>
      <c r="BAU18" s="255"/>
      <c r="BAV18" s="255"/>
      <c r="BAW18" s="255"/>
      <c r="BAX18" s="255"/>
      <c r="BAY18" s="255"/>
      <c r="BAZ18" s="255"/>
      <c r="BBA18" s="255"/>
      <c r="BBB18" s="255"/>
      <c r="BBC18" s="255"/>
      <c r="BBD18" s="255"/>
      <c r="BBE18" s="255"/>
      <c r="BBF18" s="255"/>
      <c r="BBG18" s="255"/>
      <c r="BBH18" s="255"/>
      <c r="BBI18" s="255"/>
      <c r="BBJ18" s="255"/>
      <c r="BBK18" s="255"/>
      <c r="BBL18" s="255"/>
      <c r="BBM18" s="255"/>
      <c r="BBN18" s="255"/>
      <c r="BBO18" s="255"/>
      <c r="BBP18" s="255"/>
      <c r="BBQ18" s="255"/>
      <c r="BBR18" s="255"/>
      <c r="BBS18" s="255"/>
      <c r="BBT18" s="255"/>
      <c r="BBU18" s="255"/>
      <c r="BBV18" s="255"/>
      <c r="BBW18" s="255"/>
      <c r="BBX18" s="255"/>
      <c r="BBY18" s="255"/>
      <c r="BBZ18" s="255"/>
      <c r="BCA18" s="255"/>
      <c r="BCB18" s="255"/>
      <c r="BCC18" s="255"/>
      <c r="BCD18" s="255"/>
      <c r="BCE18" s="255"/>
      <c r="BCF18" s="255"/>
      <c r="BCG18" s="255"/>
      <c r="BCH18" s="255"/>
      <c r="BCI18" s="255"/>
      <c r="BCJ18" s="255"/>
      <c r="BCK18" s="255"/>
      <c r="BCL18" s="255"/>
      <c r="BCM18" s="255"/>
      <c r="BCN18" s="255"/>
      <c r="BCO18" s="255"/>
      <c r="BCP18" s="255"/>
      <c r="BCQ18" s="255"/>
      <c r="BCR18" s="255"/>
      <c r="BCS18" s="255"/>
      <c r="BCT18" s="255"/>
      <c r="BCU18" s="255"/>
      <c r="BCV18" s="255"/>
      <c r="BCW18" s="255"/>
      <c r="BCX18" s="255"/>
      <c r="BCY18" s="255"/>
      <c r="BCZ18" s="255"/>
      <c r="BDA18" s="255"/>
      <c r="BDB18" s="255"/>
      <c r="BDC18" s="255"/>
      <c r="BDD18" s="255"/>
      <c r="BDE18" s="255"/>
      <c r="BDF18" s="255"/>
      <c r="BDG18" s="255"/>
      <c r="BDH18" s="255"/>
      <c r="BDI18" s="255"/>
      <c r="BDJ18" s="255"/>
      <c r="BDK18" s="255"/>
      <c r="BDL18" s="255"/>
      <c r="BDM18" s="255"/>
      <c r="BDN18" s="255"/>
      <c r="BDO18" s="255"/>
      <c r="BDP18" s="255"/>
      <c r="BDQ18" s="255"/>
      <c r="BDR18" s="255"/>
      <c r="BDS18" s="255"/>
      <c r="BDT18" s="255"/>
      <c r="BDU18" s="255"/>
      <c r="BDV18" s="255"/>
      <c r="BDW18" s="255"/>
      <c r="BDX18" s="255"/>
      <c r="BDY18" s="255"/>
      <c r="BDZ18" s="255"/>
      <c r="BEA18" s="255"/>
      <c r="BEB18" s="255"/>
      <c r="BEC18" s="255"/>
      <c r="BED18" s="255"/>
      <c r="BEE18" s="255"/>
      <c r="BEF18" s="255"/>
      <c r="BEG18" s="255"/>
      <c r="BEH18" s="255"/>
      <c r="BEI18" s="255"/>
      <c r="BEJ18" s="255"/>
      <c r="BEK18" s="255"/>
      <c r="BEL18" s="255"/>
      <c r="BEM18" s="255"/>
      <c r="BEN18" s="255"/>
      <c r="BEO18" s="255"/>
      <c r="BEP18" s="255"/>
      <c r="BEQ18" s="255"/>
      <c r="BER18" s="255"/>
      <c r="BES18" s="255"/>
      <c r="BET18" s="255"/>
      <c r="BEU18" s="255"/>
      <c r="BEV18" s="255"/>
      <c r="BEW18" s="255"/>
      <c r="BEX18" s="255"/>
      <c r="BEY18" s="255"/>
      <c r="BEZ18" s="255"/>
      <c r="BFA18" s="255"/>
      <c r="BFB18" s="255"/>
      <c r="BFC18" s="255"/>
      <c r="BFD18" s="255"/>
      <c r="BFE18" s="255"/>
      <c r="BFF18" s="255"/>
      <c r="BFG18" s="255"/>
      <c r="BFH18" s="255"/>
      <c r="BFI18" s="255"/>
      <c r="BFJ18" s="255"/>
      <c r="BFK18" s="255"/>
      <c r="BFL18" s="255"/>
      <c r="BFM18" s="255"/>
      <c r="BFN18" s="255"/>
      <c r="BFO18" s="255"/>
      <c r="BFP18" s="255"/>
      <c r="BFQ18" s="255"/>
      <c r="BFR18" s="255"/>
      <c r="BFS18" s="255"/>
      <c r="BFT18" s="255"/>
      <c r="BFU18" s="255"/>
      <c r="BFV18" s="255"/>
      <c r="BFW18" s="255"/>
      <c r="BFX18" s="255"/>
      <c r="BFY18" s="255"/>
      <c r="BFZ18" s="255"/>
      <c r="BGA18" s="255"/>
      <c r="BGB18" s="255"/>
      <c r="BGC18" s="255"/>
      <c r="BGD18" s="255"/>
      <c r="BGE18" s="255"/>
      <c r="BGF18" s="255"/>
      <c r="BGG18" s="255"/>
      <c r="BGH18" s="255"/>
      <c r="BGI18" s="255"/>
      <c r="BGJ18" s="255"/>
      <c r="BGK18" s="255"/>
      <c r="BGL18" s="255"/>
      <c r="BGM18" s="255"/>
      <c r="BGN18" s="255"/>
      <c r="BGO18" s="255"/>
      <c r="BGP18" s="255"/>
      <c r="BGQ18" s="255"/>
      <c r="BGR18" s="255"/>
      <c r="BGS18" s="255"/>
      <c r="BGT18" s="255"/>
      <c r="BGU18" s="255"/>
      <c r="BGV18" s="255"/>
      <c r="BGW18" s="255"/>
      <c r="BGX18" s="255"/>
      <c r="BGY18" s="255"/>
      <c r="BGZ18" s="255"/>
      <c r="BHA18" s="255"/>
      <c r="BHB18" s="255"/>
      <c r="BHC18" s="255"/>
      <c r="BHD18" s="255"/>
      <c r="BHE18" s="255"/>
      <c r="BHF18" s="255"/>
      <c r="BHG18" s="255"/>
      <c r="BHH18" s="255"/>
      <c r="BHI18" s="255"/>
      <c r="BHJ18" s="255"/>
      <c r="BHK18" s="255"/>
      <c r="BHL18" s="255"/>
      <c r="BHM18" s="255"/>
      <c r="BHN18" s="255"/>
      <c r="BHO18" s="255"/>
      <c r="BHP18" s="255"/>
      <c r="BHQ18" s="255"/>
      <c r="BHR18" s="255"/>
      <c r="BHS18" s="255"/>
      <c r="BHT18" s="255"/>
      <c r="BHU18" s="255"/>
      <c r="BHV18" s="255"/>
      <c r="BHW18" s="255"/>
      <c r="BHX18" s="255"/>
      <c r="BHY18" s="255"/>
      <c r="BHZ18" s="255"/>
      <c r="BIA18" s="255"/>
      <c r="BIB18" s="255"/>
      <c r="BIC18" s="255"/>
      <c r="BID18" s="255"/>
      <c r="BIE18" s="255"/>
      <c r="BIF18" s="255"/>
      <c r="BIG18" s="255"/>
      <c r="BIH18" s="255"/>
      <c r="BII18" s="255"/>
      <c r="BIJ18" s="255"/>
      <c r="BIK18" s="255"/>
      <c r="BIL18" s="255"/>
      <c r="BIM18" s="255"/>
      <c r="BIN18" s="255"/>
      <c r="BIO18" s="255"/>
      <c r="BIP18" s="255"/>
      <c r="BIQ18" s="255"/>
      <c r="BIR18" s="255"/>
      <c r="BIS18" s="255"/>
      <c r="BIT18" s="255"/>
      <c r="BIU18" s="255"/>
      <c r="BIV18" s="255"/>
      <c r="BIW18" s="255"/>
      <c r="BIX18" s="255"/>
      <c r="BIY18" s="255"/>
      <c r="BIZ18" s="255"/>
      <c r="BJA18" s="255"/>
      <c r="BJB18" s="255"/>
      <c r="BJC18" s="255"/>
      <c r="BJD18" s="255"/>
      <c r="BJE18" s="255"/>
      <c r="BJF18" s="255"/>
      <c r="BJG18" s="255"/>
      <c r="BJH18" s="255"/>
      <c r="BJI18" s="255"/>
      <c r="BJJ18" s="255"/>
      <c r="BJK18" s="255"/>
      <c r="BJL18" s="255"/>
      <c r="BJM18" s="255"/>
      <c r="BJN18" s="255"/>
      <c r="BJO18" s="255"/>
      <c r="BJP18" s="255"/>
      <c r="BJQ18" s="255"/>
      <c r="BJR18" s="255"/>
      <c r="BJS18" s="255"/>
      <c r="BJT18" s="255"/>
      <c r="BJU18" s="255"/>
      <c r="BJV18" s="255"/>
      <c r="BJW18" s="255"/>
      <c r="BJX18" s="255"/>
      <c r="BJY18" s="255"/>
      <c r="BJZ18" s="255"/>
      <c r="BKA18" s="255"/>
      <c r="BKB18" s="255"/>
      <c r="BKC18" s="255"/>
      <c r="BKD18" s="255"/>
      <c r="BKE18" s="255"/>
      <c r="BKF18" s="255"/>
      <c r="BKG18" s="255"/>
      <c r="BKH18" s="255"/>
      <c r="BKI18" s="255"/>
      <c r="BKJ18" s="255"/>
      <c r="BKK18" s="255"/>
      <c r="BKL18" s="255"/>
      <c r="BKM18" s="255"/>
      <c r="BKN18" s="255"/>
      <c r="BKO18" s="255"/>
      <c r="BKP18" s="255"/>
      <c r="BKQ18" s="255"/>
      <c r="BKR18" s="255"/>
      <c r="BKS18" s="255"/>
      <c r="BKT18" s="255"/>
      <c r="BKU18" s="255"/>
      <c r="BKV18" s="255"/>
      <c r="BKW18" s="255"/>
      <c r="BKX18" s="255"/>
      <c r="BKY18" s="255"/>
      <c r="BKZ18" s="255"/>
      <c r="BLA18" s="255"/>
      <c r="BLB18" s="255"/>
      <c r="BLC18" s="255"/>
      <c r="BLD18" s="255"/>
      <c r="BLE18" s="255"/>
      <c r="BLF18" s="255"/>
      <c r="BLG18" s="255"/>
      <c r="BLH18" s="255"/>
      <c r="BLI18" s="255"/>
      <c r="BLJ18" s="255"/>
      <c r="BLK18" s="255"/>
      <c r="BLL18" s="255"/>
      <c r="BLM18" s="255"/>
      <c r="BLN18" s="255"/>
      <c r="BLO18" s="255"/>
      <c r="BLP18" s="255"/>
      <c r="BLQ18" s="255"/>
      <c r="BLR18" s="255"/>
      <c r="BLS18" s="255"/>
      <c r="BLT18" s="255"/>
      <c r="BLU18" s="255"/>
      <c r="BLV18" s="255"/>
      <c r="BLW18" s="255"/>
      <c r="BLX18" s="255"/>
      <c r="BLY18" s="255"/>
      <c r="BLZ18" s="255"/>
      <c r="BMA18" s="255"/>
      <c r="BMB18" s="255"/>
      <c r="BMC18" s="255"/>
      <c r="BMD18" s="255"/>
      <c r="BME18" s="255"/>
      <c r="BMF18" s="255"/>
      <c r="BMG18" s="255"/>
      <c r="BMH18" s="255"/>
      <c r="BMI18" s="255"/>
      <c r="BMJ18" s="255"/>
      <c r="BMK18" s="255"/>
      <c r="BML18" s="255"/>
      <c r="BMM18" s="255"/>
      <c r="BMN18" s="255"/>
      <c r="BMO18" s="255"/>
      <c r="BMP18" s="255"/>
      <c r="BMQ18" s="255"/>
      <c r="BMR18" s="255"/>
      <c r="BMS18" s="255"/>
      <c r="BMT18" s="255"/>
      <c r="BMU18" s="255"/>
      <c r="BMV18" s="255"/>
      <c r="BMW18" s="255"/>
      <c r="BMX18" s="255"/>
      <c r="BMY18" s="255"/>
      <c r="BMZ18" s="255"/>
      <c r="BNA18" s="255"/>
      <c r="BNB18" s="255"/>
      <c r="BNC18" s="255"/>
      <c r="BND18" s="255"/>
      <c r="BNE18" s="255"/>
      <c r="BNF18" s="255"/>
      <c r="BNG18" s="255"/>
      <c r="BNH18" s="255"/>
      <c r="BNI18" s="255"/>
      <c r="BNJ18" s="255"/>
      <c r="BNK18" s="255"/>
      <c r="BNL18" s="255"/>
      <c r="BNM18" s="255"/>
      <c r="BNN18" s="255"/>
      <c r="BNO18" s="255"/>
      <c r="BNP18" s="255"/>
      <c r="BNQ18" s="255"/>
      <c r="BNR18" s="255"/>
      <c r="BNS18" s="255"/>
      <c r="BNT18" s="255"/>
      <c r="BNU18" s="255"/>
      <c r="BNV18" s="255"/>
      <c r="BNW18" s="255"/>
      <c r="BNX18" s="255"/>
      <c r="BNY18" s="255"/>
      <c r="BNZ18" s="255"/>
      <c r="BOA18" s="255"/>
      <c r="BOB18" s="255"/>
      <c r="BOC18" s="255"/>
      <c r="BOD18" s="255"/>
      <c r="BOE18" s="255"/>
      <c r="BOF18" s="255"/>
      <c r="BOG18" s="255"/>
      <c r="BOH18" s="255"/>
      <c r="BOI18" s="255"/>
      <c r="BOJ18" s="255"/>
      <c r="BOK18" s="255"/>
      <c r="BOL18" s="255"/>
      <c r="BOM18" s="255"/>
      <c r="BON18" s="255"/>
      <c r="BOO18" s="255"/>
      <c r="BOP18" s="255"/>
      <c r="BOQ18" s="255"/>
      <c r="BOR18" s="255"/>
      <c r="BOS18" s="255"/>
      <c r="BOT18" s="255"/>
      <c r="BOU18" s="255"/>
      <c r="BOV18" s="255"/>
      <c r="BOW18" s="255"/>
      <c r="BOX18" s="255"/>
      <c r="BOY18" s="255"/>
      <c r="BOZ18" s="255"/>
      <c r="BPA18" s="255"/>
      <c r="BPB18" s="255"/>
      <c r="BPC18" s="255"/>
      <c r="BPD18" s="255"/>
      <c r="BPE18" s="255"/>
      <c r="BPF18" s="255"/>
      <c r="BPG18" s="255"/>
      <c r="BPH18" s="255"/>
      <c r="BPI18" s="255"/>
      <c r="BPJ18" s="255"/>
      <c r="BPK18" s="255"/>
      <c r="BPL18" s="255"/>
      <c r="BPM18" s="255"/>
      <c r="BPN18" s="255"/>
      <c r="BPO18" s="255"/>
      <c r="BPP18" s="255"/>
      <c r="BPQ18" s="255"/>
      <c r="BPR18" s="255"/>
      <c r="BPS18" s="255"/>
      <c r="BPT18" s="255"/>
      <c r="BPU18" s="255"/>
      <c r="BPV18" s="255"/>
      <c r="BPW18" s="255"/>
      <c r="BPX18" s="255"/>
      <c r="BPY18" s="255"/>
      <c r="BPZ18" s="255"/>
      <c r="BQA18" s="255"/>
      <c r="BQB18" s="255"/>
      <c r="BQC18" s="255"/>
      <c r="BQD18" s="255"/>
      <c r="BQE18" s="255"/>
      <c r="BQF18" s="255"/>
      <c r="BQG18" s="255"/>
      <c r="BQH18" s="255"/>
      <c r="BQI18" s="255"/>
      <c r="BQJ18" s="255"/>
      <c r="BQK18" s="255"/>
      <c r="BQL18" s="255"/>
      <c r="BQM18" s="255"/>
      <c r="BQN18" s="255"/>
      <c r="BQO18" s="255"/>
      <c r="BQP18" s="255"/>
      <c r="BQQ18" s="255"/>
      <c r="BQR18" s="255"/>
      <c r="BQS18" s="255"/>
      <c r="BQT18" s="255"/>
      <c r="BQU18" s="255"/>
      <c r="BQV18" s="255"/>
      <c r="BQW18" s="255"/>
      <c r="BQX18" s="255"/>
      <c r="BQY18" s="255"/>
      <c r="BQZ18" s="255"/>
      <c r="BRA18" s="255"/>
      <c r="BRB18" s="255"/>
      <c r="BRC18" s="255"/>
      <c r="BRD18" s="255"/>
      <c r="BRE18" s="255"/>
      <c r="BRF18" s="255"/>
      <c r="BRG18" s="255"/>
      <c r="BRH18" s="255"/>
      <c r="BRI18" s="255"/>
      <c r="BRJ18" s="255"/>
      <c r="BRK18" s="255"/>
      <c r="BRL18" s="255"/>
      <c r="BRM18" s="255"/>
      <c r="BRN18" s="255"/>
      <c r="BRO18" s="255"/>
      <c r="BRP18" s="255"/>
      <c r="BRQ18" s="255"/>
      <c r="BRR18" s="255"/>
      <c r="BRS18" s="255"/>
      <c r="BRT18" s="255"/>
      <c r="BRU18" s="255"/>
      <c r="BRV18" s="255"/>
      <c r="BRW18" s="255"/>
      <c r="BRX18" s="255"/>
      <c r="BRY18" s="255"/>
      <c r="BRZ18" s="255"/>
      <c r="BSA18" s="255"/>
      <c r="BSB18" s="255"/>
      <c r="BSC18" s="255"/>
      <c r="BSD18" s="255"/>
      <c r="BSE18" s="255"/>
      <c r="BSF18" s="255"/>
      <c r="BSG18" s="255"/>
      <c r="BSH18" s="255"/>
      <c r="BSI18" s="255"/>
      <c r="BSJ18" s="255"/>
      <c r="BSK18" s="255"/>
      <c r="BSL18" s="255"/>
      <c r="BSM18" s="255"/>
      <c r="BSN18" s="255"/>
      <c r="BSO18" s="255"/>
      <c r="BSP18" s="255"/>
      <c r="BSQ18" s="255"/>
      <c r="BSR18" s="255"/>
      <c r="BSS18" s="255"/>
      <c r="BST18" s="255"/>
      <c r="BSU18" s="255"/>
      <c r="BSV18" s="255"/>
      <c r="BSW18" s="255"/>
      <c r="BSX18" s="255"/>
      <c r="BSY18" s="255"/>
      <c r="BSZ18" s="255"/>
      <c r="BTA18" s="255"/>
      <c r="BTB18" s="255"/>
      <c r="BTC18" s="255"/>
      <c r="BTD18" s="255"/>
      <c r="BTE18" s="255"/>
      <c r="BTF18" s="255"/>
      <c r="BTG18" s="255"/>
      <c r="BTH18" s="255"/>
      <c r="BTI18" s="255"/>
      <c r="BTJ18" s="255"/>
      <c r="BTK18" s="255"/>
      <c r="BTL18" s="255"/>
      <c r="BTM18" s="255"/>
      <c r="BTN18" s="255"/>
      <c r="BTO18" s="255"/>
      <c r="BTP18" s="255"/>
      <c r="BTQ18" s="255"/>
      <c r="BTR18" s="255"/>
      <c r="BTS18" s="255"/>
      <c r="BTT18" s="255"/>
      <c r="BTU18" s="255"/>
      <c r="BTV18" s="255"/>
      <c r="BTW18" s="255"/>
      <c r="BTX18" s="255"/>
      <c r="BTY18" s="255"/>
      <c r="BTZ18" s="255"/>
      <c r="BUA18" s="255"/>
      <c r="BUB18" s="255"/>
      <c r="BUC18" s="255"/>
      <c r="BUD18" s="255"/>
      <c r="BUE18" s="255"/>
      <c r="BUF18" s="255"/>
      <c r="BUG18" s="255"/>
      <c r="BUH18" s="255"/>
      <c r="BUI18" s="255"/>
      <c r="BUJ18" s="255"/>
      <c r="BUK18" s="255"/>
      <c r="BUL18" s="255"/>
      <c r="BUM18" s="255"/>
      <c r="BUN18" s="255"/>
      <c r="BUO18" s="255"/>
      <c r="BUP18" s="255"/>
      <c r="BUQ18" s="255"/>
      <c r="BUR18" s="255"/>
      <c r="BUS18" s="255"/>
      <c r="BUT18" s="255"/>
      <c r="BUU18" s="255"/>
      <c r="BUV18" s="255"/>
      <c r="BUW18" s="255"/>
      <c r="BUX18" s="255"/>
      <c r="BUY18" s="255"/>
      <c r="BUZ18" s="255"/>
      <c r="BVA18" s="255"/>
      <c r="BVB18" s="255"/>
      <c r="BVC18" s="255"/>
      <c r="BVD18" s="255"/>
      <c r="BVE18" s="255"/>
      <c r="BVF18" s="255"/>
      <c r="BVG18" s="255"/>
      <c r="BVH18" s="255"/>
      <c r="BVI18" s="255"/>
      <c r="BVJ18" s="255"/>
      <c r="BVK18" s="255"/>
      <c r="BVL18" s="255"/>
      <c r="BVM18" s="255"/>
      <c r="BVN18" s="255"/>
      <c r="BVO18" s="255"/>
      <c r="BVP18" s="255"/>
      <c r="BVQ18" s="255"/>
      <c r="BVR18" s="255"/>
      <c r="BVS18" s="255"/>
      <c r="BVT18" s="255"/>
      <c r="BVU18" s="255"/>
      <c r="BVV18" s="255"/>
      <c r="BVW18" s="255"/>
      <c r="BVX18" s="255"/>
      <c r="BVY18" s="255"/>
      <c r="BVZ18" s="255"/>
      <c r="BWA18" s="255"/>
      <c r="BWB18" s="255"/>
      <c r="BWC18" s="255"/>
      <c r="BWD18" s="255"/>
      <c r="BWE18" s="255"/>
      <c r="BWF18" s="255"/>
      <c r="BWG18" s="255"/>
      <c r="BWH18" s="255"/>
      <c r="BWI18" s="255"/>
      <c r="BWJ18" s="255"/>
      <c r="BWK18" s="255"/>
      <c r="BWL18" s="255"/>
      <c r="BWM18" s="255"/>
      <c r="BWN18" s="255"/>
      <c r="BWO18" s="255"/>
      <c r="BWP18" s="255"/>
      <c r="BWQ18" s="255"/>
      <c r="BWR18" s="255"/>
      <c r="BWS18" s="255"/>
      <c r="BWT18" s="255"/>
      <c r="BWU18" s="255"/>
      <c r="BWV18" s="255"/>
      <c r="BWW18" s="255"/>
      <c r="BWX18" s="255"/>
      <c r="BWY18" s="255"/>
      <c r="BWZ18" s="255"/>
      <c r="BXA18" s="255"/>
      <c r="BXB18" s="255"/>
      <c r="BXC18" s="255"/>
      <c r="BXD18" s="255"/>
      <c r="BXE18" s="255"/>
      <c r="BXF18" s="255"/>
      <c r="BXG18" s="255"/>
      <c r="BXH18" s="255"/>
      <c r="BXI18" s="255"/>
      <c r="BXJ18" s="255"/>
      <c r="BXK18" s="255"/>
      <c r="BXL18" s="255"/>
      <c r="BXM18" s="255"/>
      <c r="BXN18" s="255"/>
      <c r="BXO18" s="255"/>
      <c r="BXP18" s="255"/>
      <c r="BXQ18" s="255"/>
      <c r="BXR18" s="255"/>
      <c r="BXS18" s="255"/>
      <c r="BXT18" s="255"/>
      <c r="BXU18" s="255"/>
      <c r="BXV18" s="255"/>
      <c r="BXW18" s="255"/>
      <c r="BXX18" s="255"/>
      <c r="BXY18" s="255"/>
      <c r="BXZ18" s="255"/>
      <c r="BYA18" s="255"/>
      <c r="BYB18" s="255"/>
      <c r="BYC18" s="255"/>
      <c r="BYD18" s="255"/>
      <c r="BYE18" s="255"/>
      <c r="BYF18" s="255"/>
      <c r="BYG18" s="255"/>
      <c r="BYH18" s="255"/>
      <c r="BYI18" s="255"/>
      <c r="BYJ18" s="255"/>
      <c r="BYK18" s="255"/>
      <c r="BYL18" s="255"/>
      <c r="BYM18" s="255"/>
      <c r="BYN18" s="255"/>
      <c r="BYO18" s="255"/>
      <c r="BYP18" s="255"/>
      <c r="BYQ18" s="255"/>
      <c r="BYR18" s="255"/>
      <c r="BYS18" s="255"/>
      <c r="BYT18" s="255"/>
      <c r="BYU18" s="255"/>
      <c r="BYV18" s="255"/>
      <c r="BYW18" s="255"/>
      <c r="BYX18" s="255"/>
      <c r="BYY18" s="255"/>
      <c r="BYZ18" s="255"/>
      <c r="BZA18" s="255"/>
      <c r="BZB18" s="255"/>
      <c r="BZC18" s="255"/>
      <c r="BZD18" s="255"/>
      <c r="BZE18" s="255"/>
      <c r="BZF18" s="255"/>
      <c r="BZG18" s="255"/>
      <c r="BZH18" s="255"/>
      <c r="BZI18" s="255"/>
      <c r="BZJ18" s="255"/>
      <c r="BZK18" s="255"/>
      <c r="BZL18" s="255"/>
      <c r="BZM18" s="255"/>
      <c r="BZN18" s="255"/>
      <c r="BZO18" s="255"/>
      <c r="BZP18" s="255"/>
      <c r="BZQ18" s="255"/>
      <c r="BZR18" s="255"/>
      <c r="BZS18" s="255"/>
      <c r="BZT18" s="255"/>
      <c r="BZU18" s="255"/>
      <c r="BZV18" s="255"/>
      <c r="BZW18" s="255"/>
      <c r="BZX18" s="255"/>
      <c r="BZY18" s="255"/>
      <c r="BZZ18" s="255"/>
      <c r="CAA18" s="255"/>
      <c r="CAB18" s="255"/>
      <c r="CAC18" s="255"/>
      <c r="CAD18" s="255"/>
      <c r="CAE18" s="255"/>
      <c r="CAF18" s="255"/>
      <c r="CAG18" s="255"/>
      <c r="CAH18" s="255"/>
      <c r="CAI18" s="255"/>
      <c r="CAJ18" s="255"/>
      <c r="CAK18" s="255"/>
      <c r="CAL18" s="255"/>
      <c r="CAM18" s="255"/>
      <c r="CAN18" s="255"/>
      <c r="CAO18" s="255"/>
      <c r="CAP18" s="255"/>
      <c r="CAQ18" s="255"/>
      <c r="CAR18" s="255"/>
      <c r="CAS18" s="255"/>
      <c r="CAT18" s="255"/>
      <c r="CAU18" s="255"/>
      <c r="CAV18" s="255"/>
      <c r="CAW18" s="255"/>
      <c r="CAX18" s="255"/>
      <c r="CAY18" s="255"/>
      <c r="CAZ18" s="255"/>
      <c r="CBA18" s="255"/>
      <c r="CBB18" s="255"/>
      <c r="CBC18" s="255"/>
      <c r="CBD18" s="255"/>
      <c r="CBE18" s="255"/>
      <c r="CBF18" s="255"/>
      <c r="CBG18" s="255"/>
      <c r="CBH18" s="255"/>
      <c r="CBI18" s="255"/>
      <c r="CBJ18" s="255"/>
      <c r="CBK18" s="255"/>
      <c r="CBL18" s="255"/>
      <c r="CBM18" s="255"/>
      <c r="CBN18" s="255"/>
      <c r="CBO18" s="255"/>
      <c r="CBP18" s="255"/>
      <c r="CBQ18" s="255"/>
      <c r="CBR18" s="255"/>
      <c r="CBS18" s="255"/>
      <c r="CBT18" s="255"/>
      <c r="CBU18" s="255"/>
      <c r="CBV18" s="255"/>
      <c r="CBW18" s="255"/>
      <c r="CBX18" s="255"/>
      <c r="CBY18" s="255"/>
      <c r="CBZ18" s="255"/>
      <c r="CCA18" s="255"/>
      <c r="CCB18" s="255"/>
      <c r="CCC18" s="255"/>
      <c r="CCD18" s="255"/>
      <c r="CCE18" s="255"/>
      <c r="CCF18" s="255"/>
      <c r="CCG18" s="255"/>
      <c r="CCH18" s="255"/>
      <c r="CCI18" s="255"/>
      <c r="CCJ18" s="255"/>
      <c r="CCK18" s="255"/>
      <c r="CCL18" s="255"/>
      <c r="CCM18" s="255"/>
      <c r="CCN18" s="255"/>
      <c r="CCO18" s="255"/>
      <c r="CCP18" s="255"/>
      <c r="CCQ18" s="255"/>
      <c r="CCR18" s="255"/>
      <c r="CCS18" s="255"/>
      <c r="CCT18" s="255"/>
      <c r="CCU18" s="255"/>
      <c r="CCV18" s="255"/>
      <c r="CCW18" s="255"/>
      <c r="CCX18" s="255"/>
      <c r="CCY18" s="255"/>
      <c r="CCZ18" s="255"/>
      <c r="CDA18" s="255"/>
      <c r="CDB18" s="255"/>
      <c r="CDC18" s="255"/>
      <c r="CDD18" s="255"/>
      <c r="CDE18" s="255"/>
      <c r="CDF18" s="255"/>
      <c r="CDG18" s="255"/>
      <c r="CDH18" s="255"/>
      <c r="CDI18" s="255"/>
      <c r="CDJ18" s="255"/>
      <c r="CDK18" s="255"/>
      <c r="CDL18" s="255"/>
      <c r="CDM18" s="255"/>
      <c r="CDN18" s="255"/>
      <c r="CDO18" s="255"/>
      <c r="CDP18" s="255"/>
      <c r="CDQ18" s="255"/>
      <c r="CDR18" s="255"/>
      <c r="CDS18" s="255"/>
      <c r="CDT18" s="255"/>
      <c r="CDU18" s="255"/>
      <c r="CDV18" s="255"/>
      <c r="CDW18" s="255"/>
      <c r="CDX18" s="255"/>
      <c r="CDY18" s="255"/>
      <c r="CDZ18" s="255"/>
      <c r="CEA18" s="255"/>
      <c r="CEB18" s="255"/>
      <c r="CEC18" s="255"/>
      <c r="CED18" s="255"/>
      <c r="CEE18" s="255"/>
      <c r="CEF18" s="255"/>
      <c r="CEG18" s="255"/>
      <c r="CEH18" s="255"/>
      <c r="CEI18" s="255"/>
      <c r="CEJ18" s="255"/>
      <c r="CEK18" s="255"/>
      <c r="CEL18" s="255"/>
      <c r="CEM18" s="255"/>
      <c r="CEN18" s="255"/>
      <c r="CEO18" s="255"/>
      <c r="CEP18" s="255"/>
      <c r="CEQ18" s="255"/>
      <c r="CER18" s="255"/>
      <c r="CES18" s="255"/>
      <c r="CET18" s="255"/>
      <c r="CEU18" s="255"/>
      <c r="CEV18" s="255"/>
      <c r="CEW18" s="255"/>
      <c r="CEX18" s="255"/>
      <c r="CEY18" s="255"/>
      <c r="CEZ18" s="255"/>
      <c r="CFA18" s="255"/>
      <c r="CFB18" s="255"/>
      <c r="CFC18" s="255"/>
      <c r="CFD18" s="255"/>
      <c r="CFE18" s="255"/>
      <c r="CFF18" s="255"/>
      <c r="CFG18" s="255"/>
      <c r="CFH18" s="255"/>
      <c r="CFI18" s="255"/>
      <c r="CFJ18" s="255"/>
      <c r="CFK18" s="255"/>
      <c r="CFL18" s="255"/>
      <c r="CFM18" s="255"/>
      <c r="CFN18" s="255"/>
      <c r="CFO18" s="255"/>
      <c r="CFP18" s="255"/>
      <c r="CFQ18" s="255"/>
      <c r="CFR18" s="255"/>
      <c r="CFS18" s="255"/>
      <c r="CFT18" s="255"/>
      <c r="CFU18" s="255"/>
      <c r="CFV18" s="255"/>
      <c r="CFW18" s="255"/>
      <c r="CFX18" s="255"/>
      <c r="CFY18" s="255"/>
      <c r="CFZ18" s="255"/>
      <c r="CGA18" s="255"/>
      <c r="CGB18" s="255"/>
      <c r="CGC18" s="255"/>
      <c r="CGD18" s="255"/>
      <c r="CGE18" s="255"/>
      <c r="CGF18" s="255"/>
      <c r="CGG18" s="255"/>
      <c r="CGH18" s="255"/>
      <c r="CGI18" s="255"/>
      <c r="CGJ18" s="255"/>
      <c r="CGK18" s="255"/>
      <c r="CGL18" s="255"/>
      <c r="CGM18" s="255"/>
      <c r="CGN18" s="255"/>
      <c r="CGO18" s="255"/>
      <c r="CGP18" s="255"/>
      <c r="CGQ18" s="255"/>
      <c r="CGR18" s="255"/>
      <c r="CGS18" s="255"/>
      <c r="CGT18" s="255"/>
      <c r="CGU18" s="255"/>
      <c r="CGV18" s="255"/>
      <c r="CGW18" s="255"/>
      <c r="CGX18" s="255"/>
      <c r="CGY18" s="255"/>
      <c r="CGZ18" s="255"/>
      <c r="CHA18" s="255"/>
      <c r="CHB18" s="255"/>
      <c r="CHC18" s="255"/>
      <c r="CHD18" s="255"/>
      <c r="CHE18" s="255"/>
      <c r="CHF18" s="255"/>
      <c r="CHG18" s="255"/>
      <c r="CHH18" s="255"/>
      <c r="CHI18" s="255"/>
      <c r="CHJ18" s="255"/>
      <c r="CHK18" s="255"/>
      <c r="CHL18" s="255"/>
      <c r="CHM18" s="255"/>
      <c r="CHN18" s="255"/>
      <c r="CHO18" s="255"/>
      <c r="CHP18" s="255"/>
      <c r="CHQ18" s="255"/>
      <c r="CHR18" s="255"/>
      <c r="CHS18" s="255"/>
      <c r="CHT18" s="255"/>
      <c r="CHU18" s="255"/>
      <c r="CHV18" s="255"/>
      <c r="CHW18" s="255"/>
      <c r="CHX18" s="255"/>
      <c r="CHY18" s="255"/>
      <c r="CHZ18" s="255"/>
      <c r="CIA18" s="255"/>
      <c r="CIB18" s="255"/>
      <c r="CIC18" s="255"/>
      <c r="CID18" s="255"/>
      <c r="CIE18" s="255"/>
      <c r="CIF18" s="255"/>
      <c r="CIG18" s="255"/>
      <c r="CIH18" s="255"/>
      <c r="CII18" s="255"/>
      <c r="CIJ18" s="255"/>
      <c r="CIK18" s="255"/>
      <c r="CIL18" s="255"/>
      <c r="CIM18" s="255"/>
      <c r="CIN18" s="255"/>
      <c r="CIO18" s="255"/>
      <c r="CIP18" s="255"/>
      <c r="CIQ18" s="255"/>
      <c r="CIR18" s="255"/>
      <c r="CIS18" s="255"/>
      <c r="CIT18" s="255"/>
      <c r="CIU18" s="255"/>
      <c r="CIV18" s="255"/>
      <c r="CIW18" s="255"/>
      <c r="CIX18" s="255"/>
      <c r="CIY18" s="255"/>
      <c r="CIZ18" s="255"/>
      <c r="CJA18" s="255"/>
      <c r="CJB18" s="255"/>
      <c r="CJC18" s="255"/>
      <c r="CJD18" s="255"/>
      <c r="CJE18" s="255"/>
      <c r="CJF18" s="255"/>
      <c r="CJG18" s="255"/>
      <c r="CJH18" s="255"/>
      <c r="CJI18" s="255"/>
      <c r="CJJ18" s="255"/>
      <c r="CJK18" s="255"/>
      <c r="CJL18" s="255"/>
      <c r="CJM18" s="255"/>
      <c r="CJN18" s="255"/>
      <c r="CJO18" s="255"/>
      <c r="CJP18" s="255"/>
      <c r="CJQ18" s="255"/>
      <c r="CJR18" s="255"/>
      <c r="CJS18" s="255"/>
      <c r="CJT18" s="255"/>
      <c r="CJU18" s="255"/>
      <c r="CJV18" s="255"/>
      <c r="CJW18" s="255"/>
      <c r="CJX18" s="255"/>
      <c r="CJY18" s="255"/>
      <c r="CJZ18" s="255"/>
      <c r="CKA18" s="255"/>
      <c r="CKB18" s="255"/>
      <c r="CKC18" s="255"/>
      <c r="CKD18" s="255"/>
      <c r="CKE18" s="255"/>
      <c r="CKF18" s="255"/>
      <c r="CKG18" s="255"/>
      <c r="CKH18" s="255"/>
      <c r="CKI18" s="255"/>
      <c r="CKJ18" s="255"/>
      <c r="CKK18" s="255"/>
      <c r="CKL18" s="255"/>
      <c r="CKM18" s="255"/>
      <c r="CKN18" s="255"/>
      <c r="CKO18" s="255"/>
      <c r="CKP18" s="255"/>
      <c r="CKQ18" s="255"/>
      <c r="CKR18" s="255"/>
      <c r="CKS18" s="255"/>
      <c r="CKT18" s="255"/>
      <c r="CKU18" s="255"/>
      <c r="CKV18" s="255"/>
      <c r="CKW18" s="255"/>
      <c r="CKX18" s="255"/>
      <c r="CKY18" s="255"/>
      <c r="CKZ18" s="255"/>
      <c r="CLA18" s="255"/>
      <c r="CLB18" s="255"/>
      <c r="CLC18" s="255"/>
      <c r="CLD18" s="255"/>
      <c r="CLE18" s="255"/>
      <c r="CLF18" s="255"/>
      <c r="CLG18" s="255"/>
      <c r="CLH18" s="255"/>
      <c r="CLI18" s="255"/>
      <c r="CLJ18" s="255"/>
      <c r="CLK18" s="255"/>
      <c r="CLL18" s="255"/>
      <c r="CLM18" s="255"/>
      <c r="CLN18" s="255"/>
      <c r="CLO18" s="255"/>
      <c r="CLP18" s="255"/>
      <c r="CLQ18" s="255"/>
      <c r="CLR18" s="255"/>
      <c r="CLS18" s="255"/>
      <c r="CLT18" s="255"/>
      <c r="CLU18" s="255"/>
      <c r="CLV18" s="255"/>
      <c r="CLW18" s="255"/>
      <c r="CLX18" s="255"/>
      <c r="CLY18" s="255"/>
      <c r="CLZ18" s="255"/>
      <c r="CMA18" s="255"/>
      <c r="CMB18" s="255"/>
      <c r="CMC18" s="255"/>
      <c r="CMD18" s="255"/>
      <c r="CME18" s="255"/>
      <c r="CMF18" s="255"/>
      <c r="CMG18" s="255"/>
      <c r="CMH18" s="255"/>
      <c r="CMI18" s="255"/>
      <c r="CMJ18" s="255"/>
      <c r="CMK18" s="255"/>
      <c r="CML18" s="255"/>
      <c r="CMM18" s="255"/>
      <c r="CMN18" s="255"/>
      <c r="CMO18" s="255"/>
      <c r="CMP18" s="255"/>
      <c r="CMQ18" s="255"/>
      <c r="CMR18" s="255"/>
      <c r="CMS18" s="255"/>
      <c r="CMT18" s="255"/>
      <c r="CMU18" s="255"/>
      <c r="CMV18" s="255"/>
      <c r="CMW18" s="255"/>
      <c r="CMX18" s="255"/>
      <c r="CMY18" s="255"/>
      <c r="CMZ18" s="255"/>
      <c r="CNA18" s="255"/>
      <c r="CNB18" s="255"/>
      <c r="CNC18" s="255"/>
      <c r="CND18" s="255"/>
      <c r="CNE18" s="255"/>
      <c r="CNF18" s="255"/>
      <c r="CNG18" s="255"/>
      <c r="CNH18" s="255"/>
      <c r="CNI18" s="255"/>
      <c r="CNJ18" s="255"/>
      <c r="CNK18" s="255"/>
      <c r="CNL18" s="255"/>
      <c r="CNM18" s="255"/>
      <c r="CNN18" s="255"/>
      <c r="CNO18" s="255"/>
      <c r="CNP18" s="255"/>
      <c r="CNQ18" s="255"/>
      <c r="CNR18" s="255"/>
      <c r="CNS18" s="255"/>
      <c r="CNT18" s="255"/>
      <c r="CNU18" s="255"/>
      <c r="CNV18" s="255"/>
      <c r="CNW18" s="255"/>
      <c r="CNX18" s="255"/>
      <c r="CNY18" s="255"/>
      <c r="CNZ18" s="255"/>
      <c r="COA18" s="255"/>
      <c r="COB18" s="255"/>
      <c r="COC18" s="255"/>
      <c r="COD18" s="255"/>
      <c r="COE18" s="255"/>
      <c r="COF18" s="255"/>
      <c r="COG18" s="255"/>
      <c r="COH18" s="255"/>
      <c r="COI18" s="255"/>
      <c r="COJ18" s="255"/>
      <c r="COK18" s="255"/>
      <c r="COL18" s="255"/>
      <c r="COM18" s="255"/>
      <c r="CON18" s="255"/>
      <c r="COO18" s="255"/>
      <c r="COP18" s="255"/>
      <c r="COQ18" s="255"/>
      <c r="COR18" s="255"/>
      <c r="COS18" s="255"/>
      <c r="COT18" s="255"/>
      <c r="COU18" s="255"/>
      <c r="COV18" s="255"/>
      <c r="COW18" s="255"/>
      <c r="COX18" s="255"/>
      <c r="COY18" s="255"/>
      <c r="COZ18" s="255"/>
      <c r="CPA18" s="255"/>
      <c r="CPB18" s="255"/>
      <c r="CPC18" s="255"/>
      <c r="CPD18" s="255"/>
      <c r="CPE18" s="255"/>
      <c r="CPF18" s="255"/>
      <c r="CPG18" s="255"/>
      <c r="CPH18" s="255"/>
      <c r="CPI18" s="255"/>
      <c r="CPJ18" s="255"/>
      <c r="CPK18" s="255"/>
      <c r="CPL18" s="255"/>
      <c r="CPM18" s="255"/>
      <c r="CPN18" s="255"/>
      <c r="CPO18" s="255"/>
      <c r="CPP18" s="255"/>
      <c r="CPQ18" s="255"/>
      <c r="CPR18" s="255"/>
      <c r="CPS18" s="255"/>
      <c r="CPT18" s="255"/>
      <c r="CPU18" s="255"/>
      <c r="CPV18" s="255"/>
      <c r="CPW18" s="255"/>
      <c r="CPX18" s="255"/>
      <c r="CPY18" s="255"/>
      <c r="CPZ18" s="255"/>
      <c r="CQA18" s="255"/>
      <c r="CQB18" s="255"/>
      <c r="CQC18" s="255"/>
      <c r="CQD18" s="255"/>
      <c r="CQE18" s="255"/>
      <c r="CQF18" s="255"/>
      <c r="CQG18" s="255"/>
      <c r="CQH18" s="255"/>
      <c r="CQI18" s="255"/>
      <c r="CQJ18" s="255"/>
      <c r="CQK18" s="255"/>
      <c r="CQL18" s="255"/>
      <c r="CQM18" s="255"/>
      <c r="CQN18" s="255"/>
      <c r="CQO18" s="255"/>
      <c r="CQP18" s="255"/>
      <c r="CQQ18" s="255"/>
      <c r="CQR18" s="255"/>
      <c r="CQS18" s="255"/>
      <c r="CQT18" s="255"/>
      <c r="CQU18" s="255"/>
      <c r="CQV18" s="255"/>
      <c r="CQW18" s="255"/>
      <c r="CQX18" s="255"/>
      <c r="CQY18" s="255"/>
      <c r="CQZ18" s="255"/>
      <c r="CRA18" s="255"/>
      <c r="CRB18" s="255"/>
      <c r="CRC18" s="255"/>
      <c r="CRD18" s="255"/>
      <c r="CRE18" s="255"/>
      <c r="CRF18" s="255"/>
      <c r="CRG18" s="255"/>
      <c r="CRH18" s="255"/>
      <c r="CRI18" s="255"/>
      <c r="CRJ18" s="255"/>
      <c r="CRK18" s="255"/>
      <c r="CRL18" s="255"/>
      <c r="CRM18" s="255"/>
      <c r="CRN18" s="255"/>
      <c r="CRO18" s="255"/>
      <c r="CRP18" s="255"/>
      <c r="CRQ18" s="255"/>
      <c r="CRR18" s="255"/>
      <c r="CRS18" s="255"/>
      <c r="CRT18" s="255"/>
      <c r="CRU18" s="255"/>
      <c r="CRV18" s="255"/>
      <c r="CRW18" s="255"/>
      <c r="CRX18" s="255"/>
      <c r="CRY18" s="255"/>
      <c r="CRZ18" s="255"/>
      <c r="CSA18" s="255"/>
      <c r="CSB18" s="255"/>
      <c r="CSC18" s="255"/>
      <c r="CSD18" s="255"/>
      <c r="CSE18" s="255"/>
      <c r="CSF18" s="255"/>
      <c r="CSG18" s="255"/>
      <c r="CSH18" s="255"/>
      <c r="CSI18" s="255"/>
      <c r="CSJ18" s="255"/>
      <c r="CSK18" s="255"/>
      <c r="CSL18" s="255"/>
      <c r="CSM18" s="255"/>
      <c r="CSN18" s="255"/>
      <c r="CSO18" s="255"/>
      <c r="CSP18" s="255"/>
      <c r="CSQ18" s="255"/>
      <c r="CSR18" s="255"/>
      <c r="CSS18" s="255"/>
      <c r="CST18" s="255"/>
      <c r="CSU18" s="255"/>
      <c r="CSV18" s="255"/>
      <c r="CSW18" s="255"/>
      <c r="CSX18" s="255"/>
      <c r="CSY18" s="255"/>
      <c r="CSZ18" s="255"/>
      <c r="CTA18" s="255"/>
      <c r="CTB18" s="255"/>
      <c r="CTC18" s="255"/>
      <c r="CTD18" s="255"/>
      <c r="CTE18" s="255"/>
      <c r="CTF18" s="255"/>
      <c r="CTG18" s="255"/>
      <c r="CTH18" s="255"/>
      <c r="CTI18" s="255"/>
      <c r="CTJ18" s="255"/>
      <c r="CTK18" s="255"/>
      <c r="CTL18" s="255"/>
      <c r="CTM18" s="255"/>
      <c r="CTN18" s="255"/>
      <c r="CTO18" s="255"/>
      <c r="CTP18" s="255"/>
      <c r="CTQ18" s="255"/>
      <c r="CTR18" s="255"/>
      <c r="CTS18" s="255"/>
      <c r="CTT18" s="255"/>
      <c r="CTU18" s="255"/>
      <c r="CTV18" s="255"/>
      <c r="CTW18" s="255"/>
      <c r="CTX18" s="255"/>
      <c r="CTY18" s="255"/>
      <c r="CTZ18" s="255"/>
      <c r="CUA18" s="255"/>
      <c r="CUB18" s="255"/>
      <c r="CUC18" s="255"/>
      <c r="CUD18" s="255"/>
      <c r="CUE18" s="255"/>
      <c r="CUF18" s="255"/>
      <c r="CUG18" s="255"/>
      <c r="CUH18" s="255"/>
      <c r="CUI18" s="255"/>
      <c r="CUJ18" s="255"/>
      <c r="CUK18" s="255"/>
      <c r="CUL18" s="255"/>
      <c r="CUM18" s="255"/>
      <c r="CUN18" s="255"/>
      <c r="CUO18" s="255"/>
      <c r="CUP18" s="255"/>
      <c r="CUQ18" s="255"/>
      <c r="CUR18" s="255"/>
      <c r="CUS18" s="255"/>
      <c r="CUT18" s="255"/>
      <c r="CUU18" s="255"/>
      <c r="CUV18" s="255"/>
      <c r="CUW18" s="255"/>
      <c r="CUX18" s="255"/>
      <c r="CUY18" s="255"/>
      <c r="CUZ18" s="255"/>
      <c r="CVA18" s="255"/>
      <c r="CVB18" s="255"/>
      <c r="CVC18" s="255"/>
      <c r="CVD18" s="255"/>
      <c r="CVE18" s="255"/>
      <c r="CVF18" s="255"/>
      <c r="CVG18" s="255"/>
      <c r="CVH18" s="255"/>
      <c r="CVI18" s="255"/>
      <c r="CVJ18" s="255"/>
      <c r="CVK18" s="255"/>
      <c r="CVL18" s="255"/>
      <c r="CVM18" s="255"/>
      <c r="CVN18" s="255"/>
      <c r="CVO18" s="255"/>
      <c r="CVP18" s="255"/>
      <c r="CVQ18" s="255"/>
      <c r="CVR18" s="255"/>
      <c r="CVS18" s="255"/>
      <c r="CVT18" s="255"/>
      <c r="CVU18" s="255"/>
      <c r="CVV18" s="255"/>
      <c r="CVW18" s="255"/>
      <c r="CVX18" s="255"/>
      <c r="CVY18" s="255"/>
      <c r="CVZ18" s="255"/>
      <c r="CWA18" s="255"/>
      <c r="CWB18" s="255"/>
      <c r="CWC18" s="255"/>
      <c r="CWD18" s="255"/>
      <c r="CWE18" s="255"/>
      <c r="CWF18" s="255"/>
      <c r="CWG18" s="255"/>
      <c r="CWH18" s="255"/>
      <c r="CWI18" s="255"/>
      <c r="CWJ18" s="255"/>
      <c r="CWK18" s="255"/>
      <c r="CWL18" s="255"/>
      <c r="CWM18" s="255"/>
      <c r="CWN18" s="255"/>
      <c r="CWO18" s="255"/>
      <c r="CWP18" s="255"/>
      <c r="CWQ18" s="255"/>
      <c r="CWR18" s="255"/>
      <c r="CWS18" s="255"/>
      <c r="CWT18" s="255"/>
      <c r="CWU18" s="255"/>
      <c r="CWV18" s="255"/>
      <c r="CWW18" s="255"/>
      <c r="CWX18" s="255"/>
      <c r="CWY18" s="255"/>
      <c r="CWZ18" s="255"/>
      <c r="CXA18" s="255"/>
      <c r="CXB18" s="255"/>
      <c r="CXC18" s="255"/>
      <c r="CXD18" s="255"/>
      <c r="CXE18" s="255"/>
      <c r="CXF18" s="255"/>
      <c r="CXG18" s="255"/>
      <c r="CXH18" s="255"/>
      <c r="CXI18" s="255"/>
      <c r="CXJ18" s="255"/>
      <c r="CXK18" s="255"/>
      <c r="CXL18" s="255"/>
      <c r="CXM18" s="255"/>
      <c r="CXN18" s="255"/>
      <c r="CXO18" s="255"/>
      <c r="CXP18" s="255"/>
      <c r="CXQ18" s="255"/>
      <c r="CXR18" s="255"/>
      <c r="CXS18" s="255"/>
      <c r="CXT18" s="255"/>
      <c r="CXU18" s="255"/>
      <c r="CXV18" s="255"/>
      <c r="CXW18" s="255"/>
      <c r="CXX18" s="255"/>
      <c r="CXY18" s="255"/>
      <c r="CXZ18" s="255"/>
      <c r="CYA18" s="255"/>
      <c r="CYB18" s="255"/>
      <c r="CYC18" s="255"/>
      <c r="CYD18" s="255"/>
      <c r="CYE18" s="255"/>
      <c r="CYF18" s="255"/>
      <c r="CYG18" s="255"/>
      <c r="CYH18" s="255"/>
      <c r="CYI18" s="255"/>
      <c r="CYJ18" s="255"/>
      <c r="CYK18" s="255"/>
      <c r="CYL18" s="255"/>
      <c r="CYM18" s="255"/>
      <c r="CYN18" s="255"/>
      <c r="CYO18" s="255"/>
      <c r="CYP18" s="255"/>
      <c r="CYQ18" s="255"/>
      <c r="CYR18" s="255"/>
      <c r="CYS18" s="255"/>
      <c r="CYT18" s="255"/>
      <c r="CYU18" s="255"/>
      <c r="CYV18" s="255"/>
      <c r="CYW18" s="255"/>
      <c r="CYX18" s="255"/>
      <c r="CYY18" s="255"/>
      <c r="CYZ18" s="255"/>
      <c r="CZA18" s="255"/>
      <c r="CZB18" s="255"/>
      <c r="CZC18" s="255"/>
      <c r="CZD18" s="255"/>
      <c r="CZE18" s="255"/>
      <c r="CZF18" s="255"/>
      <c r="CZG18" s="255"/>
      <c r="CZH18" s="255"/>
      <c r="CZI18" s="255"/>
      <c r="CZJ18" s="255"/>
      <c r="CZK18" s="255"/>
      <c r="CZL18" s="255"/>
      <c r="CZM18" s="255"/>
      <c r="CZN18" s="255"/>
      <c r="CZO18" s="255"/>
      <c r="CZP18" s="255"/>
      <c r="CZQ18" s="255"/>
      <c r="CZR18" s="255"/>
      <c r="CZS18" s="255"/>
      <c r="CZT18" s="255"/>
      <c r="CZU18" s="255"/>
      <c r="CZV18" s="255"/>
      <c r="CZW18" s="255"/>
      <c r="CZX18" s="255"/>
      <c r="CZY18" s="255"/>
      <c r="CZZ18" s="255"/>
      <c r="DAA18" s="255"/>
      <c r="DAB18" s="255"/>
      <c r="DAC18" s="255"/>
      <c r="DAD18" s="255"/>
      <c r="DAE18" s="255"/>
      <c r="DAF18" s="255"/>
      <c r="DAG18" s="255"/>
      <c r="DAH18" s="255"/>
      <c r="DAI18" s="255"/>
      <c r="DAJ18" s="255"/>
      <c r="DAK18" s="255"/>
      <c r="DAL18" s="255"/>
      <c r="DAM18" s="255"/>
      <c r="DAN18" s="255"/>
      <c r="DAO18" s="255"/>
      <c r="DAP18" s="255"/>
      <c r="DAQ18" s="255"/>
      <c r="DAR18" s="255"/>
      <c r="DAS18" s="255"/>
      <c r="DAT18" s="255"/>
      <c r="DAU18" s="255"/>
      <c r="DAV18" s="255"/>
      <c r="DAW18" s="255"/>
      <c r="DAX18" s="255"/>
      <c r="DAY18" s="255"/>
      <c r="DAZ18" s="255"/>
      <c r="DBA18" s="255"/>
      <c r="DBB18" s="255"/>
      <c r="DBC18" s="255"/>
      <c r="DBD18" s="255"/>
      <c r="DBE18" s="255"/>
      <c r="DBF18" s="255"/>
      <c r="DBG18" s="255"/>
      <c r="DBH18" s="255"/>
      <c r="DBI18" s="255"/>
      <c r="DBJ18" s="255"/>
      <c r="DBK18" s="255"/>
      <c r="DBL18" s="255"/>
      <c r="DBM18" s="255"/>
      <c r="DBN18" s="255"/>
      <c r="DBO18" s="255"/>
      <c r="DBP18" s="255"/>
      <c r="DBQ18" s="255"/>
      <c r="DBR18" s="255"/>
      <c r="DBS18" s="255"/>
      <c r="DBT18" s="255"/>
      <c r="DBU18" s="255"/>
      <c r="DBV18" s="255"/>
      <c r="DBW18" s="255"/>
      <c r="DBX18" s="255"/>
      <c r="DBY18" s="255"/>
      <c r="DBZ18" s="255"/>
      <c r="DCA18" s="255"/>
      <c r="DCB18" s="255"/>
      <c r="DCC18" s="255"/>
      <c r="DCD18" s="255"/>
      <c r="DCE18" s="255"/>
      <c r="DCF18" s="255"/>
      <c r="DCG18" s="255"/>
      <c r="DCH18" s="255"/>
      <c r="DCI18" s="255"/>
      <c r="DCJ18" s="255"/>
      <c r="DCK18" s="255"/>
      <c r="DCL18" s="255"/>
      <c r="DCM18" s="255"/>
      <c r="DCN18" s="255"/>
      <c r="DCO18" s="255"/>
      <c r="DCP18" s="255"/>
      <c r="DCQ18" s="255"/>
      <c r="DCR18" s="255"/>
      <c r="DCS18" s="255"/>
      <c r="DCT18" s="255"/>
      <c r="DCU18" s="255"/>
      <c r="DCV18" s="255"/>
      <c r="DCW18" s="255"/>
      <c r="DCX18" s="255"/>
      <c r="DCY18" s="255"/>
      <c r="DCZ18" s="255"/>
      <c r="DDA18" s="255"/>
      <c r="DDB18" s="255"/>
      <c r="DDC18" s="255"/>
      <c r="DDD18" s="255"/>
      <c r="DDE18" s="255"/>
      <c r="DDF18" s="255"/>
      <c r="DDG18" s="255"/>
      <c r="DDH18" s="255"/>
      <c r="DDI18" s="255"/>
      <c r="DDJ18" s="255"/>
      <c r="DDK18" s="255"/>
      <c r="DDL18" s="255"/>
      <c r="DDM18" s="255"/>
      <c r="DDN18" s="255"/>
      <c r="DDO18" s="255"/>
      <c r="DDP18" s="255"/>
      <c r="DDQ18" s="255"/>
      <c r="DDR18" s="255"/>
      <c r="DDS18" s="255"/>
      <c r="DDT18" s="255"/>
      <c r="DDU18" s="255"/>
      <c r="DDV18" s="255"/>
      <c r="DDW18" s="255"/>
      <c r="DDX18" s="255"/>
      <c r="DDY18" s="255"/>
      <c r="DDZ18" s="255"/>
      <c r="DEA18" s="255"/>
      <c r="DEB18" s="255"/>
      <c r="DEC18" s="255"/>
      <c r="DED18" s="255"/>
      <c r="DEE18" s="255"/>
      <c r="DEF18" s="255"/>
      <c r="DEG18" s="255"/>
      <c r="DEH18" s="255"/>
      <c r="DEI18" s="255"/>
      <c r="DEJ18" s="255"/>
      <c r="DEK18" s="255"/>
      <c r="DEL18" s="255"/>
      <c r="DEM18" s="255"/>
      <c r="DEN18" s="255"/>
      <c r="DEO18" s="255"/>
      <c r="DEP18" s="255"/>
      <c r="DEQ18" s="255"/>
      <c r="DER18" s="255"/>
      <c r="DES18" s="255"/>
      <c r="DET18" s="255"/>
      <c r="DEU18" s="255"/>
      <c r="DEV18" s="255"/>
      <c r="DEW18" s="255"/>
      <c r="DEX18" s="255"/>
      <c r="DEY18" s="255"/>
      <c r="DEZ18" s="255"/>
      <c r="DFA18" s="255"/>
      <c r="DFB18" s="255"/>
      <c r="DFC18" s="255"/>
      <c r="DFD18" s="255"/>
      <c r="DFE18" s="255"/>
      <c r="DFF18" s="255"/>
      <c r="DFG18" s="255"/>
      <c r="DFH18" s="255"/>
      <c r="DFI18" s="255"/>
      <c r="DFJ18" s="255"/>
      <c r="DFK18" s="255"/>
      <c r="DFL18" s="255"/>
      <c r="DFM18" s="255"/>
      <c r="DFN18" s="255"/>
      <c r="DFO18" s="255"/>
      <c r="DFP18" s="255"/>
      <c r="DFQ18" s="255"/>
      <c r="DFR18" s="255"/>
      <c r="DFS18" s="255"/>
      <c r="DFT18" s="255"/>
      <c r="DFU18" s="255"/>
      <c r="DFV18" s="255"/>
      <c r="DFW18" s="255"/>
      <c r="DFX18" s="255"/>
      <c r="DFY18" s="255"/>
      <c r="DFZ18" s="255"/>
      <c r="DGA18" s="255"/>
      <c r="DGB18" s="255"/>
      <c r="DGC18" s="255"/>
      <c r="DGD18" s="255"/>
      <c r="DGE18" s="255"/>
      <c r="DGF18" s="255"/>
      <c r="DGG18" s="255"/>
      <c r="DGH18" s="255"/>
      <c r="DGI18" s="255"/>
      <c r="DGJ18" s="255"/>
      <c r="DGK18" s="255"/>
      <c r="DGL18" s="255"/>
      <c r="DGM18" s="255"/>
      <c r="DGN18" s="255"/>
      <c r="DGO18" s="255"/>
      <c r="DGP18" s="255"/>
      <c r="DGQ18" s="255"/>
      <c r="DGR18" s="255"/>
      <c r="DGS18" s="255"/>
      <c r="DGT18" s="255"/>
      <c r="DGU18" s="255"/>
      <c r="DGV18" s="255"/>
      <c r="DGW18" s="255"/>
      <c r="DGX18" s="255"/>
      <c r="DGY18" s="255"/>
      <c r="DGZ18" s="255"/>
      <c r="DHA18" s="255"/>
      <c r="DHB18" s="255"/>
      <c r="DHC18" s="255"/>
      <c r="DHD18" s="255"/>
      <c r="DHE18" s="255"/>
      <c r="DHF18" s="255"/>
      <c r="DHG18" s="255"/>
      <c r="DHH18" s="255"/>
      <c r="DHI18" s="255"/>
      <c r="DHJ18" s="255"/>
      <c r="DHK18" s="255"/>
      <c r="DHL18" s="255"/>
      <c r="DHM18" s="255"/>
      <c r="DHN18" s="255"/>
      <c r="DHO18" s="255"/>
      <c r="DHP18" s="255"/>
      <c r="DHQ18" s="255"/>
      <c r="DHR18" s="255"/>
      <c r="DHS18" s="255"/>
      <c r="DHT18" s="255"/>
      <c r="DHU18" s="255"/>
      <c r="DHV18" s="255"/>
      <c r="DHW18" s="255"/>
      <c r="DHX18" s="255"/>
      <c r="DHY18" s="255"/>
      <c r="DHZ18" s="255"/>
      <c r="DIA18" s="255"/>
      <c r="DIB18" s="255"/>
      <c r="DIC18" s="255"/>
      <c r="DID18" s="255"/>
      <c r="DIE18" s="255"/>
      <c r="DIF18" s="255"/>
      <c r="DIG18" s="255"/>
      <c r="DIH18" s="255"/>
      <c r="DII18" s="255"/>
      <c r="DIJ18" s="255"/>
      <c r="DIK18" s="255"/>
      <c r="DIL18" s="255"/>
      <c r="DIM18" s="255"/>
      <c r="DIN18" s="255"/>
      <c r="DIO18" s="255"/>
      <c r="DIP18" s="255"/>
      <c r="DIQ18" s="255"/>
      <c r="DIR18" s="255"/>
      <c r="DIS18" s="255"/>
      <c r="DIT18" s="255"/>
      <c r="DIU18" s="255"/>
      <c r="DIV18" s="255"/>
      <c r="DIW18" s="255"/>
      <c r="DIX18" s="255"/>
      <c r="DIY18" s="255"/>
      <c r="DIZ18" s="255"/>
      <c r="DJA18" s="255"/>
      <c r="DJB18" s="255"/>
      <c r="DJC18" s="255"/>
      <c r="DJD18" s="255"/>
      <c r="DJE18" s="255"/>
      <c r="DJF18" s="255"/>
      <c r="DJG18" s="255"/>
      <c r="DJH18" s="255"/>
      <c r="DJI18" s="255"/>
      <c r="DJJ18" s="255"/>
      <c r="DJK18" s="255"/>
      <c r="DJL18" s="255"/>
      <c r="DJM18" s="255"/>
      <c r="DJN18" s="255"/>
      <c r="DJO18" s="255"/>
      <c r="DJP18" s="255"/>
      <c r="DJQ18" s="255"/>
      <c r="DJR18" s="255"/>
      <c r="DJS18" s="255"/>
      <c r="DJT18" s="255"/>
      <c r="DJU18" s="255"/>
      <c r="DJV18" s="255"/>
      <c r="DJW18" s="255"/>
      <c r="DJX18" s="255"/>
      <c r="DJY18" s="255"/>
      <c r="DJZ18" s="255"/>
      <c r="DKA18" s="255"/>
      <c r="DKB18" s="255"/>
      <c r="DKC18" s="255"/>
      <c r="DKD18" s="255"/>
      <c r="DKE18" s="255"/>
      <c r="DKF18" s="255"/>
      <c r="DKG18" s="255"/>
      <c r="DKH18" s="255"/>
      <c r="DKI18" s="255"/>
      <c r="DKJ18" s="255"/>
      <c r="DKK18" s="255"/>
      <c r="DKL18" s="255"/>
      <c r="DKM18" s="255"/>
      <c r="DKN18" s="255"/>
      <c r="DKO18" s="255"/>
      <c r="DKP18" s="255"/>
      <c r="DKQ18" s="255"/>
      <c r="DKR18" s="255"/>
      <c r="DKS18" s="255"/>
      <c r="DKT18" s="255"/>
      <c r="DKU18" s="255"/>
      <c r="DKV18" s="255"/>
      <c r="DKW18" s="255"/>
      <c r="DKX18" s="255"/>
      <c r="DKY18" s="255"/>
      <c r="DKZ18" s="255"/>
      <c r="DLA18" s="255"/>
      <c r="DLB18" s="255"/>
      <c r="DLC18" s="255"/>
      <c r="DLD18" s="255"/>
      <c r="DLE18" s="255"/>
      <c r="DLF18" s="255"/>
      <c r="DLG18" s="255"/>
      <c r="DLH18" s="255"/>
      <c r="DLI18" s="255"/>
      <c r="DLJ18" s="255"/>
      <c r="DLK18" s="255"/>
      <c r="DLL18" s="255"/>
      <c r="DLM18" s="255"/>
      <c r="DLN18" s="255"/>
      <c r="DLO18" s="255"/>
      <c r="DLP18" s="255"/>
      <c r="DLQ18" s="255"/>
      <c r="DLR18" s="255"/>
      <c r="DLS18" s="255"/>
      <c r="DLT18" s="255"/>
      <c r="DLU18" s="255"/>
      <c r="DLV18" s="255"/>
      <c r="DLW18" s="255"/>
      <c r="DLX18" s="255"/>
      <c r="DLY18" s="255"/>
      <c r="DLZ18" s="255"/>
      <c r="DMA18" s="255"/>
      <c r="DMB18" s="255"/>
      <c r="DMC18" s="255"/>
      <c r="DMD18" s="255"/>
      <c r="DME18" s="255"/>
      <c r="DMF18" s="255"/>
      <c r="DMG18" s="255"/>
      <c r="DMH18" s="255"/>
      <c r="DMI18" s="255"/>
      <c r="DMJ18" s="255"/>
      <c r="DMK18" s="255"/>
      <c r="DML18" s="255"/>
      <c r="DMM18" s="255"/>
      <c r="DMN18" s="255"/>
      <c r="DMO18" s="255"/>
      <c r="DMP18" s="255"/>
      <c r="DMQ18" s="255"/>
      <c r="DMR18" s="255"/>
      <c r="DMS18" s="255"/>
      <c r="DMT18" s="255"/>
      <c r="DMU18" s="255"/>
      <c r="DMV18" s="255"/>
      <c r="DMW18" s="255"/>
      <c r="DMX18" s="255"/>
      <c r="DMY18" s="255"/>
      <c r="DMZ18" s="255"/>
      <c r="DNA18" s="255"/>
      <c r="DNB18" s="255"/>
      <c r="DNC18" s="255"/>
      <c r="DND18" s="255"/>
      <c r="DNE18" s="255"/>
      <c r="DNF18" s="255"/>
      <c r="DNG18" s="255"/>
      <c r="DNH18" s="255"/>
      <c r="DNI18" s="255"/>
      <c r="DNJ18" s="255"/>
      <c r="DNK18" s="255"/>
      <c r="DNL18" s="255"/>
      <c r="DNM18" s="255"/>
      <c r="DNN18" s="255"/>
      <c r="DNO18" s="255"/>
      <c r="DNP18" s="255"/>
      <c r="DNQ18" s="255"/>
      <c r="DNR18" s="255"/>
      <c r="DNS18" s="255"/>
      <c r="DNT18" s="255"/>
      <c r="DNU18" s="255"/>
      <c r="DNV18" s="255"/>
      <c r="DNW18" s="255"/>
      <c r="DNX18" s="255"/>
      <c r="DNY18" s="255"/>
      <c r="DNZ18" s="255"/>
      <c r="DOA18" s="255"/>
      <c r="DOB18" s="255"/>
      <c r="DOC18" s="255"/>
      <c r="DOD18" s="255"/>
      <c r="DOE18" s="255"/>
      <c r="DOF18" s="255"/>
      <c r="DOG18" s="255"/>
      <c r="DOH18" s="255"/>
      <c r="DOI18" s="255"/>
      <c r="DOJ18" s="255"/>
      <c r="DOK18" s="255"/>
      <c r="DOL18" s="255"/>
      <c r="DOM18" s="255"/>
      <c r="DON18" s="255"/>
      <c r="DOO18" s="255"/>
      <c r="DOP18" s="255"/>
      <c r="DOQ18" s="255"/>
      <c r="DOR18" s="255"/>
      <c r="DOS18" s="255"/>
      <c r="DOT18" s="255"/>
      <c r="DOU18" s="255"/>
      <c r="DOV18" s="255"/>
      <c r="DOW18" s="255"/>
      <c r="DOX18" s="255"/>
      <c r="DOY18" s="255"/>
      <c r="DOZ18" s="255"/>
      <c r="DPA18" s="255"/>
      <c r="DPB18" s="255"/>
      <c r="DPC18" s="255"/>
      <c r="DPD18" s="255"/>
      <c r="DPE18" s="255"/>
      <c r="DPF18" s="255"/>
      <c r="DPG18" s="255"/>
      <c r="DPH18" s="255"/>
      <c r="DPI18" s="255"/>
      <c r="DPJ18" s="255"/>
      <c r="DPK18" s="255"/>
      <c r="DPL18" s="255"/>
      <c r="DPM18" s="255"/>
      <c r="DPN18" s="255"/>
      <c r="DPO18" s="255"/>
      <c r="DPP18" s="255"/>
      <c r="DPQ18" s="255"/>
      <c r="DPR18" s="255"/>
      <c r="DPS18" s="255"/>
      <c r="DPT18" s="255"/>
      <c r="DPU18" s="255"/>
      <c r="DPV18" s="255"/>
      <c r="DPW18" s="255"/>
      <c r="DPX18" s="255"/>
      <c r="DPY18" s="255"/>
      <c r="DPZ18" s="255"/>
      <c r="DQA18" s="255"/>
      <c r="DQB18" s="255"/>
      <c r="DQC18" s="255"/>
      <c r="DQD18" s="255"/>
      <c r="DQE18" s="255"/>
      <c r="DQF18" s="255"/>
      <c r="DQG18" s="255"/>
      <c r="DQH18" s="255"/>
      <c r="DQI18" s="255"/>
      <c r="DQJ18" s="255"/>
      <c r="DQK18" s="255"/>
      <c r="DQL18" s="255"/>
      <c r="DQM18" s="255"/>
      <c r="DQN18" s="255"/>
      <c r="DQO18" s="255"/>
      <c r="DQP18" s="255"/>
      <c r="DQQ18" s="255"/>
      <c r="DQR18" s="255"/>
      <c r="DQS18" s="255"/>
      <c r="DQT18" s="255"/>
      <c r="DQU18" s="255"/>
      <c r="DQV18" s="255"/>
      <c r="DQW18" s="255"/>
      <c r="DQX18" s="255"/>
      <c r="DQY18" s="255"/>
      <c r="DQZ18" s="255"/>
      <c r="DRA18" s="255"/>
      <c r="DRB18" s="255"/>
      <c r="DRC18" s="255"/>
      <c r="DRD18" s="255"/>
      <c r="DRE18" s="255"/>
      <c r="DRF18" s="255"/>
      <c r="DRG18" s="255"/>
      <c r="DRH18" s="255"/>
      <c r="DRI18" s="255"/>
      <c r="DRJ18" s="255"/>
      <c r="DRK18" s="255"/>
      <c r="DRL18" s="255"/>
      <c r="DRM18" s="255"/>
      <c r="DRN18" s="255"/>
      <c r="DRO18" s="255"/>
      <c r="DRP18" s="255"/>
      <c r="DRQ18" s="255"/>
      <c r="DRR18" s="255"/>
      <c r="DRS18" s="255"/>
      <c r="DRT18" s="255"/>
      <c r="DRU18" s="255"/>
      <c r="DRV18" s="255"/>
      <c r="DRW18" s="255"/>
      <c r="DRX18" s="255"/>
      <c r="DRY18" s="255"/>
      <c r="DRZ18" s="255"/>
      <c r="DSA18" s="255"/>
      <c r="DSB18" s="255"/>
      <c r="DSC18" s="255"/>
      <c r="DSD18" s="255"/>
      <c r="DSE18" s="255"/>
      <c r="DSF18" s="255"/>
      <c r="DSG18" s="255"/>
      <c r="DSH18" s="255"/>
      <c r="DSI18" s="255"/>
      <c r="DSJ18" s="255"/>
      <c r="DSK18" s="255"/>
      <c r="DSL18" s="255"/>
      <c r="DSM18" s="255"/>
      <c r="DSN18" s="255"/>
      <c r="DSO18" s="255"/>
      <c r="DSP18" s="255"/>
      <c r="DSQ18" s="255"/>
      <c r="DSR18" s="255"/>
      <c r="DSS18" s="255"/>
      <c r="DST18" s="255"/>
      <c r="DSU18" s="255"/>
      <c r="DSV18" s="255"/>
      <c r="DSW18" s="255"/>
      <c r="DSX18" s="255"/>
      <c r="DSY18" s="255"/>
      <c r="DSZ18" s="255"/>
      <c r="DTA18" s="255"/>
      <c r="DTB18" s="255"/>
      <c r="DTC18" s="255"/>
      <c r="DTD18" s="255"/>
      <c r="DTE18" s="255"/>
      <c r="DTF18" s="255"/>
      <c r="DTG18" s="255"/>
      <c r="DTH18" s="255"/>
      <c r="DTI18" s="255"/>
      <c r="DTJ18" s="255"/>
      <c r="DTK18" s="255"/>
      <c r="DTL18" s="255"/>
      <c r="DTM18" s="255"/>
      <c r="DTN18" s="255"/>
      <c r="DTO18" s="255"/>
      <c r="DTP18" s="255"/>
      <c r="DTQ18" s="255"/>
      <c r="DTR18" s="255"/>
      <c r="DTS18" s="255"/>
      <c r="DTT18" s="255"/>
      <c r="DTU18" s="255"/>
      <c r="DTV18" s="255"/>
      <c r="DTW18" s="255"/>
      <c r="DTX18" s="255"/>
      <c r="DTY18" s="255"/>
      <c r="DTZ18" s="255"/>
      <c r="DUA18" s="255"/>
      <c r="DUB18" s="255"/>
      <c r="DUC18" s="255"/>
      <c r="DUD18" s="255"/>
      <c r="DUE18" s="255"/>
      <c r="DUF18" s="255"/>
      <c r="DUG18" s="255"/>
      <c r="DUH18" s="255"/>
      <c r="DUI18" s="255"/>
      <c r="DUJ18" s="255"/>
      <c r="DUK18" s="255"/>
      <c r="DUL18" s="255"/>
      <c r="DUM18" s="255"/>
      <c r="DUN18" s="255"/>
      <c r="DUO18" s="255"/>
      <c r="DUP18" s="255"/>
      <c r="DUQ18" s="255"/>
      <c r="DUR18" s="255"/>
      <c r="DUS18" s="255"/>
      <c r="DUT18" s="255"/>
      <c r="DUU18" s="255"/>
      <c r="DUV18" s="255"/>
      <c r="DUW18" s="255"/>
      <c r="DUX18" s="255"/>
      <c r="DUY18" s="255"/>
      <c r="DUZ18" s="255"/>
      <c r="DVA18" s="255"/>
      <c r="DVB18" s="255"/>
      <c r="DVC18" s="255"/>
      <c r="DVD18" s="255"/>
      <c r="DVE18" s="255"/>
      <c r="DVF18" s="255"/>
      <c r="DVG18" s="255"/>
      <c r="DVH18" s="255"/>
      <c r="DVI18" s="255"/>
      <c r="DVJ18" s="255"/>
      <c r="DVK18" s="255"/>
      <c r="DVL18" s="255"/>
      <c r="DVM18" s="255"/>
      <c r="DVN18" s="255"/>
      <c r="DVO18" s="255"/>
      <c r="DVP18" s="255"/>
      <c r="DVQ18" s="255"/>
      <c r="DVR18" s="255"/>
      <c r="DVS18" s="255"/>
      <c r="DVT18" s="255"/>
      <c r="DVU18" s="255"/>
      <c r="DVV18" s="255"/>
      <c r="DVW18" s="255"/>
      <c r="DVX18" s="255"/>
      <c r="DVY18" s="255"/>
      <c r="DVZ18" s="255"/>
      <c r="DWA18" s="255"/>
      <c r="DWB18" s="255"/>
      <c r="DWC18" s="255"/>
      <c r="DWD18" s="255"/>
      <c r="DWE18" s="255"/>
      <c r="DWF18" s="255"/>
      <c r="DWG18" s="255"/>
      <c r="DWH18" s="255"/>
      <c r="DWI18" s="255"/>
      <c r="DWJ18" s="255"/>
      <c r="DWK18" s="255"/>
      <c r="DWL18" s="255"/>
      <c r="DWM18" s="255"/>
      <c r="DWN18" s="255"/>
      <c r="DWO18" s="255"/>
      <c r="DWP18" s="255"/>
      <c r="DWQ18" s="255"/>
      <c r="DWR18" s="255"/>
      <c r="DWS18" s="255"/>
      <c r="DWT18" s="255"/>
      <c r="DWU18" s="255"/>
      <c r="DWV18" s="255"/>
      <c r="DWW18" s="255"/>
      <c r="DWX18" s="255"/>
      <c r="DWY18" s="255"/>
      <c r="DWZ18" s="255"/>
      <c r="DXA18" s="255"/>
      <c r="DXB18" s="255"/>
      <c r="DXC18" s="255"/>
      <c r="DXD18" s="255"/>
      <c r="DXE18" s="255"/>
      <c r="DXF18" s="255"/>
      <c r="DXG18" s="255"/>
      <c r="DXH18" s="255"/>
      <c r="DXI18" s="255"/>
      <c r="DXJ18" s="255"/>
      <c r="DXK18" s="255"/>
      <c r="DXL18" s="255"/>
      <c r="DXM18" s="255"/>
      <c r="DXN18" s="255"/>
      <c r="DXO18" s="255"/>
      <c r="DXP18" s="255"/>
      <c r="DXQ18" s="255"/>
      <c r="DXR18" s="255"/>
      <c r="DXS18" s="255"/>
      <c r="DXT18" s="255"/>
      <c r="DXU18" s="255"/>
      <c r="DXV18" s="255"/>
      <c r="DXW18" s="255"/>
      <c r="DXX18" s="255"/>
      <c r="DXY18" s="255"/>
      <c r="DXZ18" s="255"/>
      <c r="DYA18" s="255"/>
      <c r="DYB18" s="255"/>
      <c r="DYC18" s="255"/>
      <c r="DYD18" s="255"/>
      <c r="DYE18" s="255"/>
      <c r="DYF18" s="255"/>
      <c r="DYG18" s="255"/>
      <c r="DYH18" s="255"/>
      <c r="DYI18" s="255"/>
      <c r="DYJ18" s="255"/>
      <c r="DYK18" s="255"/>
      <c r="DYL18" s="255"/>
      <c r="DYM18" s="255"/>
      <c r="DYN18" s="255"/>
      <c r="DYO18" s="255"/>
      <c r="DYP18" s="255"/>
      <c r="DYQ18" s="255"/>
      <c r="DYR18" s="255"/>
      <c r="DYS18" s="255"/>
      <c r="DYT18" s="255"/>
      <c r="DYU18" s="255"/>
      <c r="DYV18" s="255"/>
      <c r="DYW18" s="255"/>
      <c r="DYX18" s="255"/>
      <c r="DYY18" s="255"/>
      <c r="DYZ18" s="255"/>
      <c r="DZA18" s="255"/>
      <c r="DZB18" s="255"/>
      <c r="DZC18" s="255"/>
      <c r="DZD18" s="255"/>
      <c r="DZE18" s="255"/>
      <c r="DZF18" s="255"/>
      <c r="DZG18" s="255"/>
      <c r="DZH18" s="255"/>
      <c r="DZI18" s="255"/>
      <c r="DZJ18" s="255"/>
      <c r="DZK18" s="255"/>
      <c r="DZL18" s="255"/>
      <c r="DZM18" s="255"/>
      <c r="DZN18" s="255"/>
      <c r="DZO18" s="255"/>
      <c r="DZP18" s="255"/>
      <c r="DZQ18" s="255"/>
      <c r="DZR18" s="255"/>
      <c r="DZS18" s="255"/>
      <c r="DZT18" s="255"/>
      <c r="DZU18" s="255"/>
      <c r="DZV18" s="255"/>
      <c r="DZW18" s="255"/>
      <c r="DZX18" s="255"/>
      <c r="DZY18" s="255"/>
      <c r="DZZ18" s="255"/>
      <c r="EAA18" s="255"/>
      <c r="EAB18" s="255"/>
      <c r="EAC18" s="255"/>
      <c r="EAD18" s="255"/>
      <c r="EAE18" s="255"/>
      <c r="EAF18" s="255"/>
      <c r="EAG18" s="255"/>
      <c r="EAH18" s="255"/>
      <c r="EAI18" s="255"/>
      <c r="EAJ18" s="255"/>
      <c r="EAK18" s="255"/>
      <c r="EAL18" s="255"/>
      <c r="EAM18" s="255"/>
      <c r="EAN18" s="255"/>
      <c r="EAO18" s="255"/>
      <c r="EAP18" s="255"/>
      <c r="EAQ18" s="255"/>
      <c r="EAR18" s="255"/>
      <c r="EAS18" s="255"/>
      <c r="EAT18" s="255"/>
      <c r="EAU18" s="255"/>
      <c r="EAV18" s="255"/>
      <c r="EAW18" s="255"/>
      <c r="EAX18" s="255"/>
      <c r="EAY18" s="255"/>
      <c r="EAZ18" s="255"/>
      <c r="EBA18" s="255"/>
      <c r="EBB18" s="255"/>
      <c r="EBC18" s="255"/>
      <c r="EBD18" s="255"/>
      <c r="EBE18" s="255"/>
      <c r="EBF18" s="255"/>
      <c r="EBG18" s="255"/>
      <c r="EBH18" s="255"/>
      <c r="EBI18" s="255"/>
      <c r="EBJ18" s="255"/>
      <c r="EBK18" s="255"/>
      <c r="EBL18" s="255"/>
      <c r="EBM18" s="255"/>
      <c r="EBN18" s="255"/>
      <c r="EBO18" s="255"/>
      <c r="EBP18" s="255"/>
      <c r="EBQ18" s="255"/>
      <c r="EBR18" s="255"/>
      <c r="EBS18" s="255"/>
      <c r="EBT18" s="255"/>
      <c r="EBU18" s="255"/>
      <c r="EBV18" s="255"/>
      <c r="EBW18" s="255"/>
      <c r="EBX18" s="255"/>
      <c r="EBY18" s="255"/>
      <c r="EBZ18" s="255"/>
      <c r="ECA18" s="255"/>
      <c r="ECB18" s="255"/>
      <c r="ECC18" s="255"/>
      <c r="ECD18" s="255"/>
      <c r="ECE18" s="255"/>
      <c r="ECF18" s="255"/>
      <c r="ECG18" s="255"/>
      <c r="ECH18" s="255"/>
      <c r="ECI18" s="255"/>
      <c r="ECJ18" s="255"/>
      <c r="ECK18" s="255"/>
      <c r="ECL18" s="255"/>
      <c r="ECM18" s="255"/>
      <c r="ECN18" s="255"/>
      <c r="ECO18" s="255"/>
      <c r="ECP18" s="255"/>
      <c r="ECQ18" s="255"/>
      <c r="ECR18" s="255"/>
      <c r="ECS18" s="255"/>
      <c r="ECT18" s="255"/>
      <c r="ECU18" s="255"/>
      <c r="ECV18" s="255"/>
      <c r="ECW18" s="255"/>
      <c r="ECX18" s="255"/>
      <c r="ECY18" s="255"/>
      <c r="ECZ18" s="255"/>
      <c r="EDA18" s="255"/>
      <c r="EDB18" s="255"/>
      <c r="EDC18" s="255"/>
      <c r="EDD18" s="255"/>
      <c r="EDE18" s="255"/>
      <c r="EDF18" s="255"/>
      <c r="EDG18" s="255"/>
      <c r="EDH18" s="255"/>
      <c r="EDI18" s="255"/>
      <c r="EDJ18" s="255"/>
      <c r="EDK18" s="255"/>
      <c r="EDL18" s="255"/>
      <c r="EDM18" s="255"/>
      <c r="EDN18" s="255"/>
      <c r="EDO18" s="255"/>
      <c r="EDP18" s="255"/>
      <c r="EDQ18" s="255"/>
      <c r="EDR18" s="255"/>
      <c r="EDS18" s="255"/>
      <c r="EDT18" s="255"/>
      <c r="EDU18" s="255"/>
      <c r="EDV18" s="255"/>
      <c r="EDW18" s="255"/>
      <c r="EDX18" s="255"/>
      <c r="EDY18" s="255"/>
      <c r="EDZ18" s="255"/>
      <c r="EEA18" s="255"/>
      <c r="EEB18" s="255"/>
      <c r="EEC18" s="255"/>
      <c r="EED18" s="255"/>
      <c r="EEE18" s="255"/>
      <c r="EEF18" s="255"/>
      <c r="EEG18" s="255"/>
      <c r="EEH18" s="255"/>
      <c r="EEI18" s="255"/>
      <c r="EEJ18" s="255"/>
      <c r="EEK18" s="255"/>
      <c r="EEL18" s="255"/>
      <c r="EEM18" s="255"/>
      <c r="EEN18" s="255"/>
      <c r="EEO18" s="255"/>
      <c r="EEP18" s="255"/>
      <c r="EEQ18" s="255"/>
      <c r="EER18" s="255"/>
      <c r="EES18" s="255"/>
      <c r="EET18" s="255"/>
      <c r="EEU18" s="255"/>
      <c r="EEV18" s="255"/>
      <c r="EEW18" s="255"/>
      <c r="EEX18" s="255"/>
      <c r="EEY18" s="255"/>
      <c r="EEZ18" s="255"/>
      <c r="EFA18" s="255"/>
      <c r="EFB18" s="255"/>
      <c r="EFC18" s="255"/>
      <c r="EFD18" s="255"/>
      <c r="EFE18" s="255"/>
      <c r="EFF18" s="255"/>
      <c r="EFG18" s="255"/>
      <c r="EFH18" s="255"/>
      <c r="EFI18" s="255"/>
      <c r="EFJ18" s="255"/>
      <c r="EFK18" s="255"/>
      <c r="EFL18" s="255"/>
      <c r="EFM18" s="255"/>
      <c r="EFN18" s="255"/>
      <c r="EFO18" s="255"/>
      <c r="EFP18" s="255"/>
      <c r="EFQ18" s="255"/>
      <c r="EFR18" s="255"/>
      <c r="EFS18" s="255"/>
      <c r="EFT18" s="255"/>
      <c r="EFU18" s="255"/>
      <c r="EFV18" s="255"/>
      <c r="EFW18" s="255"/>
      <c r="EFX18" s="255"/>
      <c r="EFY18" s="255"/>
      <c r="EFZ18" s="255"/>
      <c r="EGA18" s="255"/>
      <c r="EGB18" s="255"/>
      <c r="EGC18" s="255"/>
      <c r="EGD18" s="255"/>
      <c r="EGE18" s="255"/>
      <c r="EGF18" s="255"/>
      <c r="EGG18" s="255"/>
      <c r="EGH18" s="255"/>
      <c r="EGI18" s="255"/>
      <c r="EGJ18" s="255"/>
      <c r="EGK18" s="255"/>
      <c r="EGL18" s="255"/>
      <c r="EGM18" s="255"/>
      <c r="EGN18" s="255"/>
      <c r="EGO18" s="255"/>
      <c r="EGP18" s="255"/>
      <c r="EGQ18" s="255"/>
      <c r="EGR18" s="255"/>
      <c r="EGS18" s="255"/>
      <c r="EGT18" s="255"/>
      <c r="EGU18" s="255"/>
      <c r="EGV18" s="255"/>
      <c r="EGW18" s="255"/>
      <c r="EGX18" s="255"/>
      <c r="EGY18" s="255"/>
      <c r="EGZ18" s="255"/>
      <c r="EHA18" s="255"/>
      <c r="EHB18" s="255"/>
      <c r="EHC18" s="255"/>
      <c r="EHD18" s="255"/>
      <c r="EHE18" s="255"/>
      <c r="EHF18" s="255"/>
      <c r="EHG18" s="255"/>
      <c r="EHH18" s="255"/>
      <c r="EHI18" s="255"/>
      <c r="EHJ18" s="255"/>
      <c r="EHK18" s="255"/>
      <c r="EHL18" s="255"/>
      <c r="EHM18" s="255"/>
      <c r="EHN18" s="255"/>
      <c r="EHO18" s="255"/>
      <c r="EHP18" s="255"/>
      <c r="EHQ18" s="255"/>
      <c r="EHR18" s="255"/>
      <c r="EHS18" s="255"/>
      <c r="EHT18" s="255"/>
      <c r="EHU18" s="255"/>
      <c r="EHV18" s="255"/>
      <c r="EHW18" s="255"/>
      <c r="EHX18" s="255"/>
      <c r="EHY18" s="255"/>
      <c r="EHZ18" s="255"/>
      <c r="EIA18" s="255"/>
      <c r="EIB18" s="255"/>
      <c r="EIC18" s="255"/>
      <c r="EID18" s="255"/>
      <c r="EIE18" s="255"/>
      <c r="EIF18" s="255"/>
      <c r="EIG18" s="255"/>
      <c r="EIH18" s="255"/>
      <c r="EII18" s="255"/>
      <c r="EIJ18" s="255"/>
      <c r="EIK18" s="255"/>
      <c r="EIL18" s="255"/>
      <c r="EIM18" s="255"/>
      <c r="EIN18" s="255"/>
      <c r="EIO18" s="255"/>
      <c r="EIP18" s="255"/>
      <c r="EIQ18" s="255"/>
      <c r="EIR18" s="255"/>
      <c r="EIS18" s="255"/>
      <c r="EIT18" s="255"/>
      <c r="EIU18" s="255"/>
      <c r="EIV18" s="255"/>
      <c r="EIW18" s="255"/>
      <c r="EIX18" s="255"/>
      <c r="EIY18" s="255"/>
      <c r="EIZ18" s="255"/>
      <c r="EJA18" s="255"/>
      <c r="EJB18" s="255"/>
      <c r="EJC18" s="255"/>
      <c r="EJD18" s="255"/>
      <c r="EJE18" s="255"/>
      <c r="EJF18" s="255"/>
      <c r="EJG18" s="255"/>
      <c r="EJH18" s="255"/>
      <c r="EJI18" s="255"/>
      <c r="EJJ18" s="255"/>
      <c r="EJK18" s="255"/>
      <c r="EJL18" s="255"/>
      <c r="EJM18" s="255"/>
      <c r="EJN18" s="255"/>
      <c r="EJO18" s="255"/>
      <c r="EJP18" s="255"/>
      <c r="EJQ18" s="255"/>
      <c r="EJR18" s="255"/>
      <c r="EJS18" s="255"/>
      <c r="EJT18" s="255"/>
      <c r="EJU18" s="255"/>
      <c r="EJV18" s="255"/>
      <c r="EJW18" s="255"/>
      <c r="EJX18" s="255"/>
      <c r="EJY18" s="255"/>
      <c r="EJZ18" s="255"/>
      <c r="EKA18" s="255"/>
      <c r="EKB18" s="255"/>
      <c r="EKC18" s="255"/>
      <c r="EKD18" s="255"/>
      <c r="EKE18" s="255"/>
      <c r="EKF18" s="255"/>
      <c r="EKG18" s="255"/>
      <c r="EKH18" s="255"/>
      <c r="EKI18" s="255"/>
      <c r="EKJ18" s="255"/>
      <c r="EKK18" s="255"/>
      <c r="EKL18" s="255"/>
      <c r="EKM18" s="255"/>
      <c r="EKN18" s="255"/>
      <c r="EKO18" s="255"/>
      <c r="EKP18" s="255"/>
      <c r="EKQ18" s="255"/>
      <c r="EKR18" s="255"/>
      <c r="EKS18" s="255"/>
      <c r="EKT18" s="255"/>
      <c r="EKU18" s="255"/>
      <c r="EKV18" s="255"/>
      <c r="EKW18" s="255"/>
      <c r="EKX18" s="255"/>
      <c r="EKY18" s="255"/>
      <c r="EKZ18" s="255"/>
      <c r="ELA18" s="255"/>
      <c r="ELB18" s="255"/>
      <c r="ELC18" s="255"/>
      <c r="ELD18" s="255"/>
      <c r="ELE18" s="255"/>
      <c r="ELF18" s="255"/>
      <c r="ELG18" s="255"/>
      <c r="ELH18" s="255"/>
      <c r="ELI18" s="255"/>
      <c r="ELJ18" s="255"/>
      <c r="ELK18" s="255"/>
      <c r="ELL18" s="255"/>
      <c r="ELM18" s="255"/>
      <c r="ELN18" s="255"/>
      <c r="ELO18" s="255"/>
      <c r="ELP18" s="255"/>
      <c r="ELQ18" s="255"/>
      <c r="ELR18" s="255"/>
      <c r="ELS18" s="255"/>
      <c r="ELT18" s="255"/>
      <c r="ELU18" s="255"/>
      <c r="ELV18" s="255"/>
      <c r="ELW18" s="255"/>
      <c r="ELX18" s="255"/>
      <c r="ELY18" s="255"/>
      <c r="ELZ18" s="255"/>
      <c r="EMA18" s="255"/>
      <c r="EMB18" s="255"/>
      <c r="EMC18" s="255"/>
      <c r="EMD18" s="255"/>
      <c r="EME18" s="255"/>
      <c r="EMF18" s="255"/>
      <c r="EMG18" s="255"/>
      <c r="EMH18" s="255"/>
      <c r="EMI18" s="255"/>
      <c r="EMJ18" s="255"/>
      <c r="EMK18" s="255"/>
      <c r="EML18" s="255"/>
      <c r="EMM18" s="255"/>
      <c r="EMN18" s="255"/>
      <c r="EMO18" s="255"/>
      <c r="EMP18" s="255"/>
      <c r="EMQ18" s="255"/>
      <c r="EMR18" s="255"/>
      <c r="EMS18" s="255"/>
      <c r="EMT18" s="255"/>
      <c r="EMU18" s="255"/>
      <c r="EMV18" s="255"/>
      <c r="EMW18" s="255"/>
      <c r="EMX18" s="255"/>
      <c r="EMY18" s="255"/>
      <c r="EMZ18" s="255"/>
      <c r="ENA18" s="255"/>
      <c r="ENB18" s="255"/>
      <c r="ENC18" s="255"/>
      <c r="END18" s="255"/>
      <c r="ENE18" s="255"/>
      <c r="ENF18" s="255"/>
      <c r="ENG18" s="255"/>
      <c r="ENH18" s="255"/>
      <c r="ENI18" s="255"/>
      <c r="ENJ18" s="255"/>
      <c r="ENK18" s="255"/>
      <c r="ENL18" s="255"/>
      <c r="ENM18" s="255"/>
      <c r="ENN18" s="255"/>
      <c r="ENO18" s="255"/>
      <c r="ENP18" s="255"/>
      <c r="ENQ18" s="255"/>
      <c r="ENR18" s="255"/>
      <c r="ENS18" s="255"/>
      <c r="ENT18" s="255"/>
      <c r="ENU18" s="255"/>
      <c r="ENV18" s="255"/>
      <c r="ENW18" s="255"/>
      <c r="ENX18" s="255"/>
      <c r="ENY18" s="255"/>
      <c r="ENZ18" s="255"/>
      <c r="EOA18" s="255"/>
      <c r="EOB18" s="255"/>
      <c r="EOC18" s="255"/>
      <c r="EOD18" s="255"/>
      <c r="EOE18" s="255"/>
      <c r="EOF18" s="255"/>
      <c r="EOG18" s="255"/>
      <c r="EOH18" s="255"/>
      <c r="EOI18" s="255"/>
      <c r="EOJ18" s="255"/>
      <c r="EOK18" s="255"/>
      <c r="EOL18" s="255"/>
      <c r="EOM18" s="255"/>
      <c r="EON18" s="255"/>
      <c r="EOO18" s="255"/>
      <c r="EOP18" s="255"/>
      <c r="EOQ18" s="255"/>
      <c r="EOR18" s="255"/>
      <c r="EOS18" s="255"/>
      <c r="EOT18" s="255"/>
      <c r="EOU18" s="255"/>
      <c r="EOV18" s="255"/>
      <c r="EOW18" s="255"/>
      <c r="EOX18" s="255"/>
      <c r="EOY18" s="255"/>
      <c r="EOZ18" s="255"/>
      <c r="EPA18" s="255"/>
      <c r="EPB18" s="255"/>
      <c r="EPC18" s="255"/>
      <c r="EPD18" s="255"/>
      <c r="EPE18" s="255"/>
      <c r="EPF18" s="255"/>
      <c r="EPG18" s="255"/>
      <c r="EPH18" s="255"/>
      <c r="EPI18" s="255"/>
      <c r="EPJ18" s="255"/>
      <c r="EPK18" s="255"/>
      <c r="EPL18" s="255"/>
      <c r="EPM18" s="255"/>
      <c r="EPN18" s="255"/>
      <c r="EPO18" s="255"/>
      <c r="EPP18" s="255"/>
      <c r="EPQ18" s="255"/>
      <c r="EPR18" s="255"/>
      <c r="EPS18" s="255"/>
      <c r="EPT18" s="255"/>
      <c r="EPU18" s="255"/>
      <c r="EPV18" s="255"/>
      <c r="EPW18" s="255"/>
      <c r="EPX18" s="255"/>
      <c r="EPY18" s="255"/>
      <c r="EPZ18" s="255"/>
      <c r="EQA18" s="255"/>
      <c r="EQB18" s="255"/>
      <c r="EQC18" s="255"/>
      <c r="EQD18" s="255"/>
      <c r="EQE18" s="255"/>
      <c r="EQF18" s="255"/>
      <c r="EQG18" s="255"/>
      <c r="EQH18" s="255"/>
      <c r="EQI18" s="255"/>
      <c r="EQJ18" s="255"/>
      <c r="EQK18" s="255"/>
      <c r="EQL18" s="255"/>
      <c r="EQM18" s="255"/>
      <c r="EQN18" s="255"/>
      <c r="EQO18" s="255"/>
      <c r="EQP18" s="255"/>
      <c r="EQQ18" s="255"/>
      <c r="EQR18" s="255"/>
      <c r="EQS18" s="255"/>
      <c r="EQT18" s="255"/>
      <c r="EQU18" s="255"/>
      <c r="EQV18" s="255"/>
      <c r="EQW18" s="255"/>
      <c r="EQX18" s="255"/>
      <c r="EQY18" s="255"/>
      <c r="EQZ18" s="255"/>
      <c r="ERA18" s="255"/>
      <c r="ERB18" s="255"/>
      <c r="ERC18" s="255"/>
      <c r="ERD18" s="255"/>
      <c r="ERE18" s="255"/>
      <c r="ERF18" s="255"/>
      <c r="ERG18" s="255"/>
      <c r="ERH18" s="255"/>
      <c r="ERI18" s="255"/>
      <c r="ERJ18" s="255"/>
      <c r="ERK18" s="255"/>
      <c r="ERL18" s="255"/>
      <c r="ERM18" s="255"/>
      <c r="ERN18" s="255"/>
      <c r="ERO18" s="255"/>
      <c r="ERP18" s="255"/>
      <c r="ERQ18" s="255"/>
      <c r="ERR18" s="255"/>
      <c r="ERS18" s="255"/>
      <c r="ERT18" s="255"/>
      <c r="ERU18" s="255"/>
      <c r="ERV18" s="255"/>
      <c r="ERW18" s="255"/>
      <c r="ERX18" s="255"/>
      <c r="ERY18" s="255"/>
      <c r="ERZ18" s="255"/>
      <c r="ESA18" s="255"/>
      <c r="ESB18" s="255"/>
      <c r="ESC18" s="255"/>
      <c r="ESD18" s="255"/>
      <c r="ESE18" s="255"/>
      <c r="ESF18" s="255"/>
      <c r="ESG18" s="255"/>
      <c r="ESH18" s="255"/>
      <c r="ESI18" s="255"/>
      <c r="ESJ18" s="255"/>
      <c r="ESK18" s="255"/>
      <c r="ESL18" s="255"/>
      <c r="ESM18" s="255"/>
      <c r="ESN18" s="255"/>
      <c r="ESO18" s="255"/>
      <c r="ESP18" s="255"/>
      <c r="ESQ18" s="255"/>
      <c r="ESR18" s="255"/>
      <c r="ESS18" s="255"/>
      <c r="EST18" s="255"/>
      <c r="ESU18" s="255"/>
      <c r="ESV18" s="255"/>
      <c r="ESW18" s="255"/>
      <c r="ESX18" s="255"/>
      <c r="ESY18" s="255"/>
      <c r="ESZ18" s="255"/>
      <c r="ETA18" s="255"/>
      <c r="ETB18" s="255"/>
      <c r="ETC18" s="255"/>
      <c r="ETD18" s="255"/>
      <c r="ETE18" s="255"/>
      <c r="ETF18" s="255"/>
      <c r="ETG18" s="255"/>
      <c r="ETH18" s="255"/>
      <c r="ETI18" s="255"/>
      <c r="ETJ18" s="255"/>
      <c r="ETK18" s="255"/>
      <c r="ETL18" s="255"/>
      <c r="ETM18" s="255"/>
      <c r="ETN18" s="255"/>
      <c r="ETO18" s="255"/>
      <c r="ETP18" s="255"/>
      <c r="ETQ18" s="255"/>
      <c r="ETR18" s="255"/>
      <c r="ETS18" s="255"/>
      <c r="ETT18" s="255"/>
      <c r="ETU18" s="255"/>
      <c r="ETV18" s="255"/>
      <c r="ETW18" s="255"/>
      <c r="ETX18" s="255"/>
      <c r="ETY18" s="255"/>
      <c r="ETZ18" s="255"/>
      <c r="EUA18" s="255"/>
      <c r="EUB18" s="255"/>
      <c r="EUC18" s="255"/>
      <c r="EUD18" s="255"/>
      <c r="EUE18" s="255"/>
      <c r="EUF18" s="255"/>
      <c r="EUG18" s="255"/>
      <c r="EUH18" s="255"/>
      <c r="EUI18" s="255"/>
      <c r="EUJ18" s="255"/>
      <c r="EUK18" s="255"/>
      <c r="EUL18" s="255"/>
      <c r="EUM18" s="255"/>
      <c r="EUN18" s="255"/>
      <c r="EUO18" s="255"/>
      <c r="EUP18" s="255"/>
      <c r="EUQ18" s="255"/>
      <c r="EUR18" s="255"/>
      <c r="EUS18" s="255"/>
      <c r="EUT18" s="255"/>
      <c r="EUU18" s="255"/>
      <c r="EUV18" s="255"/>
      <c r="EUW18" s="255"/>
      <c r="EUX18" s="255"/>
      <c r="EUY18" s="255"/>
      <c r="EUZ18" s="255"/>
      <c r="EVA18" s="255"/>
      <c r="EVB18" s="255"/>
      <c r="EVC18" s="255"/>
      <c r="EVD18" s="255"/>
      <c r="EVE18" s="255"/>
      <c r="EVF18" s="255"/>
      <c r="EVG18" s="255"/>
      <c r="EVH18" s="255"/>
      <c r="EVI18" s="255"/>
      <c r="EVJ18" s="255"/>
      <c r="EVK18" s="255"/>
      <c r="EVL18" s="255"/>
      <c r="EVM18" s="255"/>
      <c r="EVN18" s="255"/>
      <c r="EVO18" s="255"/>
      <c r="EVP18" s="255"/>
      <c r="EVQ18" s="255"/>
      <c r="EVR18" s="255"/>
      <c r="EVS18" s="255"/>
      <c r="EVT18" s="255"/>
      <c r="EVU18" s="255"/>
      <c r="EVV18" s="255"/>
      <c r="EVW18" s="255"/>
      <c r="EVX18" s="255"/>
      <c r="EVY18" s="255"/>
      <c r="EVZ18" s="255"/>
      <c r="EWA18" s="255"/>
      <c r="EWB18" s="255"/>
      <c r="EWC18" s="255"/>
      <c r="EWD18" s="255"/>
      <c r="EWE18" s="255"/>
      <c r="EWF18" s="255"/>
      <c r="EWG18" s="255"/>
      <c r="EWH18" s="255"/>
      <c r="EWI18" s="255"/>
      <c r="EWJ18" s="255"/>
      <c r="EWK18" s="255"/>
      <c r="EWL18" s="255"/>
      <c r="EWM18" s="255"/>
      <c r="EWN18" s="255"/>
      <c r="EWO18" s="255"/>
      <c r="EWP18" s="255"/>
      <c r="EWQ18" s="255"/>
      <c r="EWR18" s="255"/>
      <c r="EWS18" s="255"/>
      <c r="EWT18" s="255"/>
      <c r="EWU18" s="255"/>
      <c r="EWV18" s="255"/>
      <c r="EWW18" s="255"/>
      <c r="EWX18" s="255"/>
      <c r="EWY18" s="255"/>
      <c r="EWZ18" s="255"/>
      <c r="EXA18" s="255"/>
      <c r="EXB18" s="255"/>
      <c r="EXC18" s="255"/>
      <c r="EXD18" s="255"/>
      <c r="EXE18" s="255"/>
      <c r="EXF18" s="255"/>
      <c r="EXG18" s="255"/>
      <c r="EXH18" s="255"/>
      <c r="EXI18" s="255"/>
      <c r="EXJ18" s="255"/>
      <c r="EXK18" s="255"/>
      <c r="EXL18" s="255"/>
      <c r="EXM18" s="255"/>
      <c r="EXN18" s="255"/>
      <c r="EXO18" s="255"/>
      <c r="EXP18" s="255"/>
      <c r="EXQ18" s="255"/>
      <c r="EXR18" s="255"/>
      <c r="EXS18" s="255"/>
      <c r="EXT18" s="255"/>
      <c r="EXU18" s="255"/>
      <c r="EXV18" s="255"/>
      <c r="EXW18" s="255"/>
      <c r="EXX18" s="255"/>
      <c r="EXY18" s="255"/>
      <c r="EXZ18" s="255"/>
      <c r="EYA18" s="255"/>
      <c r="EYB18" s="255"/>
      <c r="EYC18" s="255"/>
      <c r="EYD18" s="255"/>
      <c r="EYE18" s="255"/>
      <c r="EYF18" s="255"/>
      <c r="EYG18" s="255"/>
      <c r="EYH18" s="255"/>
      <c r="EYI18" s="255"/>
      <c r="EYJ18" s="255"/>
      <c r="EYK18" s="255"/>
      <c r="EYL18" s="255"/>
      <c r="EYM18" s="255"/>
      <c r="EYN18" s="255"/>
      <c r="EYO18" s="255"/>
      <c r="EYP18" s="255"/>
      <c r="EYQ18" s="255"/>
      <c r="EYR18" s="255"/>
      <c r="EYS18" s="255"/>
      <c r="EYT18" s="255"/>
      <c r="EYU18" s="255"/>
      <c r="EYV18" s="255"/>
      <c r="EYW18" s="255"/>
      <c r="EYX18" s="255"/>
      <c r="EYY18" s="255"/>
      <c r="EYZ18" s="255"/>
      <c r="EZA18" s="255"/>
      <c r="EZB18" s="255"/>
      <c r="EZC18" s="255"/>
      <c r="EZD18" s="255"/>
      <c r="EZE18" s="255"/>
      <c r="EZF18" s="255"/>
      <c r="EZG18" s="255"/>
      <c r="EZH18" s="255"/>
      <c r="EZI18" s="255"/>
      <c r="EZJ18" s="255"/>
      <c r="EZK18" s="255"/>
      <c r="EZL18" s="255"/>
      <c r="EZM18" s="255"/>
      <c r="EZN18" s="255"/>
      <c r="EZO18" s="255"/>
      <c r="EZP18" s="255"/>
      <c r="EZQ18" s="255"/>
      <c r="EZR18" s="255"/>
      <c r="EZS18" s="255"/>
      <c r="EZT18" s="255"/>
      <c r="EZU18" s="255"/>
      <c r="EZV18" s="255"/>
      <c r="EZW18" s="255"/>
      <c r="EZX18" s="255"/>
      <c r="EZY18" s="255"/>
      <c r="EZZ18" s="255"/>
      <c r="FAA18" s="255"/>
      <c r="FAB18" s="255"/>
      <c r="FAC18" s="255"/>
      <c r="FAD18" s="255"/>
      <c r="FAE18" s="255"/>
      <c r="FAF18" s="255"/>
      <c r="FAG18" s="255"/>
      <c r="FAH18" s="255"/>
      <c r="FAI18" s="255"/>
      <c r="FAJ18" s="255"/>
      <c r="FAK18" s="255"/>
      <c r="FAL18" s="255"/>
      <c r="FAM18" s="255"/>
      <c r="FAN18" s="255"/>
      <c r="FAO18" s="255"/>
      <c r="FAP18" s="255"/>
      <c r="FAQ18" s="255"/>
      <c r="FAR18" s="255"/>
      <c r="FAS18" s="255"/>
      <c r="FAT18" s="255"/>
      <c r="FAU18" s="255"/>
      <c r="FAV18" s="255"/>
      <c r="FAW18" s="255"/>
      <c r="FAX18" s="255"/>
      <c r="FAY18" s="255"/>
      <c r="FAZ18" s="255"/>
      <c r="FBA18" s="255"/>
      <c r="FBB18" s="255"/>
      <c r="FBC18" s="255"/>
      <c r="FBD18" s="255"/>
      <c r="FBE18" s="255"/>
      <c r="FBF18" s="255"/>
      <c r="FBG18" s="255"/>
      <c r="FBH18" s="255"/>
      <c r="FBI18" s="255"/>
      <c r="FBJ18" s="255"/>
      <c r="FBK18" s="255"/>
      <c r="FBL18" s="255"/>
      <c r="FBM18" s="255"/>
      <c r="FBN18" s="255"/>
      <c r="FBO18" s="255"/>
      <c r="FBP18" s="255"/>
      <c r="FBQ18" s="255"/>
      <c r="FBR18" s="255"/>
      <c r="FBS18" s="255"/>
      <c r="FBT18" s="255"/>
      <c r="FBU18" s="255"/>
      <c r="FBV18" s="255"/>
      <c r="FBW18" s="255"/>
      <c r="FBX18" s="255"/>
      <c r="FBY18" s="255"/>
      <c r="FBZ18" s="255"/>
      <c r="FCA18" s="255"/>
      <c r="FCB18" s="255"/>
      <c r="FCC18" s="255"/>
      <c r="FCD18" s="255"/>
      <c r="FCE18" s="255"/>
      <c r="FCF18" s="255"/>
      <c r="FCG18" s="255"/>
      <c r="FCH18" s="255"/>
      <c r="FCI18" s="255"/>
      <c r="FCJ18" s="255"/>
      <c r="FCK18" s="255"/>
      <c r="FCL18" s="255"/>
      <c r="FCM18" s="255"/>
      <c r="FCN18" s="255"/>
      <c r="FCO18" s="255"/>
      <c r="FCP18" s="255"/>
      <c r="FCQ18" s="255"/>
      <c r="FCR18" s="255"/>
      <c r="FCS18" s="255"/>
      <c r="FCT18" s="255"/>
      <c r="FCU18" s="255"/>
      <c r="FCV18" s="255"/>
      <c r="FCW18" s="255"/>
      <c r="FCX18" s="255"/>
      <c r="FCY18" s="255"/>
      <c r="FCZ18" s="255"/>
      <c r="FDA18" s="255"/>
      <c r="FDB18" s="255"/>
      <c r="FDC18" s="255"/>
      <c r="FDD18" s="255"/>
      <c r="FDE18" s="255"/>
      <c r="FDF18" s="255"/>
      <c r="FDG18" s="255"/>
      <c r="FDH18" s="255"/>
      <c r="FDI18" s="255"/>
      <c r="FDJ18" s="255"/>
      <c r="FDK18" s="255"/>
      <c r="FDL18" s="255"/>
      <c r="FDM18" s="255"/>
      <c r="FDN18" s="255"/>
      <c r="FDO18" s="255"/>
      <c r="FDP18" s="255"/>
      <c r="FDQ18" s="255"/>
      <c r="FDR18" s="255"/>
      <c r="FDS18" s="255"/>
      <c r="FDT18" s="255"/>
      <c r="FDU18" s="255"/>
      <c r="FDV18" s="255"/>
      <c r="FDW18" s="255"/>
      <c r="FDX18" s="255"/>
      <c r="FDY18" s="255"/>
      <c r="FDZ18" s="255"/>
      <c r="FEA18" s="255"/>
      <c r="FEB18" s="255"/>
      <c r="FEC18" s="255"/>
      <c r="FED18" s="255"/>
      <c r="FEE18" s="255"/>
      <c r="FEF18" s="255"/>
      <c r="FEG18" s="255"/>
      <c r="FEH18" s="255"/>
      <c r="FEI18" s="255"/>
      <c r="FEJ18" s="255"/>
      <c r="FEK18" s="255"/>
      <c r="FEL18" s="255"/>
      <c r="FEM18" s="255"/>
      <c r="FEN18" s="255"/>
      <c r="FEO18" s="255"/>
      <c r="FEP18" s="255"/>
      <c r="FEQ18" s="255"/>
      <c r="FER18" s="255"/>
      <c r="FES18" s="255"/>
      <c r="FET18" s="255"/>
      <c r="FEU18" s="255"/>
      <c r="FEV18" s="255"/>
      <c r="FEW18" s="255"/>
      <c r="FEX18" s="255"/>
      <c r="FEY18" s="255"/>
      <c r="FEZ18" s="255"/>
      <c r="FFA18" s="255"/>
      <c r="FFB18" s="255"/>
      <c r="FFC18" s="255"/>
      <c r="FFD18" s="255"/>
      <c r="FFE18" s="255"/>
      <c r="FFF18" s="255"/>
      <c r="FFG18" s="255"/>
      <c r="FFH18" s="255"/>
      <c r="FFI18" s="255"/>
      <c r="FFJ18" s="255"/>
      <c r="FFK18" s="255"/>
      <c r="FFL18" s="255"/>
      <c r="FFM18" s="255"/>
      <c r="FFN18" s="255"/>
      <c r="FFO18" s="255"/>
      <c r="FFP18" s="255"/>
      <c r="FFQ18" s="255"/>
      <c r="FFR18" s="255"/>
      <c r="FFS18" s="255"/>
      <c r="FFT18" s="255"/>
      <c r="FFU18" s="255"/>
      <c r="FFV18" s="255"/>
      <c r="FFW18" s="255"/>
      <c r="FFX18" s="255"/>
      <c r="FFY18" s="255"/>
      <c r="FFZ18" s="255"/>
      <c r="FGA18" s="255"/>
      <c r="FGB18" s="255"/>
      <c r="FGC18" s="255"/>
      <c r="FGD18" s="255"/>
      <c r="FGE18" s="255"/>
      <c r="FGF18" s="255"/>
      <c r="FGG18" s="255"/>
      <c r="FGH18" s="255"/>
      <c r="FGI18" s="255"/>
      <c r="FGJ18" s="255"/>
      <c r="FGK18" s="255"/>
      <c r="FGL18" s="255"/>
      <c r="FGM18" s="255"/>
      <c r="FGN18" s="255"/>
      <c r="FGO18" s="255"/>
      <c r="FGP18" s="255"/>
      <c r="FGQ18" s="255"/>
      <c r="FGR18" s="255"/>
      <c r="FGS18" s="255"/>
      <c r="FGT18" s="255"/>
      <c r="FGU18" s="255"/>
      <c r="FGV18" s="255"/>
      <c r="FGW18" s="255"/>
      <c r="FGX18" s="255"/>
      <c r="FGY18" s="255"/>
      <c r="FGZ18" s="255"/>
      <c r="FHA18" s="255"/>
      <c r="FHB18" s="255"/>
      <c r="FHC18" s="255"/>
      <c r="FHD18" s="255"/>
      <c r="FHE18" s="255"/>
      <c r="FHF18" s="255"/>
      <c r="FHG18" s="255"/>
      <c r="FHH18" s="255"/>
      <c r="FHI18" s="255"/>
      <c r="FHJ18" s="255"/>
      <c r="FHK18" s="255"/>
      <c r="FHL18" s="255"/>
      <c r="FHM18" s="255"/>
      <c r="FHN18" s="255"/>
      <c r="FHO18" s="255"/>
      <c r="FHP18" s="255"/>
      <c r="FHQ18" s="255"/>
      <c r="FHR18" s="255"/>
      <c r="FHS18" s="255"/>
      <c r="FHT18" s="255"/>
      <c r="FHU18" s="255"/>
      <c r="FHV18" s="255"/>
      <c r="FHW18" s="255"/>
      <c r="FHX18" s="255"/>
      <c r="FHY18" s="255"/>
      <c r="FHZ18" s="255"/>
      <c r="FIA18" s="255"/>
      <c r="FIB18" s="255"/>
      <c r="FIC18" s="255"/>
      <c r="FID18" s="255"/>
      <c r="FIE18" s="255"/>
      <c r="FIF18" s="255"/>
      <c r="FIG18" s="255"/>
      <c r="FIH18" s="255"/>
      <c r="FII18" s="255"/>
      <c r="FIJ18" s="255"/>
      <c r="FIK18" s="255"/>
      <c r="FIL18" s="255"/>
      <c r="FIM18" s="255"/>
      <c r="FIN18" s="255"/>
      <c r="FIO18" s="255"/>
      <c r="FIP18" s="255"/>
      <c r="FIQ18" s="255"/>
      <c r="FIR18" s="255"/>
      <c r="FIS18" s="255"/>
      <c r="FIT18" s="255"/>
      <c r="FIU18" s="255"/>
      <c r="FIV18" s="255"/>
      <c r="FIW18" s="255"/>
      <c r="FIX18" s="255"/>
      <c r="FIY18" s="255"/>
      <c r="FIZ18" s="255"/>
      <c r="FJA18" s="255"/>
      <c r="FJB18" s="255"/>
      <c r="FJC18" s="255"/>
      <c r="FJD18" s="255"/>
      <c r="FJE18" s="255"/>
      <c r="FJF18" s="255"/>
      <c r="FJG18" s="255"/>
      <c r="FJH18" s="255"/>
      <c r="FJI18" s="255"/>
      <c r="FJJ18" s="255"/>
      <c r="FJK18" s="255"/>
      <c r="FJL18" s="255"/>
      <c r="FJM18" s="255"/>
      <c r="FJN18" s="255"/>
      <c r="FJO18" s="255"/>
      <c r="FJP18" s="255"/>
      <c r="FJQ18" s="255"/>
      <c r="FJR18" s="255"/>
      <c r="FJS18" s="255"/>
      <c r="FJT18" s="255"/>
      <c r="FJU18" s="255"/>
      <c r="FJV18" s="255"/>
      <c r="FJW18" s="255"/>
      <c r="FJX18" s="255"/>
      <c r="FJY18" s="255"/>
      <c r="FJZ18" s="255"/>
      <c r="FKA18" s="255"/>
      <c r="FKB18" s="255"/>
      <c r="FKC18" s="255"/>
      <c r="FKD18" s="255"/>
      <c r="FKE18" s="255"/>
      <c r="FKF18" s="255"/>
      <c r="FKG18" s="255"/>
      <c r="FKH18" s="255"/>
      <c r="FKI18" s="255"/>
      <c r="FKJ18" s="255"/>
      <c r="FKK18" s="255"/>
      <c r="FKL18" s="255"/>
      <c r="FKM18" s="255"/>
      <c r="FKN18" s="255"/>
      <c r="FKO18" s="255"/>
      <c r="FKP18" s="255"/>
      <c r="FKQ18" s="255"/>
      <c r="FKR18" s="255"/>
      <c r="FKS18" s="255"/>
      <c r="FKT18" s="255"/>
      <c r="FKU18" s="255"/>
      <c r="FKV18" s="255"/>
      <c r="FKW18" s="255"/>
      <c r="FKX18" s="255"/>
      <c r="FKY18" s="255"/>
      <c r="FKZ18" s="255"/>
      <c r="FLA18" s="255"/>
      <c r="FLB18" s="255"/>
      <c r="FLC18" s="255"/>
      <c r="FLD18" s="255"/>
      <c r="FLE18" s="255"/>
      <c r="FLF18" s="255"/>
      <c r="FLG18" s="255"/>
      <c r="FLH18" s="255"/>
      <c r="FLI18" s="255"/>
      <c r="FLJ18" s="255"/>
      <c r="FLK18" s="255"/>
      <c r="FLL18" s="255"/>
      <c r="FLM18" s="255"/>
      <c r="FLN18" s="255"/>
      <c r="FLO18" s="255"/>
      <c r="FLP18" s="255"/>
      <c r="FLQ18" s="255"/>
      <c r="FLR18" s="255"/>
      <c r="FLS18" s="255"/>
      <c r="FLT18" s="255"/>
      <c r="FLU18" s="255"/>
      <c r="FLV18" s="255"/>
      <c r="FLW18" s="255"/>
      <c r="FLX18" s="255"/>
      <c r="FLY18" s="255"/>
      <c r="FLZ18" s="255"/>
      <c r="FMA18" s="255"/>
      <c r="FMB18" s="255"/>
      <c r="FMC18" s="255"/>
      <c r="FMD18" s="255"/>
      <c r="FME18" s="255"/>
      <c r="FMF18" s="255"/>
      <c r="FMG18" s="255"/>
      <c r="FMH18" s="255"/>
      <c r="FMI18" s="255"/>
      <c r="FMJ18" s="255"/>
      <c r="FMK18" s="255"/>
      <c r="FML18" s="255"/>
      <c r="FMM18" s="255"/>
      <c r="FMN18" s="255"/>
      <c r="FMO18" s="255"/>
      <c r="FMP18" s="255"/>
      <c r="FMQ18" s="255"/>
      <c r="FMR18" s="255"/>
      <c r="FMS18" s="255"/>
      <c r="FMT18" s="255"/>
      <c r="FMU18" s="255"/>
      <c r="FMV18" s="255"/>
      <c r="FMW18" s="255"/>
      <c r="FMX18" s="255"/>
      <c r="FMY18" s="255"/>
      <c r="FMZ18" s="255"/>
      <c r="FNA18" s="255"/>
      <c r="FNB18" s="255"/>
      <c r="FNC18" s="255"/>
      <c r="FND18" s="255"/>
      <c r="FNE18" s="255"/>
      <c r="FNF18" s="255"/>
      <c r="FNG18" s="255"/>
      <c r="FNH18" s="255"/>
      <c r="FNI18" s="255"/>
      <c r="FNJ18" s="255"/>
      <c r="FNK18" s="255"/>
      <c r="FNL18" s="255"/>
      <c r="FNM18" s="255"/>
      <c r="FNN18" s="255"/>
      <c r="FNO18" s="255"/>
      <c r="FNP18" s="255"/>
      <c r="FNQ18" s="255"/>
      <c r="FNR18" s="255"/>
      <c r="FNS18" s="255"/>
      <c r="FNT18" s="255"/>
      <c r="FNU18" s="255"/>
      <c r="FNV18" s="255"/>
      <c r="FNW18" s="255"/>
      <c r="FNX18" s="255"/>
      <c r="FNY18" s="255"/>
      <c r="FNZ18" s="255"/>
      <c r="FOA18" s="255"/>
      <c r="FOB18" s="255"/>
      <c r="FOC18" s="255"/>
      <c r="FOD18" s="255"/>
      <c r="FOE18" s="255"/>
      <c r="FOF18" s="255"/>
      <c r="FOG18" s="255"/>
      <c r="FOH18" s="255"/>
      <c r="FOI18" s="255"/>
      <c r="FOJ18" s="255"/>
      <c r="FOK18" s="255"/>
      <c r="FOL18" s="255"/>
      <c r="FOM18" s="255"/>
      <c r="FON18" s="255"/>
      <c r="FOO18" s="255"/>
      <c r="FOP18" s="255"/>
      <c r="FOQ18" s="255"/>
      <c r="FOR18" s="255"/>
      <c r="FOS18" s="255"/>
      <c r="FOT18" s="255"/>
      <c r="FOU18" s="255"/>
      <c r="FOV18" s="255"/>
      <c r="FOW18" s="255"/>
      <c r="FOX18" s="255"/>
      <c r="FOY18" s="255"/>
      <c r="FOZ18" s="255"/>
      <c r="FPA18" s="255"/>
      <c r="FPB18" s="255"/>
      <c r="FPC18" s="255"/>
      <c r="FPD18" s="255"/>
      <c r="FPE18" s="255"/>
      <c r="FPF18" s="255"/>
      <c r="FPG18" s="255"/>
      <c r="FPH18" s="255"/>
      <c r="FPI18" s="255"/>
      <c r="FPJ18" s="255"/>
      <c r="FPK18" s="255"/>
      <c r="FPL18" s="255"/>
      <c r="FPM18" s="255"/>
      <c r="FPN18" s="255"/>
      <c r="FPO18" s="255"/>
      <c r="FPP18" s="255"/>
      <c r="FPQ18" s="255"/>
      <c r="FPR18" s="255"/>
      <c r="FPS18" s="255"/>
      <c r="FPT18" s="255"/>
      <c r="FPU18" s="255"/>
      <c r="FPV18" s="255"/>
      <c r="FPW18" s="255"/>
      <c r="FPX18" s="255"/>
      <c r="FPY18" s="255"/>
      <c r="FPZ18" s="255"/>
      <c r="FQA18" s="255"/>
      <c r="FQB18" s="255"/>
      <c r="FQC18" s="255"/>
      <c r="FQD18" s="255"/>
      <c r="FQE18" s="255"/>
      <c r="FQF18" s="255"/>
      <c r="FQG18" s="255"/>
      <c r="FQH18" s="255"/>
      <c r="FQI18" s="255"/>
      <c r="FQJ18" s="255"/>
      <c r="FQK18" s="255"/>
      <c r="FQL18" s="255"/>
      <c r="FQM18" s="255"/>
      <c r="FQN18" s="255"/>
      <c r="FQO18" s="255"/>
      <c r="FQP18" s="255"/>
      <c r="FQQ18" s="255"/>
      <c r="FQR18" s="255"/>
      <c r="FQS18" s="255"/>
      <c r="FQT18" s="255"/>
      <c r="FQU18" s="255"/>
      <c r="FQV18" s="255"/>
      <c r="FQW18" s="255"/>
      <c r="FQX18" s="255"/>
      <c r="FQY18" s="255"/>
      <c r="FQZ18" s="255"/>
      <c r="FRA18" s="255"/>
      <c r="FRB18" s="255"/>
      <c r="FRC18" s="255"/>
      <c r="FRD18" s="255"/>
      <c r="FRE18" s="255"/>
      <c r="FRF18" s="255"/>
      <c r="FRG18" s="255"/>
      <c r="FRH18" s="255"/>
      <c r="FRI18" s="255"/>
      <c r="FRJ18" s="255"/>
      <c r="FRK18" s="255"/>
      <c r="FRL18" s="255"/>
      <c r="FRM18" s="255"/>
      <c r="FRN18" s="255"/>
      <c r="FRO18" s="255"/>
      <c r="FRP18" s="255"/>
      <c r="FRQ18" s="255"/>
      <c r="FRR18" s="255"/>
      <c r="FRS18" s="255"/>
      <c r="FRT18" s="255"/>
      <c r="FRU18" s="255"/>
      <c r="FRV18" s="255"/>
      <c r="FRW18" s="255"/>
      <c r="FRX18" s="255"/>
      <c r="FRY18" s="255"/>
      <c r="FRZ18" s="255"/>
      <c r="FSA18" s="255"/>
      <c r="FSB18" s="255"/>
      <c r="FSC18" s="255"/>
      <c r="FSD18" s="255"/>
      <c r="FSE18" s="255"/>
      <c r="FSF18" s="255"/>
      <c r="FSG18" s="255"/>
      <c r="FSH18" s="255"/>
      <c r="FSI18" s="255"/>
      <c r="FSJ18" s="255"/>
      <c r="FSK18" s="255"/>
      <c r="FSL18" s="255"/>
      <c r="FSM18" s="255"/>
      <c r="FSN18" s="255"/>
      <c r="FSO18" s="255"/>
      <c r="FSP18" s="255"/>
      <c r="FSQ18" s="255"/>
      <c r="FSR18" s="255"/>
      <c r="FSS18" s="255"/>
      <c r="FST18" s="255"/>
      <c r="FSU18" s="255"/>
      <c r="FSV18" s="255"/>
      <c r="FSW18" s="255"/>
      <c r="FSX18" s="255"/>
      <c r="FSY18" s="255"/>
      <c r="FSZ18" s="255"/>
      <c r="FTA18" s="255"/>
      <c r="FTB18" s="255"/>
      <c r="FTC18" s="255"/>
      <c r="FTD18" s="255"/>
      <c r="FTE18" s="255"/>
      <c r="FTF18" s="255"/>
      <c r="FTG18" s="255"/>
      <c r="FTH18" s="255"/>
      <c r="FTI18" s="255"/>
      <c r="FTJ18" s="255"/>
      <c r="FTK18" s="255"/>
      <c r="FTL18" s="255"/>
      <c r="FTM18" s="255"/>
      <c r="FTN18" s="255"/>
      <c r="FTO18" s="255"/>
      <c r="FTP18" s="255"/>
      <c r="FTQ18" s="255"/>
      <c r="FTR18" s="255"/>
      <c r="FTS18" s="255"/>
      <c r="FTT18" s="255"/>
      <c r="FTU18" s="255"/>
      <c r="FTV18" s="255"/>
      <c r="FTW18" s="255"/>
      <c r="FTX18" s="255"/>
      <c r="FTY18" s="255"/>
      <c r="FTZ18" s="255"/>
      <c r="FUA18" s="255"/>
      <c r="FUB18" s="255"/>
      <c r="FUC18" s="255"/>
      <c r="FUD18" s="255"/>
      <c r="FUE18" s="255"/>
      <c r="FUF18" s="255"/>
      <c r="FUG18" s="255"/>
      <c r="FUH18" s="255"/>
      <c r="FUI18" s="255"/>
      <c r="FUJ18" s="255"/>
      <c r="FUK18" s="255"/>
      <c r="FUL18" s="255"/>
      <c r="FUM18" s="255"/>
      <c r="FUN18" s="255"/>
      <c r="FUO18" s="255"/>
      <c r="FUP18" s="255"/>
      <c r="FUQ18" s="255"/>
      <c r="FUR18" s="255"/>
      <c r="FUS18" s="255"/>
      <c r="FUT18" s="255"/>
      <c r="FUU18" s="255"/>
      <c r="FUV18" s="255"/>
      <c r="FUW18" s="255"/>
      <c r="FUX18" s="255"/>
      <c r="FUY18" s="255"/>
      <c r="FUZ18" s="255"/>
      <c r="FVA18" s="255"/>
      <c r="FVB18" s="255"/>
      <c r="FVC18" s="255"/>
      <c r="FVD18" s="255"/>
      <c r="FVE18" s="255"/>
      <c r="FVF18" s="255"/>
      <c r="FVG18" s="255"/>
      <c r="FVH18" s="255"/>
      <c r="FVI18" s="255"/>
      <c r="FVJ18" s="255"/>
      <c r="FVK18" s="255"/>
      <c r="FVL18" s="255"/>
      <c r="FVM18" s="255"/>
      <c r="FVN18" s="255"/>
      <c r="FVO18" s="255"/>
      <c r="FVP18" s="255"/>
      <c r="FVQ18" s="255"/>
      <c r="FVR18" s="255"/>
      <c r="FVS18" s="255"/>
      <c r="FVT18" s="255"/>
      <c r="FVU18" s="255"/>
      <c r="FVV18" s="255"/>
      <c r="FVW18" s="255"/>
      <c r="FVX18" s="255"/>
      <c r="FVY18" s="255"/>
      <c r="FVZ18" s="255"/>
      <c r="FWA18" s="255"/>
      <c r="FWB18" s="255"/>
      <c r="FWC18" s="255"/>
      <c r="FWD18" s="255"/>
      <c r="FWE18" s="255"/>
      <c r="FWF18" s="255"/>
      <c r="FWG18" s="255"/>
      <c r="FWH18" s="255"/>
      <c r="FWI18" s="255"/>
      <c r="FWJ18" s="255"/>
      <c r="FWK18" s="255"/>
      <c r="FWL18" s="255"/>
      <c r="FWM18" s="255"/>
      <c r="FWN18" s="255"/>
      <c r="FWO18" s="255"/>
      <c r="FWP18" s="255"/>
      <c r="FWQ18" s="255"/>
      <c r="FWR18" s="255"/>
      <c r="FWS18" s="255"/>
      <c r="FWT18" s="255"/>
      <c r="FWU18" s="255"/>
      <c r="FWV18" s="255"/>
      <c r="FWW18" s="255"/>
      <c r="FWX18" s="255"/>
      <c r="FWY18" s="255"/>
      <c r="FWZ18" s="255"/>
      <c r="FXA18" s="255"/>
      <c r="FXB18" s="255"/>
      <c r="FXC18" s="255"/>
      <c r="FXD18" s="255"/>
      <c r="FXE18" s="255"/>
      <c r="FXF18" s="255"/>
      <c r="FXG18" s="255"/>
      <c r="FXH18" s="255"/>
      <c r="FXI18" s="255"/>
      <c r="FXJ18" s="255"/>
      <c r="FXK18" s="255"/>
      <c r="FXL18" s="255"/>
      <c r="FXM18" s="255"/>
      <c r="FXN18" s="255"/>
      <c r="FXO18" s="255"/>
      <c r="FXP18" s="255"/>
      <c r="FXQ18" s="255"/>
      <c r="FXR18" s="255"/>
      <c r="FXS18" s="255"/>
      <c r="FXT18" s="255"/>
      <c r="FXU18" s="255"/>
      <c r="FXV18" s="255"/>
      <c r="FXW18" s="255"/>
      <c r="FXX18" s="255"/>
      <c r="FXY18" s="255"/>
      <c r="FXZ18" s="255"/>
      <c r="FYA18" s="255"/>
      <c r="FYB18" s="255"/>
      <c r="FYC18" s="255"/>
      <c r="FYD18" s="255"/>
      <c r="FYE18" s="255"/>
      <c r="FYF18" s="255"/>
      <c r="FYG18" s="255"/>
      <c r="FYH18" s="255"/>
      <c r="FYI18" s="255"/>
      <c r="FYJ18" s="255"/>
      <c r="FYK18" s="255"/>
      <c r="FYL18" s="255"/>
      <c r="FYM18" s="255"/>
      <c r="FYN18" s="255"/>
      <c r="FYO18" s="255"/>
      <c r="FYP18" s="255"/>
      <c r="FYQ18" s="255"/>
      <c r="FYR18" s="255"/>
      <c r="FYS18" s="255"/>
      <c r="FYT18" s="255"/>
      <c r="FYU18" s="255"/>
      <c r="FYV18" s="255"/>
      <c r="FYW18" s="255"/>
      <c r="FYX18" s="255"/>
      <c r="FYY18" s="255"/>
      <c r="FYZ18" s="255"/>
      <c r="FZA18" s="255"/>
      <c r="FZB18" s="255"/>
      <c r="FZC18" s="255"/>
      <c r="FZD18" s="255"/>
      <c r="FZE18" s="255"/>
      <c r="FZF18" s="255"/>
      <c r="FZG18" s="255"/>
      <c r="FZH18" s="255"/>
      <c r="FZI18" s="255"/>
      <c r="FZJ18" s="255"/>
      <c r="FZK18" s="255"/>
      <c r="FZL18" s="255"/>
      <c r="FZM18" s="255"/>
      <c r="FZN18" s="255"/>
      <c r="FZO18" s="255"/>
      <c r="FZP18" s="255"/>
      <c r="FZQ18" s="255"/>
      <c r="FZR18" s="255"/>
      <c r="FZS18" s="255"/>
      <c r="FZT18" s="255"/>
      <c r="FZU18" s="255"/>
      <c r="FZV18" s="255"/>
      <c r="FZW18" s="255"/>
      <c r="FZX18" s="255"/>
      <c r="FZY18" s="255"/>
      <c r="FZZ18" s="255"/>
      <c r="GAA18" s="255"/>
      <c r="GAB18" s="255"/>
      <c r="GAC18" s="255"/>
      <c r="GAD18" s="255"/>
      <c r="GAE18" s="255"/>
      <c r="GAF18" s="255"/>
      <c r="GAG18" s="255"/>
      <c r="GAH18" s="255"/>
      <c r="GAI18" s="255"/>
      <c r="GAJ18" s="255"/>
      <c r="GAK18" s="255"/>
      <c r="GAL18" s="255"/>
      <c r="GAM18" s="255"/>
      <c r="GAN18" s="255"/>
      <c r="GAO18" s="255"/>
      <c r="GAP18" s="255"/>
      <c r="GAQ18" s="255"/>
      <c r="GAR18" s="255"/>
      <c r="GAS18" s="255"/>
      <c r="GAT18" s="255"/>
      <c r="GAU18" s="255"/>
      <c r="GAV18" s="255"/>
      <c r="GAW18" s="255"/>
      <c r="GAX18" s="255"/>
      <c r="GAY18" s="255"/>
      <c r="GAZ18" s="255"/>
      <c r="GBA18" s="255"/>
      <c r="GBB18" s="255"/>
      <c r="GBC18" s="255"/>
      <c r="GBD18" s="255"/>
      <c r="GBE18" s="255"/>
      <c r="GBF18" s="255"/>
      <c r="GBG18" s="255"/>
      <c r="GBH18" s="255"/>
      <c r="GBI18" s="255"/>
      <c r="GBJ18" s="255"/>
      <c r="GBK18" s="255"/>
      <c r="GBL18" s="255"/>
      <c r="GBM18" s="255"/>
      <c r="GBN18" s="255"/>
      <c r="GBO18" s="255"/>
      <c r="GBP18" s="255"/>
      <c r="GBQ18" s="255"/>
      <c r="GBR18" s="255"/>
      <c r="GBS18" s="255"/>
      <c r="GBT18" s="255"/>
      <c r="GBU18" s="255"/>
      <c r="GBV18" s="255"/>
      <c r="GBW18" s="255"/>
      <c r="GBX18" s="255"/>
      <c r="GBY18" s="255"/>
      <c r="GBZ18" s="255"/>
      <c r="GCA18" s="255"/>
      <c r="GCB18" s="255"/>
      <c r="GCC18" s="255"/>
      <c r="GCD18" s="255"/>
      <c r="GCE18" s="255"/>
      <c r="GCF18" s="255"/>
      <c r="GCG18" s="255"/>
      <c r="GCH18" s="255"/>
      <c r="GCI18" s="255"/>
      <c r="GCJ18" s="255"/>
      <c r="GCK18" s="255"/>
      <c r="GCL18" s="255"/>
      <c r="GCM18" s="255"/>
      <c r="GCN18" s="255"/>
      <c r="GCO18" s="255"/>
      <c r="GCP18" s="255"/>
      <c r="GCQ18" s="255"/>
      <c r="GCR18" s="255"/>
      <c r="GCS18" s="255"/>
      <c r="GCT18" s="255"/>
      <c r="GCU18" s="255"/>
      <c r="GCV18" s="255"/>
      <c r="GCW18" s="255"/>
      <c r="GCX18" s="255"/>
      <c r="GCY18" s="255"/>
      <c r="GCZ18" s="255"/>
      <c r="GDA18" s="255"/>
      <c r="GDB18" s="255"/>
      <c r="GDC18" s="255"/>
      <c r="GDD18" s="255"/>
      <c r="GDE18" s="255"/>
      <c r="GDF18" s="255"/>
      <c r="GDG18" s="255"/>
      <c r="GDH18" s="255"/>
      <c r="GDI18" s="255"/>
      <c r="GDJ18" s="255"/>
      <c r="GDK18" s="255"/>
      <c r="GDL18" s="255"/>
      <c r="GDM18" s="255"/>
      <c r="GDN18" s="255"/>
      <c r="GDO18" s="255"/>
      <c r="GDP18" s="255"/>
      <c r="GDQ18" s="255"/>
      <c r="GDR18" s="255"/>
      <c r="GDS18" s="255"/>
      <c r="GDT18" s="255"/>
      <c r="GDU18" s="255"/>
      <c r="GDV18" s="255"/>
      <c r="GDW18" s="255"/>
      <c r="GDX18" s="255"/>
      <c r="GDY18" s="255"/>
      <c r="GDZ18" s="255"/>
      <c r="GEA18" s="255"/>
      <c r="GEB18" s="255"/>
      <c r="GEC18" s="255"/>
      <c r="GED18" s="255"/>
      <c r="GEE18" s="255"/>
      <c r="GEF18" s="255"/>
      <c r="GEG18" s="255"/>
      <c r="GEH18" s="255"/>
      <c r="GEI18" s="255"/>
      <c r="GEJ18" s="255"/>
      <c r="GEK18" s="255"/>
      <c r="GEL18" s="255"/>
      <c r="GEM18" s="255"/>
      <c r="GEN18" s="255"/>
      <c r="GEO18" s="255"/>
      <c r="GEP18" s="255"/>
      <c r="GEQ18" s="255"/>
      <c r="GER18" s="255"/>
      <c r="GES18" s="255"/>
      <c r="GET18" s="255"/>
      <c r="GEU18" s="255"/>
      <c r="GEV18" s="255"/>
      <c r="GEW18" s="255"/>
      <c r="GEX18" s="255"/>
      <c r="GEY18" s="255"/>
      <c r="GEZ18" s="255"/>
      <c r="GFA18" s="255"/>
      <c r="GFB18" s="255"/>
      <c r="GFC18" s="255"/>
      <c r="GFD18" s="255"/>
      <c r="GFE18" s="255"/>
      <c r="GFF18" s="255"/>
      <c r="GFG18" s="255"/>
      <c r="GFH18" s="255"/>
      <c r="GFI18" s="255"/>
      <c r="GFJ18" s="255"/>
      <c r="GFK18" s="255"/>
      <c r="GFL18" s="255"/>
      <c r="GFM18" s="255"/>
      <c r="GFN18" s="255"/>
      <c r="GFO18" s="255"/>
      <c r="GFP18" s="255"/>
      <c r="GFQ18" s="255"/>
      <c r="GFR18" s="255"/>
      <c r="GFS18" s="255"/>
      <c r="GFT18" s="255"/>
      <c r="GFU18" s="255"/>
      <c r="GFV18" s="255"/>
      <c r="GFW18" s="255"/>
      <c r="GFX18" s="255"/>
      <c r="GFY18" s="255"/>
      <c r="GFZ18" s="255"/>
      <c r="GGA18" s="255"/>
      <c r="GGB18" s="255"/>
      <c r="GGC18" s="255"/>
      <c r="GGD18" s="255"/>
      <c r="GGE18" s="255"/>
      <c r="GGF18" s="255"/>
      <c r="GGG18" s="255"/>
      <c r="GGH18" s="255"/>
      <c r="GGI18" s="255"/>
      <c r="GGJ18" s="255"/>
      <c r="GGK18" s="255"/>
      <c r="GGL18" s="255"/>
      <c r="GGM18" s="255"/>
      <c r="GGN18" s="255"/>
      <c r="GGO18" s="255"/>
      <c r="GGP18" s="255"/>
      <c r="GGQ18" s="255"/>
      <c r="GGR18" s="255"/>
      <c r="GGS18" s="255"/>
      <c r="GGT18" s="255"/>
      <c r="GGU18" s="255"/>
      <c r="GGV18" s="255"/>
      <c r="GGW18" s="255"/>
      <c r="GGX18" s="255"/>
      <c r="GGY18" s="255"/>
      <c r="GGZ18" s="255"/>
      <c r="GHA18" s="255"/>
      <c r="GHB18" s="255"/>
      <c r="GHC18" s="255"/>
      <c r="GHD18" s="255"/>
      <c r="GHE18" s="255"/>
      <c r="GHF18" s="255"/>
      <c r="GHG18" s="255"/>
      <c r="GHH18" s="255"/>
      <c r="GHI18" s="255"/>
      <c r="GHJ18" s="255"/>
      <c r="GHK18" s="255"/>
      <c r="GHL18" s="255"/>
      <c r="GHM18" s="255"/>
      <c r="GHN18" s="255"/>
      <c r="GHO18" s="255"/>
      <c r="GHP18" s="255"/>
      <c r="GHQ18" s="255"/>
      <c r="GHR18" s="255"/>
      <c r="GHS18" s="255"/>
      <c r="GHT18" s="255"/>
      <c r="GHU18" s="255"/>
      <c r="GHV18" s="255"/>
      <c r="GHW18" s="255"/>
      <c r="GHX18" s="255"/>
      <c r="GHY18" s="255"/>
      <c r="GHZ18" s="255"/>
      <c r="GIA18" s="255"/>
      <c r="GIB18" s="255"/>
      <c r="GIC18" s="255"/>
      <c r="GID18" s="255"/>
      <c r="GIE18" s="255"/>
      <c r="GIF18" s="255"/>
      <c r="GIG18" s="255"/>
      <c r="GIH18" s="255"/>
      <c r="GII18" s="255"/>
      <c r="GIJ18" s="255"/>
      <c r="GIK18" s="255"/>
      <c r="GIL18" s="255"/>
      <c r="GIM18" s="255"/>
      <c r="GIN18" s="255"/>
      <c r="GIO18" s="255"/>
      <c r="GIP18" s="255"/>
      <c r="GIQ18" s="255"/>
      <c r="GIR18" s="255"/>
      <c r="GIS18" s="255"/>
      <c r="GIT18" s="255"/>
      <c r="GIU18" s="255"/>
      <c r="GIV18" s="255"/>
      <c r="GIW18" s="255"/>
      <c r="GIX18" s="255"/>
      <c r="GIY18" s="255"/>
      <c r="GIZ18" s="255"/>
      <c r="GJA18" s="255"/>
      <c r="GJB18" s="255"/>
      <c r="GJC18" s="255"/>
      <c r="GJD18" s="255"/>
      <c r="GJE18" s="255"/>
      <c r="GJF18" s="255"/>
      <c r="GJG18" s="255"/>
      <c r="GJH18" s="255"/>
      <c r="GJI18" s="255"/>
      <c r="GJJ18" s="255"/>
      <c r="GJK18" s="255"/>
      <c r="GJL18" s="255"/>
      <c r="GJM18" s="255"/>
      <c r="GJN18" s="255"/>
      <c r="GJO18" s="255"/>
      <c r="GJP18" s="255"/>
      <c r="GJQ18" s="255"/>
      <c r="GJR18" s="255"/>
      <c r="GJS18" s="255"/>
      <c r="GJT18" s="255"/>
      <c r="GJU18" s="255"/>
      <c r="GJV18" s="255"/>
      <c r="GJW18" s="255"/>
      <c r="GJX18" s="255"/>
      <c r="GJY18" s="255"/>
      <c r="GJZ18" s="255"/>
      <c r="GKA18" s="255"/>
      <c r="GKB18" s="255"/>
      <c r="GKC18" s="255"/>
      <c r="GKD18" s="255"/>
      <c r="GKE18" s="255"/>
      <c r="GKF18" s="255"/>
      <c r="GKG18" s="255"/>
      <c r="GKH18" s="255"/>
      <c r="GKI18" s="255"/>
      <c r="GKJ18" s="255"/>
      <c r="GKK18" s="255"/>
      <c r="GKL18" s="255"/>
      <c r="GKM18" s="255"/>
      <c r="GKN18" s="255"/>
      <c r="GKO18" s="255"/>
      <c r="GKP18" s="255"/>
      <c r="GKQ18" s="255"/>
      <c r="GKR18" s="255"/>
      <c r="GKS18" s="255"/>
      <c r="GKT18" s="255"/>
      <c r="GKU18" s="255"/>
      <c r="GKV18" s="255"/>
      <c r="GKW18" s="255"/>
      <c r="GKX18" s="255"/>
      <c r="GKY18" s="255"/>
      <c r="GKZ18" s="255"/>
      <c r="GLA18" s="255"/>
      <c r="GLB18" s="255"/>
      <c r="GLC18" s="255"/>
      <c r="GLD18" s="255"/>
      <c r="GLE18" s="255"/>
      <c r="GLF18" s="255"/>
      <c r="GLG18" s="255"/>
      <c r="GLH18" s="255"/>
      <c r="GLI18" s="255"/>
      <c r="GLJ18" s="255"/>
      <c r="GLK18" s="255"/>
      <c r="GLL18" s="255"/>
      <c r="GLM18" s="255"/>
      <c r="GLN18" s="255"/>
      <c r="GLO18" s="255"/>
      <c r="GLP18" s="255"/>
      <c r="GLQ18" s="255"/>
      <c r="GLR18" s="255"/>
      <c r="GLS18" s="255"/>
      <c r="GLT18" s="255"/>
      <c r="GLU18" s="255"/>
      <c r="GLV18" s="255"/>
      <c r="GLW18" s="255"/>
      <c r="GLX18" s="255"/>
      <c r="GLY18" s="255"/>
      <c r="GLZ18" s="255"/>
      <c r="GMA18" s="255"/>
      <c r="GMB18" s="255"/>
      <c r="GMC18" s="255"/>
      <c r="GMD18" s="255"/>
      <c r="GME18" s="255"/>
      <c r="GMF18" s="255"/>
      <c r="GMG18" s="255"/>
      <c r="GMH18" s="255"/>
      <c r="GMI18" s="255"/>
      <c r="GMJ18" s="255"/>
      <c r="GMK18" s="255"/>
      <c r="GML18" s="255"/>
      <c r="GMM18" s="255"/>
      <c r="GMN18" s="255"/>
      <c r="GMO18" s="255"/>
      <c r="GMP18" s="255"/>
      <c r="GMQ18" s="255"/>
      <c r="GMR18" s="255"/>
      <c r="GMS18" s="255"/>
      <c r="GMT18" s="255"/>
      <c r="GMU18" s="255"/>
      <c r="GMV18" s="255"/>
      <c r="GMW18" s="255"/>
      <c r="GMX18" s="255"/>
      <c r="GMY18" s="255"/>
      <c r="GMZ18" s="255"/>
      <c r="GNA18" s="255"/>
      <c r="GNB18" s="255"/>
      <c r="GNC18" s="255"/>
      <c r="GND18" s="255"/>
      <c r="GNE18" s="255"/>
      <c r="GNF18" s="255"/>
      <c r="GNG18" s="255"/>
      <c r="GNH18" s="255"/>
      <c r="GNI18" s="255"/>
      <c r="GNJ18" s="255"/>
      <c r="GNK18" s="255"/>
      <c r="GNL18" s="255"/>
      <c r="GNM18" s="255"/>
      <c r="GNN18" s="255"/>
      <c r="GNO18" s="255"/>
      <c r="GNP18" s="255"/>
      <c r="GNQ18" s="255"/>
      <c r="GNR18" s="255"/>
      <c r="GNS18" s="255"/>
      <c r="GNT18" s="255"/>
      <c r="GNU18" s="255"/>
      <c r="GNV18" s="255"/>
      <c r="GNW18" s="255"/>
      <c r="GNX18" s="255"/>
      <c r="GNY18" s="255"/>
      <c r="GNZ18" s="255"/>
      <c r="GOA18" s="255"/>
      <c r="GOB18" s="255"/>
      <c r="GOC18" s="255"/>
      <c r="GOD18" s="255"/>
      <c r="GOE18" s="255"/>
      <c r="GOF18" s="255"/>
      <c r="GOG18" s="255"/>
      <c r="GOH18" s="255"/>
      <c r="GOI18" s="255"/>
      <c r="GOJ18" s="255"/>
      <c r="GOK18" s="255"/>
      <c r="GOL18" s="255"/>
      <c r="GOM18" s="255"/>
      <c r="GON18" s="255"/>
      <c r="GOO18" s="255"/>
      <c r="GOP18" s="255"/>
      <c r="GOQ18" s="255"/>
      <c r="GOR18" s="255"/>
      <c r="GOS18" s="255"/>
      <c r="GOT18" s="255"/>
      <c r="GOU18" s="255"/>
      <c r="GOV18" s="255"/>
      <c r="GOW18" s="255"/>
      <c r="GOX18" s="255"/>
      <c r="GOY18" s="255"/>
      <c r="GOZ18" s="255"/>
      <c r="GPA18" s="255"/>
      <c r="GPB18" s="255"/>
      <c r="GPC18" s="255"/>
      <c r="GPD18" s="255"/>
      <c r="GPE18" s="255"/>
      <c r="GPF18" s="255"/>
      <c r="GPG18" s="255"/>
      <c r="GPH18" s="255"/>
      <c r="GPI18" s="255"/>
      <c r="GPJ18" s="255"/>
      <c r="GPK18" s="255"/>
      <c r="GPL18" s="255"/>
      <c r="GPM18" s="255"/>
      <c r="GPN18" s="255"/>
      <c r="GPO18" s="255"/>
      <c r="GPP18" s="255"/>
      <c r="GPQ18" s="255"/>
      <c r="GPR18" s="255"/>
      <c r="GPS18" s="255"/>
      <c r="GPT18" s="255"/>
      <c r="GPU18" s="255"/>
      <c r="GPV18" s="255"/>
      <c r="GPW18" s="255"/>
      <c r="GPX18" s="255"/>
      <c r="GPY18" s="255"/>
      <c r="GPZ18" s="255"/>
      <c r="GQA18" s="255"/>
      <c r="GQB18" s="255"/>
      <c r="GQC18" s="255"/>
      <c r="GQD18" s="255"/>
      <c r="GQE18" s="255"/>
      <c r="GQF18" s="255"/>
      <c r="GQG18" s="255"/>
      <c r="GQH18" s="255"/>
      <c r="GQI18" s="255"/>
      <c r="GQJ18" s="255"/>
      <c r="GQK18" s="255"/>
      <c r="GQL18" s="255"/>
      <c r="GQM18" s="255"/>
      <c r="GQN18" s="255"/>
      <c r="GQO18" s="255"/>
      <c r="GQP18" s="255"/>
      <c r="GQQ18" s="255"/>
      <c r="GQR18" s="255"/>
      <c r="GQS18" s="255"/>
      <c r="GQT18" s="255"/>
      <c r="GQU18" s="255"/>
      <c r="GQV18" s="255"/>
      <c r="GQW18" s="255"/>
      <c r="GQX18" s="255"/>
      <c r="GQY18" s="255"/>
      <c r="GQZ18" s="255"/>
      <c r="GRA18" s="255"/>
      <c r="GRB18" s="255"/>
      <c r="GRC18" s="255"/>
      <c r="GRD18" s="255"/>
      <c r="GRE18" s="255"/>
      <c r="GRF18" s="255"/>
      <c r="GRG18" s="255"/>
      <c r="GRH18" s="255"/>
      <c r="GRI18" s="255"/>
      <c r="GRJ18" s="255"/>
      <c r="GRK18" s="255"/>
      <c r="GRL18" s="255"/>
      <c r="GRM18" s="255"/>
      <c r="GRN18" s="255"/>
      <c r="GRO18" s="255"/>
      <c r="GRP18" s="255"/>
      <c r="GRQ18" s="255"/>
      <c r="GRR18" s="255"/>
      <c r="GRS18" s="255"/>
      <c r="GRT18" s="255"/>
      <c r="GRU18" s="255"/>
      <c r="GRV18" s="255"/>
      <c r="GRW18" s="255"/>
      <c r="GRX18" s="255"/>
      <c r="GRY18" s="255"/>
      <c r="GRZ18" s="255"/>
      <c r="GSA18" s="255"/>
      <c r="GSB18" s="255"/>
      <c r="GSC18" s="255"/>
      <c r="GSD18" s="255"/>
      <c r="GSE18" s="255"/>
      <c r="GSF18" s="255"/>
      <c r="GSG18" s="255"/>
      <c r="GSH18" s="255"/>
      <c r="GSI18" s="255"/>
      <c r="GSJ18" s="255"/>
      <c r="GSK18" s="255"/>
      <c r="GSL18" s="255"/>
      <c r="GSM18" s="255"/>
      <c r="GSN18" s="255"/>
      <c r="GSO18" s="255"/>
      <c r="GSP18" s="255"/>
      <c r="GSQ18" s="255"/>
      <c r="GSR18" s="255"/>
      <c r="GSS18" s="255"/>
      <c r="GST18" s="255"/>
      <c r="GSU18" s="255"/>
      <c r="GSV18" s="255"/>
      <c r="GSW18" s="255"/>
      <c r="GSX18" s="255"/>
      <c r="GSY18" s="255"/>
      <c r="GSZ18" s="255"/>
      <c r="GTA18" s="255"/>
      <c r="GTB18" s="255"/>
      <c r="GTC18" s="255"/>
      <c r="GTD18" s="255"/>
      <c r="GTE18" s="255"/>
      <c r="GTF18" s="255"/>
      <c r="GTG18" s="255"/>
      <c r="GTH18" s="255"/>
      <c r="GTI18" s="255"/>
      <c r="GTJ18" s="255"/>
      <c r="GTK18" s="255"/>
      <c r="GTL18" s="255"/>
      <c r="GTM18" s="255"/>
      <c r="GTN18" s="255"/>
      <c r="GTO18" s="255"/>
      <c r="GTP18" s="255"/>
      <c r="GTQ18" s="255"/>
      <c r="GTR18" s="255"/>
      <c r="GTS18" s="255"/>
      <c r="GTT18" s="255"/>
      <c r="GTU18" s="255"/>
      <c r="GTV18" s="255"/>
      <c r="GTW18" s="255"/>
      <c r="GTX18" s="255"/>
      <c r="GTY18" s="255"/>
      <c r="GTZ18" s="255"/>
      <c r="GUA18" s="255"/>
      <c r="GUB18" s="255"/>
      <c r="GUC18" s="255"/>
      <c r="GUD18" s="255"/>
      <c r="GUE18" s="255"/>
      <c r="GUF18" s="255"/>
      <c r="GUG18" s="255"/>
      <c r="GUH18" s="255"/>
      <c r="GUI18" s="255"/>
      <c r="GUJ18" s="255"/>
      <c r="GUK18" s="255"/>
      <c r="GUL18" s="255"/>
      <c r="GUM18" s="255"/>
      <c r="GUN18" s="255"/>
      <c r="GUO18" s="255"/>
      <c r="GUP18" s="255"/>
      <c r="GUQ18" s="255"/>
      <c r="GUR18" s="255"/>
      <c r="GUS18" s="255"/>
      <c r="GUT18" s="255"/>
      <c r="GUU18" s="255"/>
      <c r="GUV18" s="255"/>
      <c r="GUW18" s="255"/>
      <c r="GUX18" s="255"/>
      <c r="GUY18" s="255"/>
      <c r="GUZ18" s="255"/>
      <c r="GVA18" s="255"/>
      <c r="GVB18" s="255"/>
      <c r="GVC18" s="255"/>
      <c r="GVD18" s="255"/>
      <c r="GVE18" s="255"/>
      <c r="GVF18" s="255"/>
      <c r="GVG18" s="255"/>
      <c r="GVH18" s="255"/>
      <c r="GVI18" s="255"/>
      <c r="GVJ18" s="255"/>
      <c r="GVK18" s="255"/>
      <c r="GVL18" s="255"/>
      <c r="GVM18" s="255"/>
      <c r="GVN18" s="255"/>
      <c r="GVO18" s="255"/>
      <c r="GVP18" s="255"/>
      <c r="GVQ18" s="255"/>
      <c r="GVR18" s="255"/>
      <c r="GVS18" s="255"/>
      <c r="GVT18" s="255"/>
      <c r="GVU18" s="255"/>
      <c r="GVV18" s="255"/>
      <c r="GVW18" s="255"/>
      <c r="GVX18" s="255"/>
      <c r="GVY18" s="255"/>
      <c r="GVZ18" s="255"/>
      <c r="GWA18" s="255"/>
      <c r="GWB18" s="255"/>
      <c r="GWC18" s="255"/>
      <c r="GWD18" s="255"/>
      <c r="GWE18" s="255"/>
      <c r="GWF18" s="255"/>
      <c r="GWG18" s="255"/>
      <c r="GWH18" s="255"/>
      <c r="GWI18" s="255"/>
      <c r="GWJ18" s="255"/>
      <c r="GWK18" s="255"/>
      <c r="GWL18" s="255"/>
      <c r="GWM18" s="255"/>
      <c r="GWN18" s="255"/>
      <c r="GWO18" s="255"/>
      <c r="GWP18" s="255"/>
      <c r="GWQ18" s="255"/>
      <c r="GWR18" s="255"/>
      <c r="GWS18" s="255"/>
      <c r="GWT18" s="255"/>
      <c r="GWU18" s="255"/>
      <c r="GWV18" s="255"/>
      <c r="GWW18" s="255"/>
      <c r="GWX18" s="255"/>
      <c r="GWY18" s="255"/>
      <c r="GWZ18" s="255"/>
      <c r="GXA18" s="255"/>
      <c r="GXB18" s="255"/>
      <c r="GXC18" s="255"/>
      <c r="GXD18" s="255"/>
      <c r="GXE18" s="255"/>
      <c r="GXF18" s="255"/>
      <c r="GXG18" s="255"/>
      <c r="GXH18" s="255"/>
      <c r="GXI18" s="255"/>
      <c r="GXJ18" s="255"/>
      <c r="GXK18" s="255"/>
      <c r="GXL18" s="255"/>
      <c r="GXM18" s="255"/>
      <c r="GXN18" s="255"/>
      <c r="GXO18" s="255"/>
      <c r="GXP18" s="255"/>
      <c r="GXQ18" s="255"/>
      <c r="GXR18" s="255"/>
      <c r="GXS18" s="255"/>
      <c r="GXT18" s="255"/>
      <c r="GXU18" s="255"/>
      <c r="GXV18" s="255"/>
      <c r="GXW18" s="255"/>
      <c r="GXX18" s="255"/>
      <c r="GXY18" s="255"/>
      <c r="GXZ18" s="255"/>
      <c r="GYA18" s="255"/>
      <c r="GYB18" s="255"/>
      <c r="GYC18" s="255"/>
      <c r="GYD18" s="255"/>
      <c r="GYE18" s="255"/>
      <c r="GYF18" s="255"/>
      <c r="GYG18" s="255"/>
      <c r="GYH18" s="255"/>
      <c r="GYI18" s="255"/>
      <c r="GYJ18" s="255"/>
      <c r="GYK18" s="255"/>
      <c r="GYL18" s="255"/>
      <c r="GYM18" s="255"/>
      <c r="GYN18" s="255"/>
      <c r="GYO18" s="255"/>
      <c r="GYP18" s="255"/>
      <c r="GYQ18" s="255"/>
      <c r="GYR18" s="255"/>
      <c r="GYS18" s="255"/>
      <c r="GYT18" s="255"/>
      <c r="GYU18" s="255"/>
      <c r="GYV18" s="255"/>
      <c r="GYW18" s="255"/>
      <c r="GYX18" s="255"/>
      <c r="GYY18" s="255"/>
      <c r="GYZ18" s="255"/>
      <c r="GZA18" s="255"/>
      <c r="GZB18" s="255"/>
      <c r="GZC18" s="255"/>
      <c r="GZD18" s="255"/>
      <c r="GZE18" s="255"/>
      <c r="GZF18" s="255"/>
      <c r="GZG18" s="255"/>
      <c r="GZH18" s="255"/>
      <c r="GZI18" s="255"/>
      <c r="GZJ18" s="255"/>
      <c r="GZK18" s="255"/>
      <c r="GZL18" s="255"/>
      <c r="GZM18" s="255"/>
      <c r="GZN18" s="255"/>
      <c r="GZO18" s="255"/>
      <c r="GZP18" s="255"/>
      <c r="GZQ18" s="255"/>
      <c r="GZR18" s="255"/>
      <c r="GZS18" s="255"/>
      <c r="GZT18" s="255"/>
      <c r="GZU18" s="255"/>
      <c r="GZV18" s="255"/>
      <c r="GZW18" s="255"/>
      <c r="GZX18" s="255"/>
      <c r="GZY18" s="255"/>
      <c r="GZZ18" s="255"/>
      <c r="HAA18" s="255"/>
      <c r="HAB18" s="255"/>
      <c r="HAC18" s="255"/>
      <c r="HAD18" s="255"/>
      <c r="HAE18" s="255"/>
      <c r="HAF18" s="255"/>
      <c r="HAG18" s="255"/>
      <c r="HAH18" s="255"/>
      <c r="HAI18" s="255"/>
      <c r="HAJ18" s="255"/>
      <c r="HAK18" s="255"/>
      <c r="HAL18" s="255"/>
      <c r="HAM18" s="255"/>
      <c r="HAN18" s="255"/>
      <c r="HAO18" s="255"/>
      <c r="HAP18" s="255"/>
      <c r="HAQ18" s="255"/>
      <c r="HAR18" s="255"/>
      <c r="HAS18" s="255"/>
      <c r="HAT18" s="255"/>
      <c r="HAU18" s="255"/>
      <c r="HAV18" s="255"/>
      <c r="HAW18" s="255"/>
      <c r="HAX18" s="255"/>
      <c r="HAY18" s="255"/>
      <c r="HAZ18" s="255"/>
      <c r="HBA18" s="255"/>
      <c r="HBB18" s="255"/>
      <c r="HBC18" s="255"/>
      <c r="HBD18" s="255"/>
      <c r="HBE18" s="255"/>
      <c r="HBF18" s="255"/>
      <c r="HBG18" s="255"/>
      <c r="HBH18" s="255"/>
      <c r="HBI18" s="255"/>
      <c r="HBJ18" s="255"/>
      <c r="HBK18" s="255"/>
      <c r="HBL18" s="255"/>
      <c r="HBM18" s="255"/>
      <c r="HBN18" s="255"/>
      <c r="HBO18" s="255"/>
      <c r="HBP18" s="255"/>
      <c r="HBQ18" s="255"/>
      <c r="HBR18" s="255"/>
      <c r="HBS18" s="255"/>
      <c r="HBT18" s="255"/>
      <c r="HBU18" s="255"/>
      <c r="HBV18" s="255"/>
      <c r="HBW18" s="255"/>
      <c r="HBX18" s="255"/>
      <c r="HBY18" s="255"/>
      <c r="HBZ18" s="255"/>
      <c r="HCA18" s="255"/>
      <c r="HCB18" s="255"/>
      <c r="HCC18" s="255"/>
      <c r="HCD18" s="255"/>
      <c r="HCE18" s="255"/>
      <c r="HCF18" s="255"/>
      <c r="HCG18" s="255"/>
      <c r="HCH18" s="255"/>
      <c r="HCI18" s="255"/>
      <c r="HCJ18" s="255"/>
      <c r="HCK18" s="255"/>
      <c r="HCL18" s="255"/>
      <c r="HCM18" s="255"/>
      <c r="HCN18" s="255"/>
      <c r="HCO18" s="255"/>
      <c r="HCP18" s="255"/>
      <c r="HCQ18" s="255"/>
      <c r="HCR18" s="255"/>
      <c r="HCS18" s="255"/>
      <c r="HCT18" s="255"/>
      <c r="HCU18" s="255"/>
      <c r="HCV18" s="255"/>
      <c r="HCW18" s="255"/>
      <c r="HCX18" s="255"/>
      <c r="HCY18" s="255"/>
      <c r="HCZ18" s="255"/>
      <c r="HDA18" s="255"/>
      <c r="HDB18" s="255"/>
      <c r="HDC18" s="255"/>
      <c r="HDD18" s="255"/>
      <c r="HDE18" s="255"/>
      <c r="HDF18" s="255"/>
      <c r="HDG18" s="255"/>
      <c r="HDH18" s="255"/>
      <c r="HDI18" s="255"/>
      <c r="HDJ18" s="255"/>
      <c r="HDK18" s="255"/>
      <c r="HDL18" s="255"/>
      <c r="HDM18" s="255"/>
      <c r="HDN18" s="255"/>
      <c r="HDO18" s="255"/>
      <c r="HDP18" s="255"/>
      <c r="HDQ18" s="255"/>
      <c r="HDR18" s="255"/>
      <c r="HDS18" s="255"/>
      <c r="HDT18" s="255"/>
      <c r="HDU18" s="255"/>
      <c r="HDV18" s="255"/>
      <c r="HDW18" s="255"/>
      <c r="HDX18" s="255"/>
      <c r="HDY18" s="255"/>
      <c r="HDZ18" s="255"/>
      <c r="HEA18" s="255"/>
      <c r="HEB18" s="255"/>
      <c r="HEC18" s="255"/>
      <c r="HED18" s="255"/>
      <c r="HEE18" s="255"/>
      <c r="HEF18" s="255"/>
      <c r="HEG18" s="255"/>
      <c r="HEH18" s="255"/>
      <c r="HEI18" s="255"/>
      <c r="HEJ18" s="255"/>
      <c r="HEK18" s="255"/>
      <c r="HEL18" s="255"/>
      <c r="HEM18" s="255"/>
      <c r="HEN18" s="255"/>
      <c r="HEO18" s="255"/>
      <c r="HEP18" s="255"/>
      <c r="HEQ18" s="255"/>
      <c r="HER18" s="255"/>
      <c r="HES18" s="255"/>
      <c r="HET18" s="255"/>
      <c r="HEU18" s="255"/>
      <c r="HEV18" s="255"/>
      <c r="HEW18" s="255"/>
      <c r="HEX18" s="255"/>
      <c r="HEY18" s="255"/>
      <c r="HEZ18" s="255"/>
      <c r="HFA18" s="255"/>
      <c r="HFB18" s="255"/>
      <c r="HFC18" s="255"/>
      <c r="HFD18" s="255"/>
      <c r="HFE18" s="255"/>
      <c r="HFF18" s="255"/>
      <c r="HFG18" s="255"/>
      <c r="HFH18" s="255"/>
      <c r="HFI18" s="255"/>
      <c r="HFJ18" s="255"/>
      <c r="HFK18" s="255"/>
      <c r="HFL18" s="255"/>
      <c r="HFM18" s="255"/>
      <c r="HFN18" s="255"/>
      <c r="HFO18" s="255"/>
      <c r="HFP18" s="255"/>
      <c r="HFQ18" s="255"/>
      <c r="HFR18" s="255"/>
      <c r="HFS18" s="255"/>
      <c r="HFT18" s="255"/>
      <c r="HFU18" s="255"/>
      <c r="HFV18" s="255"/>
      <c r="HFW18" s="255"/>
      <c r="HFX18" s="255"/>
      <c r="HFY18" s="255"/>
      <c r="HFZ18" s="255"/>
      <c r="HGA18" s="255"/>
      <c r="HGB18" s="255"/>
      <c r="HGC18" s="255"/>
      <c r="HGD18" s="255"/>
      <c r="HGE18" s="255"/>
      <c r="HGF18" s="255"/>
      <c r="HGG18" s="255"/>
      <c r="HGH18" s="255"/>
      <c r="HGI18" s="255"/>
      <c r="HGJ18" s="255"/>
      <c r="HGK18" s="255"/>
      <c r="HGL18" s="255"/>
      <c r="HGM18" s="255"/>
      <c r="HGN18" s="255"/>
      <c r="HGO18" s="255"/>
      <c r="HGP18" s="255"/>
      <c r="HGQ18" s="255"/>
      <c r="HGR18" s="255"/>
      <c r="HGS18" s="255"/>
      <c r="HGT18" s="255"/>
      <c r="HGU18" s="255"/>
      <c r="HGV18" s="255"/>
      <c r="HGW18" s="255"/>
      <c r="HGX18" s="255"/>
      <c r="HGY18" s="255"/>
      <c r="HGZ18" s="255"/>
      <c r="HHA18" s="255"/>
      <c r="HHB18" s="255"/>
      <c r="HHC18" s="255"/>
      <c r="HHD18" s="255"/>
      <c r="HHE18" s="255"/>
      <c r="HHF18" s="255"/>
      <c r="HHG18" s="255"/>
      <c r="HHH18" s="255"/>
      <c r="HHI18" s="255"/>
      <c r="HHJ18" s="255"/>
      <c r="HHK18" s="255"/>
      <c r="HHL18" s="255"/>
      <c r="HHM18" s="255"/>
      <c r="HHN18" s="255"/>
      <c r="HHO18" s="255"/>
      <c r="HHP18" s="255"/>
      <c r="HHQ18" s="255"/>
      <c r="HHR18" s="255"/>
      <c r="HHS18" s="255"/>
      <c r="HHT18" s="255"/>
      <c r="HHU18" s="255"/>
      <c r="HHV18" s="255"/>
      <c r="HHW18" s="255"/>
      <c r="HHX18" s="255"/>
      <c r="HHY18" s="255"/>
      <c r="HHZ18" s="255"/>
      <c r="HIA18" s="255"/>
      <c r="HIB18" s="255"/>
      <c r="HIC18" s="255"/>
      <c r="HID18" s="255"/>
      <c r="HIE18" s="255"/>
      <c r="HIF18" s="255"/>
      <c r="HIG18" s="255"/>
      <c r="HIH18" s="255"/>
      <c r="HII18" s="255"/>
      <c r="HIJ18" s="255"/>
      <c r="HIK18" s="255"/>
      <c r="HIL18" s="255"/>
      <c r="HIM18" s="255"/>
      <c r="HIN18" s="255"/>
      <c r="HIO18" s="255"/>
      <c r="HIP18" s="255"/>
      <c r="HIQ18" s="255"/>
      <c r="HIR18" s="255"/>
      <c r="HIS18" s="255"/>
      <c r="HIT18" s="255"/>
      <c r="HIU18" s="255"/>
      <c r="HIV18" s="255"/>
      <c r="HIW18" s="255"/>
      <c r="HIX18" s="255"/>
      <c r="HIY18" s="255"/>
      <c r="HIZ18" s="255"/>
      <c r="HJA18" s="255"/>
      <c r="HJB18" s="255"/>
      <c r="HJC18" s="255"/>
      <c r="HJD18" s="255"/>
      <c r="HJE18" s="255"/>
      <c r="HJF18" s="255"/>
      <c r="HJG18" s="255"/>
      <c r="HJH18" s="255"/>
      <c r="HJI18" s="255"/>
      <c r="HJJ18" s="255"/>
      <c r="HJK18" s="255"/>
      <c r="HJL18" s="255"/>
      <c r="HJM18" s="255"/>
      <c r="HJN18" s="255"/>
      <c r="HJO18" s="255"/>
      <c r="HJP18" s="255"/>
      <c r="HJQ18" s="255"/>
      <c r="HJR18" s="255"/>
      <c r="HJS18" s="255"/>
      <c r="HJT18" s="255"/>
      <c r="HJU18" s="255"/>
      <c r="HJV18" s="255"/>
      <c r="HJW18" s="255"/>
      <c r="HJX18" s="255"/>
      <c r="HJY18" s="255"/>
      <c r="HJZ18" s="255"/>
      <c r="HKA18" s="255"/>
      <c r="HKB18" s="255"/>
      <c r="HKC18" s="255"/>
      <c r="HKD18" s="255"/>
      <c r="HKE18" s="255"/>
      <c r="HKF18" s="255"/>
      <c r="HKG18" s="255"/>
      <c r="HKH18" s="255"/>
      <c r="HKI18" s="255"/>
      <c r="HKJ18" s="255"/>
      <c r="HKK18" s="255"/>
      <c r="HKL18" s="255"/>
      <c r="HKM18" s="255"/>
      <c r="HKN18" s="255"/>
      <c r="HKO18" s="255"/>
      <c r="HKP18" s="255"/>
      <c r="HKQ18" s="255"/>
      <c r="HKR18" s="255"/>
      <c r="HKS18" s="255"/>
      <c r="HKT18" s="255"/>
      <c r="HKU18" s="255"/>
      <c r="HKV18" s="255"/>
      <c r="HKW18" s="255"/>
      <c r="HKX18" s="255"/>
      <c r="HKY18" s="255"/>
      <c r="HKZ18" s="255"/>
      <c r="HLA18" s="255"/>
      <c r="HLB18" s="255"/>
      <c r="HLC18" s="255"/>
      <c r="HLD18" s="255"/>
      <c r="HLE18" s="255"/>
      <c r="HLF18" s="255"/>
      <c r="HLG18" s="255"/>
      <c r="HLH18" s="255"/>
      <c r="HLI18" s="255"/>
      <c r="HLJ18" s="255"/>
      <c r="HLK18" s="255"/>
      <c r="HLL18" s="255"/>
      <c r="HLM18" s="255"/>
      <c r="HLN18" s="255"/>
      <c r="HLO18" s="255"/>
      <c r="HLP18" s="255"/>
      <c r="HLQ18" s="255"/>
      <c r="HLR18" s="255"/>
      <c r="HLS18" s="255"/>
      <c r="HLT18" s="255"/>
      <c r="HLU18" s="255"/>
      <c r="HLV18" s="255"/>
      <c r="HLW18" s="255"/>
      <c r="HLX18" s="255"/>
      <c r="HLY18" s="255"/>
      <c r="HLZ18" s="255"/>
      <c r="HMA18" s="255"/>
      <c r="HMB18" s="255"/>
      <c r="HMC18" s="255"/>
      <c r="HMD18" s="255"/>
      <c r="HME18" s="255"/>
      <c r="HMF18" s="255"/>
      <c r="HMG18" s="255"/>
      <c r="HMH18" s="255"/>
      <c r="HMI18" s="255"/>
      <c r="HMJ18" s="255"/>
      <c r="HMK18" s="255"/>
      <c r="HML18" s="255"/>
      <c r="HMM18" s="255"/>
      <c r="HMN18" s="255"/>
      <c r="HMO18" s="255"/>
      <c r="HMP18" s="255"/>
      <c r="HMQ18" s="255"/>
      <c r="HMR18" s="255"/>
      <c r="HMS18" s="255"/>
      <c r="HMT18" s="255"/>
      <c r="HMU18" s="255"/>
      <c r="HMV18" s="255"/>
      <c r="HMW18" s="255"/>
      <c r="HMX18" s="255"/>
      <c r="HMY18" s="255"/>
      <c r="HMZ18" s="255"/>
      <c r="HNA18" s="255"/>
      <c r="HNB18" s="255"/>
      <c r="HNC18" s="255"/>
      <c r="HND18" s="255"/>
      <c r="HNE18" s="255"/>
      <c r="HNF18" s="255"/>
      <c r="HNG18" s="255"/>
      <c r="HNH18" s="255"/>
      <c r="HNI18" s="255"/>
      <c r="HNJ18" s="255"/>
      <c r="HNK18" s="255"/>
      <c r="HNL18" s="255"/>
      <c r="HNM18" s="255"/>
      <c r="HNN18" s="255"/>
      <c r="HNO18" s="255"/>
      <c r="HNP18" s="255"/>
      <c r="HNQ18" s="255"/>
      <c r="HNR18" s="255"/>
      <c r="HNS18" s="255"/>
      <c r="HNT18" s="255"/>
      <c r="HNU18" s="255"/>
      <c r="HNV18" s="255"/>
      <c r="HNW18" s="255"/>
      <c r="HNX18" s="255"/>
      <c r="HNY18" s="255"/>
      <c r="HNZ18" s="255"/>
      <c r="HOA18" s="255"/>
      <c r="HOB18" s="255"/>
      <c r="HOC18" s="255"/>
      <c r="HOD18" s="255"/>
      <c r="HOE18" s="255"/>
      <c r="HOF18" s="255"/>
      <c r="HOG18" s="255"/>
      <c r="HOH18" s="255"/>
      <c r="HOI18" s="255"/>
      <c r="HOJ18" s="255"/>
      <c r="HOK18" s="255"/>
      <c r="HOL18" s="255"/>
      <c r="HOM18" s="255"/>
      <c r="HON18" s="255"/>
      <c r="HOO18" s="255"/>
      <c r="HOP18" s="255"/>
      <c r="HOQ18" s="255"/>
      <c r="HOR18" s="255"/>
      <c r="HOS18" s="255"/>
      <c r="HOT18" s="255"/>
      <c r="HOU18" s="255"/>
      <c r="HOV18" s="255"/>
      <c r="HOW18" s="255"/>
      <c r="HOX18" s="255"/>
      <c r="HOY18" s="255"/>
      <c r="HOZ18" s="255"/>
      <c r="HPA18" s="255"/>
      <c r="HPB18" s="255"/>
      <c r="HPC18" s="255"/>
      <c r="HPD18" s="255"/>
      <c r="HPE18" s="255"/>
      <c r="HPF18" s="255"/>
      <c r="HPG18" s="255"/>
      <c r="HPH18" s="255"/>
      <c r="HPI18" s="255"/>
      <c r="HPJ18" s="255"/>
      <c r="HPK18" s="255"/>
      <c r="HPL18" s="255"/>
      <c r="HPM18" s="255"/>
      <c r="HPN18" s="255"/>
      <c r="HPO18" s="255"/>
      <c r="HPP18" s="255"/>
      <c r="HPQ18" s="255"/>
      <c r="HPR18" s="255"/>
      <c r="HPS18" s="255"/>
      <c r="HPT18" s="255"/>
      <c r="HPU18" s="255"/>
      <c r="HPV18" s="255"/>
      <c r="HPW18" s="255"/>
      <c r="HPX18" s="255"/>
      <c r="HPY18" s="255"/>
      <c r="HPZ18" s="255"/>
      <c r="HQA18" s="255"/>
      <c r="HQB18" s="255"/>
      <c r="HQC18" s="255"/>
      <c r="HQD18" s="255"/>
      <c r="HQE18" s="255"/>
      <c r="HQF18" s="255"/>
      <c r="HQG18" s="255"/>
      <c r="HQH18" s="255"/>
      <c r="HQI18" s="255"/>
      <c r="HQJ18" s="255"/>
      <c r="HQK18" s="255"/>
      <c r="HQL18" s="255"/>
      <c r="HQM18" s="255"/>
      <c r="HQN18" s="255"/>
      <c r="HQO18" s="255"/>
      <c r="HQP18" s="255"/>
      <c r="HQQ18" s="255"/>
      <c r="HQR18" s="255"/>
      <c r="HQS18" s="255"/>
      <c r="HQT18" s="255"/>
      <c r="HQU18" s="255"/>
      <c r="HQV18" s="255"/>
      <c r="HQW18" s="255"/>
      <c r="HQX18" s="255"/>
      <c r="HQY18" s="255"/>
      <c r="HQZ18" s="255"/>
      <c r="HRA18" s="255"/>
      <c r="HRB18" s="255"/>
      <c r="HRC18" s="255"/>
      <c r="HRD18" s="255"/>
      <c r="HRE18" s="255"/>
      <c r="HRF18" s="255"/>
      <c r="HRG18" s="255"/>
      <c r="HRH18" s="255"/>
      <c r="HRI18" s="255"/>
      <c r="HRJ18" s="255"/>
      <c r="HRK18" s="255"/>
      <c r="HRL18" s="255"/>
      <c r="HRM18" s="255"/>
      <c r="HRN18" s="255"/>
      <c r="HRO18" s="255"/>
      <c r="HRP18" s="255"/>
      <c r="HRQ18" s="255"/>
      <c r="HRR18" s="255"/>
      <c r="HRS18" s="255"/>
      <c r="HRT18" s="255"/>
      <c r="HRU18" s="255"/>
      <c r="HRV18" s="255"/>
      <c r="HRW18" s="255"/>
      <c r="HRX18" s="255"/>
      <c r="HRY18" s="255"/>
      <c r="HRZ18" s="255"/>
      <c r="HSA18" s="255"/>
      <c r="HSB18" s="255"/>
      <c r="HSC18" s="255"/>
      <c r="HSD18" s="255"/>
      <c r="HSE18" s="255"/>
      <c r="HSF18" s="255"/>
      <c r="HSG18" s="255"/>
      <c r="HSH18" s="255"/>
      <c r="HSI18" s="255"/>
      <c r="HSJ18" s="255"/>
      <c r="HSK18" s="255"/>
      <c r="HSL18" s="255"/>
      <c r="HSM18" s="255"/>
      <c r="HSN18" s="255"/>
      <c r="HSO18" s="255"/>
      <c r="HSP18" s="255"/>
      <c r="HSQ18" s="255"/>
      <c r="HSR18" s="255"/>
      <c r="HSS18" s="255"/>
      <c r="HST18" s="255"/>
      <c r="HSU18" s="255"/>
      <c r="HSV18" s="255"/>
      <c r="HSW18" s="255"/>
      <c r="HSX18" s="255"/>
      <c r="HSY18" s="255"/>
      <c r="HSZ18" s="255"/>
      <c r="HTA18" s="255"/>
      <c r="HTB18" s="255"/>
      <c r="HTC18" s="255"/>
      <c r="HTD18" s="255"/>
      <c r="HTE18" s="255"/>
      <c r="HTF18" s="255"/>
      <c r="HTG18" s="255"/>
      <c r="HTH18" s="255"/>
      <c r="HTI18" s="255"/>
      <c r="HTJ18" s="255"/>
      <c r="HTK18" s="255"/>
      <c r="HTL18" s="255"/>
      <c r="HTM18" s="255"/>
      <c r="HTN18" s="255"/>
      <c r="HTO18" s="255"/>
      <c r="HTP18" s="255"/>
      <c r="HTQ18" s="255"/>
      <c r="HTR18" s="255"/>
      <c r="HTS18" s="255"/>
      <c r="HTT18" s="255"/>
      <c r="HTU18" s="255"/>
      <c r="HTV18" s="255"/>
      <c r="HTW18" s="255"/>
      <c r="HTX18" s="255"/>
      <c r="HTY18" s="255"/>
      <c r="HTZ18" s="255"/>
      <c r="HUA18" s="255"/>
      <c r="HUB18" s="255"/>
      <c r="HUC18" s="255"/>
      <c r="HUD18" s="255"/>
      <c r="HUE18" s="255"/>
      <c r="HUF18" s="255"/>
      <c r="HUG18" s="255"/>
      <c r="HUH18" s="255"/>
      <c r="HUI18" s="255"/>
      <c r="HUJ18" s="255"/>
      <c r="HUK18" s="255"/>
      <c r="HUL18" s="255"/>
      <c r="HUM18" s="255"/>
      <c r="HUN18" s="255"/>
      <c r="HUO18" s="255"/>
      <c r="HUP18" s="255"/>
      <c r="HUQ18" s="255"/>
      <c r="HUR18" s="255"/>
      <c r="HUS18" s="255"/>
      <c r="HUT18" s="255"/>
      <c r="HUU18" s="255"/>
      <c r="HUV18" s="255"/>
      <c r="HUW18" s="255"/>
      <c r="HUX18" s="255"/>
      <c r="HUY18" s="255"/>
      <c r="HUZ18" s="255"/>
      <c r="HVA18" s="255"/>
      <c r="HVB18" s="255"/>
      <c r="HVC18" s="255"/>
      <c r="HVD18" s="255"/>
      <c r="HVE18" s="255"/>
      <c r="HVF18" s="255"/>
      <c r="HVG18" s="255"/>
      <c r="HVH18" s="255"/>
      <c r="HVI18" s="255"/>
      <c r="HVJ18" s="255"/>
      <c r="HVK18" s="255"/>
      <c r="HVL18" s="255"/>
      <c r="HVM18" s="255"/>
      <c r="HVN18" s="255"/>
      <c r="HVO18" s="255"/>
      <c r="HVP18" s="255"/>
      <c r="HVQ18" s="255"/>
      <c r="HVR18" s="255"/>
      <c r="HVS18" s="255"/>
      <c r="HVT18" s="255"/>
      <c r="HVU18" s="255"/>
      <c r="HVV18" s="255"/>
      <c r="HVW18" s="255"/>
      <c r="HVX18" s="255"/>
      <c r="HVY18" s="255"/>
      <c r="HVZ18" s="255"/>
      <c r="HWA18" s="255"/>
      <c r="HWB18" s="255"/>
      <c r="HWC18" s="255"/>
      <c r="HWD18" s="255"/>
      <c r="HWE18" s="255"/>
      <c r="HWF18" s="255"/>
      <c r="HWG18" s="255"/>
      <c r="HWH18" s="255"/>
      <c r="HWI18" s="255"/>
      <c r="HWJ18" s="255"/>
      <c r="HWK18" s="255"/>
      <c r="HWL18" s="255"/>
      <c r="HWM18" s="255"/>
      <c r="HWN18" s="255"/>
      <c r="HWO18" s="255"/>
      <c r="HWP18" s="255"/>
      <c r="HWQ18" s="255"/>
      <c r="HWR18" s="255"/>
      <c r="HWS18" s="255"/>
      <c r="HWT18" s="255"/>
      <c r="HWU18" s="255"/>
      <c r="HWV18" s="255"/>
      <c r="HWW18" s="255"/>
      <c r="HWX18" s="255"/>
      <c r="HWY18" s="255"/>
      <c r="HWZ18" s="255"/>
      <c r="HXA18" s="255"/>
      <c r="HXB18" s="255"/>
      <c r="HXC18" s="255"/>
      <c r="HXD18" s="255"/>
      <c r="HXE18" s="255"/>
      <c r="HXF18" s="255"/>
      <c r="HXG18" s="255"/>
      <c r="HXH18" s="255"/>
      <c r="HXI18" s="255"/>
      <c r="HXJ18" s="255"/>
      <c r="HXK18" s="255"/>
      <c r="HXL18" s="255"/>
      <c r="HXM18" s="255"/>
      <c r="HXN18" s="255"/>
      <c r="HXO18" s="255"/>
      <c r="HXP18" s="255"/>
      <c r="HXQ18" s="255"/>
      <c r="HXR18" s="255"/>
      <c r="HXS18" s="255"/>
      <c r="HXT18" s="255"/>
      <c r="HXU18" s="255"/>
      <c r="HXV18" s="255"/>
      <c r="HXW18" s="255"/>
      <c r="HXX18" s="255"/>
      <c r="HXY18" s="255"/>
      <c r="HXZ18" s="255"/>
      <c r="HYA18" s="255"/>
      <c r="HYB18" s="255"/>
      <c r="HYC18" s="255"/>
      <c r="HYD18" s="255"/>
      <c r="HYE18" s="255"/>
      <c r="HYF18" s="255"/>
      <c r="HYG18" s="255"/>
      <c r="HYH18" s="255"/>
      <c r="HYI18" s="255"/>
      <c r="HYJ18" s="255"/>
      <c r="HYK18" s="255"/>
      <c r="HYL18" s="255"/>
      <c r="HYM18" s="255"/>
      <c r="HYN18" s="255"/>
      <c r="HYO18" s="255"/>
      <c r="HYP18" s="255"/>
      <c r="HYQ18" s="255"/>
      <c r="HYR18" s="255"/>
      <c r="HYS18" s="255"/>
      <c r="HYT18" s="255"/>
      <c r="HYU18" s="255"/>
      <c r="HYV18" s="255"/>
      <c r="HYW18" s="255"/>
      <c r="HYX18" s="255"/>
      <c r="HYY18" s="255"/>
      <c r="HYZ18" s="255"/>
      <c r="HZA18" s="255"/>
      <c r="HZB18" s="255"/>
      <c r="HZC18" s="255"/>
      <c r="HZD18" s="255"/>
      <c r="HZE18" s="255"/>
      <c r="HZF18" s="255"/>
      <c r="HZG18" s="255"/>
      <c r="HZH18" s="255"/>
      <c r="HZI18" s="255"/>
      <c r="HZJ18" s="255"/>
      <c r="HZK18" s="255"/>
      <c r="HZL18" s="255"/>
      <c r="HZM18" s="255"/>
      <c r="HZN18" s="255"/>
      <c r="HZO18" s="255"/>
      <c r="HZP18" s="255"/>
      <c r="HZQ18" s="255"/>
      <c r="HZR18" s="255"/>
      <c r="HZS18" s="255"/>
      <c r="HZT18" s="255"/>
      <c r="HZU18" s="255"/>
      <c r="HZV18" s="255"/>
      <c r="HZW18" s="255"/>
      <c r="HZX18" s="255"/>
      <c r="HZY18" s="255"/>
      <c r="HZZ18" s="255"/>
      <c r="IAA18" s="255"/>
      <c r="IAB18" s="255"/>
      <c r="IAC18" s="255"/>
      <c r="IAD18" s="255"/>
      <c r="IAE18" s="255"/>
      <c r="IAF18" s="255"/>
      <c r="IAG18" s="255"/>
      <c r="IAH18" s="255"/>
      <c r="IAI18" s="255"/>
      <c r="IAJ18" s="255"/>
      <c r="IAK18" s="255"/>
      <c r="IAL18" s="255"/>
      <c r="IAM18" s="255"/>
      <c r="IAN18" s="255"/>
      <c r="IAO18" s="255"/>
      <c r="IAP18" s="255"/>
      <c r="IAQ18" s="255"/>
      <c r="IAR18" s="255"/>
      <c r="IAS18" s="255"/>
      <c r="IAT18" s="255"/>
      <c r="IAU18" s="255"/>
      <c r="IAV18" s="255"/>
      <c r="IAW18" s="255"/>
      <c r="IAX18" s="255"/>
      <c r="IAY18" s="255"/>
      <c r="IAZ18" s="255"/>
      <c r="IBA18" s="255"/>
      <c r="IBB18" s="255"/>
      <c r="IBC18" s="255"/>
      <c r="IBD18" s="255"/>
      <c r="IBE18" s="255"/>
      <c r="IBF18" s="255"/>
      <c r="IBG18" s="255"/>
      <c r="IBH18" s="255"/>
      <c r="IBI18" s="255"/>
      <c r="IBJ18" s="255"/>
      <c r="IBK18" s="255"/>
      <c r="IBL18" s="255"/>
      <c r="IBM18" s="255"/>
      <c r="IBN18" s="255"/>
      <c r="IBO18" s="255"/>
      <c r="IBP18" s="255"/>
      <c r="IBQ18" s="255"/>
      <c r="IBR18" s="255"/>
      <c r="IBS18" s="255"/>
      <c r="IBT18" s="255"/>
      <c r="IBU18" s="255"/>
      <c r="IBV18" s="255"/>
      <c r="IBW18" s="255"/>
      <c r="IBX18" s="255"/>
      <c r="IBY18" s="255"/>
      <c r="IBZ18" s="255"/>
      <c r="ICA18" s="255"/>
      <c r="ICB18" s="255"/>
      <c r="ICC18" s="255"/>
      <c r="ICD18" s="255"/>
      <c r="ICE18" s="255"/>
      <c r="ICF18" s="255"/>
      <c r="ICG18" s="255"/>
      <c r="ICH18" s="255"/>
      <c r="ICI18" s="255"/>
      <c r="ICJ18" s="255"/>
      <c r="ICK18" s="255"/>
      <c r="ICL18" s="255"/>
      <c r="ICM18" s="255"/>
      <c r="ICN18" s="255"/>
      <c r="ICO18" s="255"/>
      <c r="ICP18" s="255"/>
      <c r="ICQ18" s="255"/>
      <c r="ICR18" s="255"/>
      <c r="ICS18" s="255"/>
      <c r="ICT18" s="255"/>
      <c r="ICU18" s="255"/>
      <c r="ICV18" s="255"/>
      <c r="ICW18" s="255"/>
      <c r="ICX18" s="255"/>
      <c r="ICY18" s="255"/>
      <c r="ICZ18" s="255"/>
      <c r="IDA18" s="255"/>
      <c r="IDB18" s="255"/>
      <c r="IDC18" s="255"/>
      <c r="IDD18" s="255"/>
      <c r="IDE18" s="255"/>
      <c r="IDF18" s="255"/>
      <c r="IDG18" s="255"/>
      <c r="IDH18" s="255"/>
      <c r="IDI18" s="255"/>
      <c r="IDJ18" s="255"/>
      <c r="IDK18" s="255"/>
      <c r="IDL18" s="255"/>
      <c r="IDM18" s="255"/>
      <c r="IDN18" s="255"/>
      <c r="IDO18" s="255"/>
      <c r="IDP18" s="255"/>
      <c r="IDQ18" s="255"/>
      <c r="IDR18" s="255"/>
      <c r="IDS18" s="255"/>
      <c r="IDT18" s="255"/>
      <c r="IDU18" s="255"/>
      <c r="IDV18" s="255"/>
      <c r="IDW18" s="255"/>
      <c r="IDX18" s="255"/>
      <c r="IDY18" s="255"/>
      <c r="IDZ18" s="255"/>
      <c r="IEA18" s="255"/>
      <c r="IEB18" s="255"/>
      <c r="IEC18" s="255"/>
      <c r="IED18" s="255"/>
      <c r="IEE18" s="255"/>
      <c r="IEF18" s="255"/>
      <c r="IEG18" s="255"/>
      <c r="IEH18" s="255"/>
      <c r="IEI18" s="255"/>
      <c r="IEJ18" s="255"/>
      <c r="IEK18" s="255"/>
      <c r="IEL18" s="255"/>
      <c r="IEM18" s="255"/>
      <c r="IEN18" s="255"/>
      <c r="IEO18" s="255"/>
      <c r="IEP18" s="255"/>
      <c r="IEQ18" s="255"/>
      <c r="IER18" s="255"/>
      <c r="IES18" s="255"/>
      <c r="IET18" s="255"/>
      <c r="IEU18" s="255"/>
      <c r="IEV18" s="255"/>
      <c r="IEW18" s="255"/>
      <c r="IEX18" s="255"/>
      <c r="IEY18" s="255"/>
      <c r="IEZ18" s="255"/>
      <c r="IFA18" s="255"/>
      <c r="IFB18" s="255"/>
      <c r="IFC18" s="255"/>
      <c r="IFD18" s="255"/>
      <c r="IFE18" s="255"/>
      <c r="IFF18" s="255"/>
      <c r="IFG18" s="255"/>
      <c r="IFH18" s="255"/>
      <c r="IFI18" s="255"/>
      <c r="IFJ18" s="255"/>
      <c r="IFK18" s="255"/>
      <c r="IFL18" s="255"/>
      <c r="IFM18" s="255"/>
      <c r="IFN18" s="255"/>
      <c r="IFO18" s="255"/>
      <c r="IFP18" s="255"/>
      <c r="IFQ18" s="255"/>
      <c r="IFR18" s="255"/>
      <c r="IFS18" s="255"/>
      <c r="IFT18" s="255"/>
      <c r="IFU18" s="255"/>
      <c r="IFV18" s="255"/>
      <c r="IFW18" s="255"/>
      <c r="IFX18" s="255"/>
      <c r="IFY18" s="255"/>
      <c r="IFZ18" s="255"/>
      <c r="IGA18" s="255"/>
      <c r="IGB18" s="255"/>
      <c r="IGC18" s="255"/>
      <c r="IGD18" s="255"/>
      <c r="IGE18" s="255"/>
      <c r="IGF18" s="255"/>
      <c r="IGG18" s="255"/>
      <c r="IGH18" s="255"/>
      <c r="IGI18" s="255"/>
      <c r="IGJ18" s="255"/>
      <c r="IGK18" s="255"/>
      <c r="IGL18" s="255"/>
      <c r="IGM18" s="255"/>
      <c r="IGN18" s="255"/>
      <c r="IGO18" s="255"/>
      <c r="IGP18" s="255"/>
      <c r="IGQ18" s="255"/>
      <c r="IGR18" s="255"/>
      <c r="IGS18" s="255"/>
      <c r="IGT18" s="255"/>
      <c r="IGU18" s="255"/>
      <c r="IGV18" s="255"/>
      <c r="IGW18" s="255"/>
      <c r="IGX18" s="255"/>
      <c r="IGY18" s="255"/>
      <c r="IGZ18" s="255"/>
      <c r="IHA18" s="255"/>
      <c r="IHB18" s="255"/>
      <c r="IHC18" s="255"/>
      <c r="IHD18" s="255"/>
      <c r="IHE18" s="255"/>
      <c r="IHF18" s="255"/>
      <c r="IHG18" s="255"/>
      <c r="IHH18" s="255"/>
      <c r="IHI18" s="255"/>
      <c r="IHJ18" s="255"/>
      <c r="IHK18" s="255"/>
      <c r="IHL18" s="255"/>
      <c r="IHM18" s="255"/>
      <c r="IHN18" s="255"/>
      <c r="IHO18" s="255"/>
      <c r="IHP18" s="255"/>
      <c r="IHQ18" s="255"/>
      <c r="IHR18" s="255"/>
      <c r="IHS18" s="255"/>
      <c r="IHT18" s="255"/>
      <c r="IHU18" s="255"/>
      <c r="IHV18" s="255"/>
      <c r="IHW18" s="255"/>
      <c r="IHX18" s="255"/>
      <c r="IHY18" s="255"/>
      <c r="IHZ18" s="255"/>
      <c r="IIA18" s="255"/>
      <c r="IIB18" s="255"/>
      <c r="IIC18" s="255"/>
      <c r="IID18" s="255"/>
      <c r="IIE18" s="255"/>
      <c r="IIF18" s="255"/>
      <c r="IIG18" s="255"/>
      <c r="IIH18" s="255"/>
      <c r="III18" s="255"/>
      <c r="IIJ18" s="255"/>
      <c r="IIK18" s="255"/>
      <c r="IIL18" s="255"/>
      <c r="IIM18" s="255"/>
      <c r="IIN18" s="255"/>
      <c r="IIO18" s="255"/>
      <c r="IIP18" s="255"/>
      <c r="IIQ18" s="255"/>
      <c r="IIR18" s="255"/>
      <c r="IIS18" s="255"/>
      <c r="IIT18" s="255"/>
      <c r="IIU18" s="255"/>
      <c r="IIV18" s="255"/>
      <c r="IIW18" s="255"/>
      <c r="IIX18" s="255"/>
      <c r="IIY18" s="255"/>
      <c r="IIZ18" s="255"/>
      <c r="IJA18" s="255"/>
      <c r="IJB18" s="255"/>
      <c r="IJC18" s="255"/>
      <c r="IJD18" s="255"/>
      <c r="IJE18" s="255"/>
      <c r="IJF18" s="255"/>
      <c r="IJG18" s="255"/>
      <c r="IJH18" s="255"/>
      <c r="IJI18" s="255"/>
      <c r="IJJ18" s="255"/>
      <c r="IJK18" s="255"/>
      <c r="IJL18" s="255"/>
      <c r="IJM18" s="255"/>
      <c r="IJN18" s="255"/>
      <c r="IJO18" s="255"/>
      <c r="IJP18" s="255"/>
      <c r="IJQ18" s="255"/>
      <c r="IJR18" s="255"/>
      <c r="IJS18" s="255"/>
      <c r="IJT18" s="255"/>
      <c r="IJU18" s="255"/>
      <c r="IJV18" s="255"/>
      <c r="IJW18" s="255"/>
      <c r="IJX18" s="255"/>
      <c r="IJY18" s="255"/>
      <c r="IJZ18" s="255"/>
      <c r="IKA18" s="255"/>
      <c r="IKB18" s="255"/>
      <c r="IKC18" s="255"/>
      <c r="IKD18" s="255"/>
      <c r="IKE18" s="255"/>
      <c r="IKF18" s="255"/>
      <c r="IKG18" s="255"/>
      <c r="IKH18" s="255"/>
      <c r="IKI18" s="255"/>
      <c r="IKJ18" s="255"/>
      <c r="IKK18" s="255"/>
      <c r="IKL18" s="255"/>
      <c r="IKM18" s="255"/>
      <c r="IKN18" s="255"/>
      <c r="IKO18" s="255"/>
      <c r="IKP18" s="255"/>
      <c r="IKQ18" s="255"/>
      <c r="IKR18" s="255"/>
      <c r="IKS18" s="255"/>
      <c r="IKT18" s="255"/>
      <c r="IKU18" s="255"/>
      <c r="IKV18" s="255"/>
      <c r="IKW18" s="255"/>
      <c r="IKX18" s="255"/>
      <c r="IKY18" s="255"/>
      <c r="IKZ18" s="255"/>
      <c r="ILA18" s="255"/>
      <c r="ILB18" s="255"/>
      <c r="ILC18" s="255"/>
      <c r="ILD18" s="255"/>
      <c r="ILE18" s="255"/>
      <c r="ILF18" s="255"/>
      <c r="ILG18" s="255"/>
      <c r="ILH18" s="255"/>
      <c r="ILI18" s="255"/>
      <c r="ILJ18" s="255"/>
      <c r="ILK18" s="255"/>
      <c r="ILL18" s="255"/>
      <c r="ILM18" s="255"/>
      <c r="ILN18" s="255"/>
      <c r="ILO18" s="255"/>
      <c r="ILP18" s="255"/>
      <c r="ILQ18" s="255"/>
      <c r="ILR18" s="255"/>
      <c r="ILS18" s="255"/>
      <c r="ILT18" s="255"/>
      <c r="ILU18" s="255"/>
      <c r="ILV18" s="255"/>
      <c r="ILW18" s="255"/>
      <c r="ILX18" s="255"/>
      <c r="ILY18" s="255"/>
      <c r="ILZ18" s="255"/>
      <c r="IMA18" s="255"/>
      <c r="IMB18" s="255"/>
      <c r="IMC18" s="255"/>
      <c r="IMD18" s="255"/>
      <c r="IME18" s="255"/>
      <c r="IMF18" s="255"/>
      <c r="IMG18" s="255"/>
      <c r="IMH18" s="255"/>
      <c r="IMI18" s="255"/>
      <c r="IMJ18" s="255"/>
      <c r="IMK18" s="255"/>
      <c r="IML18" s="255"/>
      <c r="IMM18" s="255"/>
      <c r="IMN18" s="255"/>
      <c r="IMO18" s="255"/>
      <c r="IMP18" s="255"/>
      <c r="IMQ18" s="255"/>
      <c r="IMR18" s="255"/>
      <c r="IMS18" s="255"/>
      <c r="IMT18" s="255"/>
      <c r="IMU18" s="255"/>
      <c r="IMV18" s="255"/>
      <c r="IMW18" s="255"/>
      <c r="IMX18" s="255"/>
      <c r="IMY18" s="255"/>
      <c r="IMZ18" s="255"/>
      <c r="INA18" s="255"/>
      <c r="INB18" s="255"/>
      <c r="INC18" s="255"/>
      <c r="IND18" s="255"/>
      <c r="INE18" s="255"/>
      <c r="INF18" s="255"/>
      <c r="ING18" s="255"/>
      <c r="INH18" s="255"/>
      <c r="INI18" s="255"/>
      <c r="INJ18" s="255"/>
      <c r="INK18" s="255"/>
      <c r="INL18" s="255"/>
      <c r="INM18" s="255"/>
      <c r="INN18" s="255"/>
      <c r="INO18" s="255"/>
      <c r="INP18" s="255"/>
      <c r="INQ18" s="255"/>
      <c r="INR18" s="255"/>
      <c r="INS18" s="255"/>
      <c r="INT18" s="255"/>
      <c r="INU18" s="255"/>
      <c r="INV18" s="255"/>
      <c r="INW18" s="255"/>
      <c r="INX18" s="255"/>
      <c r="INY18" s="255"/>
      <c r="INZ18" s="255"/>
      <c r="IOA18" s="255"/>
      <c r="IOB18" s="255"/>
      <c r="IOC18" s="255"/>
      <c r="IOD18" s="255"/>
      <c r="IOE18" s="255"/>
      <c r="IOF18" s="255"/>
      <c r="IOG18" s="255"/>
      <c r="IOH18" s="255"/>
      <c r="IOI18" s="255"/>
      <c r="IOJ18" s="255"/>
      <c r="IOK18" s="255"/>
      <c r="IOL18" s="255"/>
      <c r="IOM18" s="255"/>
      <c r="ION18" s="255"/>
      <c r="IOO18" s="255"/>
      <c r="IOP18" s="255"/>
      <c r="IOQ18" s="255"/>
      <c r="IOR18" s="255"/>
      <c r="IOS18" s="255"/>
      <c r="IOT18" s="255"/>
      <c r="IOU18" s="255"/>
      <c r="IOV18" s="255"/>
      <c r="IOW18" s="255"/>
      <c r="IOX18" s="255"/>
      <c r="IOY18" s="255"/>
      <c r="IOZ18" s="255"/>
      <c r="IPA18" s="255"/>
      <c r="IPB18" s="255"/>
      <c r="IPC18" s="255"/>
      <c r="IPD18" s="255"/>
      <c r="IPE18" s="255"/>
      <c r="IPF18" s="255"/>
      <c r="IPG18" s="255"/>
      <c r="IPH18" s="255"/>
      <c r="IPI18" s="255"/>
      <c r="IPJ18" s="255"/>
      <c r="IPK18" s="255"/>
      <c r="IPL18" s="255"/>
      <c r="IPM18" s="255"/>
      <c r="IPN18" s="255"/>
      <c r="IPO18" s="255"/>
      <c r="IPP18" s="255"/>
      <c r="IPQ18" s="255"/>
      <c r="IPR18" s="255"/>
      <c r="IPS18" s="255"/>
      <c r="IPT18" s="255"/>
      <c r="IPU18" s="255"/>
      <c r="IPV18" s="255"/>
      <c r="IPW18" s="255"/>
      <c r="IPX18" s="255"/>
      <c r="IPY18" s="255"/>
      <c r="IPZ18" s="255"/>
      <c r="IQA18" s="255"/>
      <c r="IQB18" s="255"/>
      <c r="IQC18" s="255"/>
      <c r="IQD18" s="255"/>
      <c r="IQE18" s="255"/>
      <c r="IQF18" s="255"/>
      <c r="IQG18" s="255"/>
      <c r="IQH18" s="255"/>
      <c r="IQI18" s="255"/>
      <c r="IQJ18" s="255"/>
      <c r="IQK18" s="255"/>
      <c r="IQL18" s="255"/>
      <c r="IQM18" s="255"/>
      <c r="IQN18" s="255"/>
      <c r="IQO18" s="255"/>
      <c r="IQP18" s="255"/>
      <c r="IQQ18" s="255"/>
      <c r="IQR18" s="255"/>
      <c r="IQS18" s="255"/>
      <c r="IQT18" s="255"/>
      <c r="IQU18" s="255"/>
      <c r="IQV18" s="255"/>
      <c r="IQW18" s="255"/>
      <c r="IQX18" s="255"/>
      <c r="IQY18" s="255"/>
      <c r="IQZ18" s="255"/>
      <c r="IRA18" s="255"/>
      <c r="IRB18" s="255"/>
      <c r="IRC18" s="255"/>
      <c r="IRD18" s="255"/>
      <c r="IRE18" s="255"/>
      <c r="IRF18" s="255"/>
      <c r="IRG18" s="255"/>
      <c r="IRH18" s="255"/>
      <c r="IRI18" s="255"/>
      <c r="IRJ18" s="255"/>
      <c r="IRK18" s="255"/>
      <c r="IRL18" s="255"/>
      <c r="IRM18" s="255"/>
      <c r="IRN18" s="255"/>
      <c r="IRO18" s="255"/>
      <c r="IRP18" s="255"/>
      <c r="IRQ18" s="255"/>
      <c r="IRR18" s="255"/>
      <c r="IRS18" s="255"/>
      <c r="IRT18" s="255"/>
      <c r="IRU18" s="255"/>
      <c r="IRV18" s="255"/>
      <c r="IRW18" s="255"/>
      <c r="IRX18" s="255"/>
      <c r="IRY18" s="255"/>
      <c r="IRZ18" s="255"/>
      <c r="ISA18" s="255"/>
      <c r="ISB18" s="255"/>
      <c r="ISC18" s="255"/>
      <c r="ISD18" s="255"/>
      <c r="ISE18" s="255"/>
      <c r="ISF18" s="255"/>
      <c r="ISG18" s="255"/>
      <c r="ISH18" s="255"/>
      <c r="ISI18" s="255"/>
      <c r="ISJ18" s="255"/>
      <c r="ISK18" s="255"/>
      <c r="ISL18" s="255"/>
      <c r="ISM18" s="255"/>
      <c r="ISN18" s="255"/>
      <c r="ISO18" s="255"/>
      <c r="ISP18" s="255"/>
      <c r="ISQ18" s="255"/>
      <c r="ISR18" s="255"/>
      <c r="ISS18" s="255"/>
      <c r="IST18" s="255"/>
      <c r="ISU18" s="255"/>
      <c r="ISV18" s="255"/>
      <c r="ISW18" s="255"/>
      <c r="ISX18" s="255"/>
      <c r="ISY18" s="255"/>
      <c r="ISZ18" s="255"/>
      <c r="ITA18" s="255"/>
      <c r="ITB18" s="255"/>
      <c r="ITC18" s="255"/>
      <c r="ITD18" s="255"/>
      <c r="ITE18" s="255"/>
      <c r="ITF18" s="255"/>
      <c r="ITG18" s="255"/>
      <c r="ITH18" s="255"/>
      <c r="ITI18" s="255"/>
      <c r="ITJ18" s="255"/>
      <c r="ITK18" s="255"/>
      <c r="ITL18" s="255"/>
      <c r="ITM18" s="255"/>
      <c r="ITN18" s="255"/>
      <c r="ITO18" s="255"/>
      <c r="ITP18" s="255"/>
      <c r="ITQ18" s="255"/>
      <c r="ITR18" s="255"/>
      <c r="ITS18" s="255"/>
      <c r="ITT18" s="255"/>
      <c r="ITU18" s="255"/>
      <c r="ITV18" s="255"/>
      <c r="ITW18" s="255"/>
      <c r="ITX18" s="255"/>
      <c r="ITY18" s="255"/>
      <c r="ITZ18" s="255"/>
      <c r="IUA18" s="255"/>
      <c r="IUB18" s="255"/>
      <c r="IUC18" s="255"/>
      <c r="IUD18" s="255"/>
      <c r="IUE18" s="255"/>
      <c r="IUF18" s="255"/>
      <c r="IUG18" s="255"/>
      <c r="IUH18" s="255"/>
      <c r="IUI18" s="255"/>
      <c r="IUJ18" s="255"/>
      <c r="IUK18" s="255"/>
      <c r="IUL18" s="255"/>
      <c r="IUM18" s="255"/>
      <c r="IUN18" s="255"/>
      <c r="IUO18" s="255"/>
      <c r="IUP18" s="255"/>
      <c r="IUQ18" s="255"/>
      <c r="IUR18" s="255"/>
      <c r="IUS18" s="255"/>
      <c r="IUT18" s="255"/>
      <c r="IUU18" s="255"/>
      <c r="IUV18" s="255"/>
      <c r="IUW18" s="255"/>
      <c r="IUX18" s="255"/>
      <c r="IUY18" s="255"/>
      <c r="IUZ18" s="255"/>
      <c r="IVA18" s="255"/>
      <c r="IVB18" s="255"/>
      <c r="IVC18" s="255"/>
      <c r="IVD18" s="255"/>
      <c r="IVE18" s="255"/>
      <c r="IVF18" s="255"/>
      <c r="IVG18" s="255"/>
      <c r="IVH18" s="255"/>
      <c r="IVI18" s="255"/>
      <c r="IVJ18" s="255"/>
      <c r="IVK18" s="255"/>
      <c r="IVL18" s="255"/>
      <c r="IVM18" s="255"/>
      <c r="IVN18" s="255"/>
      <c r="IVO18" s="255"/>
      <c r="IVP18" s="255"/>
      <c r="IVQ18" s="255"/>
      <c r="IVR18" s="255"/>
      <c r="IVS18" s="255"/>
      <c r="IVT18" s="255"/>
      <c r="IVU18" s="255"/>
      <c r="IVV18" s="255"/>
      <c r="IVW18" s="255"/>
      <c r="IVX18" s="255"/>
      <c r="IVY18" s="255"/>
      <c r="IVZ18" s="255"/>
      <c r="IWA18" s="255"/>
      <c r="IWB18" s="255"/>
      <c r="IWC18" s="255"/>
      <c r="IWD18" s="255"/>
      <c r="IWE18" s="255"/>
      <c r="IWF18" s="255"/>
      <c r="IWG18" s="255"/>
      <c r="IWH18" s="255"/>
      <c r="IWI18" s="255"/>
      <c r="IWJ18" s="255"/>
      <c r="IWK18" s="255"/>
      <c r="IWL18" s="255"/>
      <c r="IWM18" s="255"/>
      <c r="IWN18" s="255"/>
      <c r="IWO18" s="255"/>
      <c r="IWP18" s="255"/>
      <c r="IWQ18" s="255"/>
      <c r="IWR18" s="255"/>
      <c r="IWS18" s="255"/>
      <c r="IWT18" s="255"/>
      <c r="IWU18" s="255"/>
      <c r="IWV18" s="255"/>
      <c r="IWW18" s="255"/>
      <c r="IWX18" s="255"/>
      <c r="IWY18" s="255"/>
      <c r="IWZ18" s="255"/>
      <c r="IXA18" s="255"/>
      <c r="IXB18" s="255"/>
      <c r="IXC18" s="255"/>
      <c r="IXD18" s="255"/>
      <c r="IXE18" s="255"/>
      <c r="IXF18" s="255"/>
      <c r="IXG18" s="255"/>
      <c r="IXH18" s="255"/>
      <c r="IXI18" s="255"/>
      <c r="IXJ18" s="255"/>
      <c r="IXK18" s="255"/>
      <c r="IXL18" s="255"/>
      <c r="IXM18" s="255"/>
      <c r="IXN18" s="255"/>
      <c r="IXO18" s="255"/>
      <c r="IXP18" s="255"/>
      <c r="IXQ18" s="255"/>
      <c r="IXR18" s="255"/>
      <c r="IXS18" s="255"/>
      <c r="IXT18" s="255"/>
      <c r="IXU18" s="255"/>
      <c r="IXV18" s="255"/>
      <c r="IXW18" s="255"/>
      <c r="IXX18" s="255"/>
      <c r="IXY18" s="255"/>
      <c r="IXZ18" s="255"/>
      <c r="IYA18" s="255"/>
      <c r="IYB18" s="255"/>
      <c r="IYC18" s="255"/>
      <c r="IYD18" s="255"/>
      <c r="IYE18" s="255"/>
      <c r="IYF18" s="255"/>
      <c r="IYG18" s="255"/>
      <c r="IYH18" s="255"/>
      <c r="IYI18" s="255"/>
      <c r="IYJ18" s="255"/>
      <c r="IYK18" s="255"/>
      <c r="IYL18" s="255"/>
      <c r="IYM18" s="255"/>
      <c r="IYN18" s="255"/>
      <c r="IYO18" s="255"/>
      <c r="IYP18" s="255"/>
      <c r="IYQ18" s="255"/>
      <c r="IYR18" s="255"/>
      <c r="IYS18" s="255"/>
      <c r="IYT18" s="255"/>
      <c r="IYU18" s="255"/>
      <c r="IYV18" s="255"/>
      <c r="IYW18" s="255"/>
      <c r="IYX18" s="255"/>
      <c r="IYY18" s="255"/>
      <c r="IYZ18" s="255"/>
      <c r="IZA18" s="255"/>
      <c r="IZB18" s="255"/>
      <c r="IZC18" s="255"/>
      <c r="IZD18" s="255"/>
      <c r="IZE18" s="255"/>
      <c r="IZF18" s="255"/>
      <c r="IZG18" s="255"/>
      <c r="IZH18" s="255"/>
      <c r="IZI18" s="255"/>
      <c r="IZJ18" s="255"/>
      <c r="IZK18" s="255"/>
      <c r="IZL18" s="255"/>
      <c r="IZM18" s="255"/>
      <c r="IZN18" s="255"/>
      <c r="IZO18" s="255"/>
      <c r="IZP18" s="255"/>
      <c r="IZQ18" s="255"/>
      <c r="IZR18" s="255"/>
      <c r="IZS18" s="255"/>
      <c r="IZT18" s="255"/>
      <c r="IZU18" s="255"/>
      <c r="IZV18" s="255"/>
      <c r="IZW18" s="255"/>
      <c r="IZX18" s="255"/>
      <c r="IZY18" s="255"/>
      <c r="IZZ18" s="255"/>
      <c r="JAA18" s="255"/>
      <c r="JAB18" s="255"/>
      <c r="JAC18" s="255"/>
      <c r="JAD18" s="255"/>
      <c r="JAE18" s="255"/>
      <c r="JAF18" s="255"/>
      <c r="JAG18" s="255"/>
      <c r="JAH18" s="255"/>
      <c r="JAI18" s="255"/>
      <c r="JAJ18" s="255"/>
      <c r="JAK18" s="255"/>
      <c r="JAL18" s="255"/>
      <c r="JAM18" s="255"/>
      <c r="JAN18" s="255"/>
      <c r="JAO18" s="255"/>
      <c r="JAP18" s="255"/>
      <c r="JAQ18" s="255"/>
      <c r="JAR18" s="255"/>
      <c r="JAS18" s="255"/>
      <c r="JAT18" s="255"/>
      <c r="JAU18" s="255"/>
      <c r="JAV18" s="255"/>
      <c r="JAW18" s="255"/>
      <c r="JAX18" s="255"/>
      <c r="JAY18" s="255"/>
      <c r="JAZ18" s="255"/>
      <c r="JBA18" s="255"/>
      <c r="JBB18" s="255"/>
      <c r="JBC18" s="255"/>
      <c r="JBD18" s="255"/>
      <c r="JBE18" s="255"/>
      <c r="JBF18" s="255"/>
      <c r="JBG18" s="255"/>
      <c r="JBH18" s="255"/>
      <c r="JBI18" s="255"/>
      <c r="JBJ18" s="255"/>
      <c r="JBK18" s="255"/>
      <c r="JBL18" s="255"/>
      <c r="JBM18" s="255"/>
      <c r="JBN18" s="255"/>
      <c r="JBO18" s="255"/>
      <c r="JBP18" s="255"/>
      <c r="JBQ18" s="255"/>
      <c r="JBR18" s="255"/>
      <c r="JBS18" s="255"/>
      <c r="JBT18" s="255"/>
      <c r="JBU18" s="255"/>
      <c r="JBV18" s="255"/>
      <c r="JBW18" s="255"/>
      <c r="JBX18" s="255"/>
      <c r="JBY18" s="255"/>
      <c r="JBZ18" s="255"/>
      <c r="JCA18" s="255"/>
      <c r="JCB18" s="255"/>
      <c r="JCC18" s="255"/>
      <c r="JCD18" s="255"/>
      <c r="JCE18" s="255"/>
      <c r="JCF18" s="255"/>
      <c r="JCG18" s="255"/>
      <c r="JCH18" s="255"/>
      <c r="JCI18" s="255"/>
      <c r="JCJ18" s="255"/>
      <c r="JCK18" s="255"/>
      <c r="JCL18" s="255"/>
      <c r="JCM18" s="255"/>
      <c r="JCN18" s="255"/>
      <c r="JCO18" s="255"/>
      <c r="JCP18" s="255"/>
      <c r="JCQ18" s="255"/>
      <c r="JCR18" s="255"/>
      <c r="JCS18" s="255"/>
      <c r="JCT18" s="255"/>
      <c r="JCU18" s="255"/>
      <c r="JCV18" s="255"/>
      <c r="JCW18" s="255"/>
      <c r="JCX18" s="255"/>
      <c r="JCY18" s="255"/>
      <c r="JCZ18" s="255"/>
      <c r="JDA18" s="255"/>
      <c r="JDB18" s="255"/>
      <c r="JDC18" s="255"/>
      <c r="JDD18" s="255"/>
      <c r="JDE18" s="255"/>
      <c r="JDF18" s="255"/>
      <c r="JDG18" s="255"/>
      <c r="JDH18" s="255"/>
      <c r="JDI18" s="255"/>
      <c r="JDJ18" s="255"/>
      <c r="JDK18" s="255"/>
      <c r="JDL18" s="255"/>
      <c r="JDM18" s="255"/>
      <c r="JDN18" s="255"/>
      <c r="JDO18" s="255"/>
      <c r="JDP18" s="255"/>
      <c r="JDQ18" s="255"/>
      <c r="JDR18" s="255"/>
      <c r="JDS18" s="255"/>
      <c r="JDT18" s="255"/>
      <c r="JDU18" s="255"/>
      <c r="JDV18" s="255"/>
      <c r="JDW18" s="255"/>
      <c r="JDX18" s="255"/>
      <c r="JDY18" s="255"/>
      <c r="JDZ18" s="255"/>
      <c r="JEA18" s="255"/>
      <c r="JEB18" s="255"/>
      <c r="JEC18" s="255"/>
      <c r="JED18" s="255"/>
      <c r="JEE18" s="255"/>
      <c r="JEF18" s="255"/>
      <c r="JEG18" s="255"/>
      <c r="JEH18" s="255"/>
      <c r="JEI18" s="255"/>
      <c r="JEJ18" s="255"/>
      <c r="JEK18" s="255"/>
      <c r="JEL18" s="255"/>
      <c r="JEM18" s="255"/>
      <c r="JEN18" s="255"/>
      <c r="JEO18" s="255"/>
      <c r="JEP18" s="255"/>
      <c r="JEQ18" s="255"/>
      <c r="JER18" s="255"/>
      <c r="JES18" s="255"/>
      <c r="JET18" s="255"/>
      <c r="JEU18" s="255"/>
      <c r="JEV18" s="255"/>
      <c r="JEW18" s="255"/>
      <c r="JEX18" s="255"/>
      <c r="JEY18" s="255"/>
      <c r="JEZ18" s="255"/>
      <c r="JFA18" s="255"/>
      <c r="JFB18" s="255"/>
      <c r="JFC18" s="255"/>
      <c r="JFD18" s="255"/>
      <c r="JFE18" s="255"/>
      <c r="JFF18" s="255"/>
      <c r="JFG18" s="255"/>
      <c r="JFH18" s="255"/>
      <c r="JFI18" s="255"/>
      <c r="JFJ18" s="255"/>
      <c r="JFK18" s="255"/>
      <c r="JFL18" s="255"/>
      <c r="JFM18" s="255"/>
      <c r="JFN18" s="255"/>
      <c r="JFO18" s="255"/>
      <c r="JFP18" s="255"/>
      <c r="JFQ18" s="255"/>
      <c r="JFR18" s="255"/>
      <c r="JFS18" s="255"/>
      <c r="JFT18" s="255"/>
      <c r="JFU18" s="255"/>
      <c r="JFV18" s="255"/>
      <c r="JFW18" s="255"/>
      <c r="JFX18" s="255"/>
      <c r="JFY18" s="255"/>
      <c r="JFZ18" s="255"/>
      <c r="JGA18" s="255"/>
      <c r="JGB18" s="255"/>
      <c r="JGC18" s="255"/>
      <c r="JGD18" s="255"/>
      <c r="JGE18" s="255"/>
      <c r="JGF18" s="255"/>
      <c r="JGG18" s="255"/>
      <c r="JGH18" s="255"/>
      <c r="JGI18" s="255"/>
      <c r="JGJ18" s="255"/>
      <c r="JGK18" s="255"/>
      <c r="JGL18" s="255"/>
      <c r="JGM18" s="255"/>
      <c r="JGN18" s="255"/>
      <c r="JGO18" s="255"/>
      <c r="JGP18" s="255"/>
      <c r="JGQ18" s="255"/>
      <c r="JGR18" s="255"/>
      <c r="JGS18" s="255"/>
      <c r="JGT18" s="255"/>
      <c r="JGU18" s="255"/>
      <c r="JGV18" s="255"/>
      <c r="JGW18" s="255"/>
      <c r="JGX18" s="255"/>
      <c r="JGY18" s="255"/>
      <c r="JGZ18" s="255"/>
      <c r="JHA18" s="255"/>
      <c r="JHB18" s="255"/>
      <c r="JHC18" s="255"/>
      <c r="JHD18" s="255"/>
      <c r="JHE18" s="255"/>
      <c r="JHF18" s="255"/>
      <c r="JHG18" s="255"/>
      <c r="JHH18" s="255"/>
      <c r="JHI18" s="255"/>
      <c r="JHJ18" s="255"/>
      <c r="JHK18" s="255"/>
      <c r="JHL18" s="255"/>
      <c r="JHM18" s="255"/>
      <c r="JHN18" s="255"/>
      <c r="JHO18" s="255"/>
      <c r="JHP18" s="255"/>
      <c r="JHQ18" s="255"/>
      <c r="JHR18" s="255"/>
      <c r="JHS18" s="255"/>
      <c r="JHT18" s="255"/>
      <c r="JHU18" s="255"/>
      <c r="JHV18" s="255"/>
      <c r="JHW18" s="255"/>
      <c r="JHX18" s="255"/>
      <c r="JHY18" s="255"/>
      <c r="JHZ18" s="255"/>
      <c r="JIA18" s="255"/>
      <c r="JIB18" s="255"/>
      <c r="JIC18" s="255"/>
      <c r="JID18" s="255"/>
      <c r="JIE18" s="255"/>
      <c r="JIF18" s="255"/>
      <c r="JIG18" s="255"/>
      <c r="JIH18" s="255"/>
      <c r="JII18" s="255"/>
      <c r="JIJ18" s="255"/>
      <c r="JIK18" s="255"/>
      <c r="JIL18" s="255"/>
      <c r="JIM18" s="255"/>
      <c r="JIN18" s="255"/>
      <c r="JIO18" s="255"/>
      <c r="JIP18" s="255"/>
      <c r="JIQ18" s="255"/>
      <c r="JIR18" s="255"/>
      <c r="JIS18" s="255"/>
      <c r="JIT18" s="255"/>
      <c r="JIU18" s="255"/>
      <c r="JIV18" s="255"/>
      <c r="JIW18" s="255"/>
      <c r="JIX18" s="255"/>
      <c r="JIY18" s="255"/>
      <c r="JIZ18" s="255"/>
      <c r="JJA18" s="255"/>
      <c r="JJB18" s="255"/>
      <c r="JJC18" s="255"/>
      <c r="JJD18" s="255"/>
      <c r="JJE18" s="255"/>
      <c r="JJF18" s="255"/>
      <c r="JJG18" s="255"/>
      <c r="JJH18" s="255"/>
      <c r="JJI18" s="255"/>
      <c r="JJJ18" s="255"/>
      <c r="JJK18" s="255"/>
      <c r="JJL18" s="255"/>
      <c r="JJM18" s="255"/>
      <c r="JJN18" s="255"/>
      <c r="JJO18" s="255"/>
      <c r="JJP18" s="255"/>
      <c r="JJQ18" s="255"/>
      <c r="JJR18" s="255"/>
      <c r="JJS18" s="255"/>
      <c r="JJT18" s="255"/>
      <c r="JJU18" s="255"/>
      <c r="JJV18" s="255"/>
      <c r="JJW18" s="255"/>
      <c r="JJX18" s="255"/>
      <c r="JJY18" s="255"/>
      <c r="JJZ18" s="255"/>
      <c r="JKA18" s="255"/>
      <c r="JKB18" s="255"/>
      <c r="JKC18" s="255"/>
      <c r="JKD18" s="255"/>
      <c r="JKE18" s="255"/>
      <c r="JKF18" s="255"/>
      <c r="JKG18" s="255"/>
      <c r="JKH18" s="255"/>
      <c r="JKI18" s="255"/>
      <c r="JKJ18" s="255"/>
      <c r="JKK18" s="255"/>
      <c r="JKL18" s="255"/>
      <c r="JKM18" s="255"/>
      <c r="JKN18" s="255"/>
      <c r="JKO18" s="255"/>
      <c r="JKP18" s="255"/>
      <c r="JKQ18" s="255"/>
      <c r="JKR18" s="255"/>
      <c r="JKS18" s="255"/>
      <c r="JKT18" s="255"/>
      <c r="JKU18" s="255"/>
      <c r="JKV18" s="255"/>
      <c r="JKW18" s="255"/>
      <c r="JKX18" s="255"/>
      <c r="JKY18" s="255"/>
      <c r="JKZ18" s="255"/>
      <c r="JLA18" s="255"/>
      <c r="JLB18" s="255"/>
      <c r="JLC18" s="255"/>
      <c r="JLD18" s="255"/>
      <c r="JLE18" s="255"/>
      <c r="JLF18" s="255"/>
      <c r="JLG18" s="255"/>
      <c r="JLH18" s="255"/>
      <c r="JLI18" s="255"/>
      <c r="JLJ18" s="255"/>
      <c r="JLK18" s="255"/>
      <c r="JLL18" s="255"/>
      <c r="JLM18" s="255"/>
      <c r="JLN18" s="255"/>
      <c r="JLO18" s="255"/>
      <c r="JLP18" s="255"/>
      <c r="JLQ18" s="255"/>
      <c r="JLR18" s="255"/>
      <c r="JLS18" s="255"/>
      <c r="JLT18" s="255"/>
      <c r="JLU18" s="255"/>
      <c r="JLV18" s="255"/>
      <c r="JLW18" s="255"/>
      <c r="JLX18" s="255"/>
      <c r="JLY18" s="255"/>
      <c r="JLZ18" s="255"/>
      <c r="JMA18" s="255"/>
      <c r="JMB18" s="255"/>
      <c r="JMC18" s="255"/>
      <c r="JMD18" s="255"/>
      <c r="JME18" s="255"/>
      <c r="JMF18" s="255"/>
      <c r="JMG18" s="255"/>
      <c r="JMH18" s="255"/>
      <c r="JMI18" s="255"/>
      <c r="JMJ18" s="255"/>
      <c r="JMK18" s="255"/>
      <c r="JML18" s="255"/>
      <c r="JMM18" s="255"/>
      <c r="JMN18" s="255"/>
      <c r="JMO18" s="255"/>
      <c r="JMP18" s="255"/>
      <c r="JMQ18" s="255"/>
      <c r="JMR18" s="255"/>
      <c r="JMS18" s="255"/>
      <c r="JMT18" s="255"/>
      <c r="JMU18" s="255"/>
      <c r="JMV18" s="255"/>
      <c r="JMW18" s="255"/>
      <c r="JMX18" s="255"/>
      <c r="JMY18" s="255"/>
      <c r="JMZ18" s="255"/>
      <c r="JNA18" s="255"/>
      <c r="JNB18" s="255"/>
      <c r="JNC18" s="255"/>
      <c r="JND18" s="255"/>
      <c r="JNE18" s="255"/>
      <c r="JNF18" s="255"/>
      <c r="JNG18" s="255"/>
      <c r="JNH18" s="255"/>
      <c r="JNI18" s="255"/>
      <c r="JNJ18" s="255"/>
      <c r="JNK18" s="255"/>
      <c r="JNL18" s="255"/>
      <c r="JNM18" s="255"/>
      <c r="JNN18" s="255"/>
      <c r="JNO18" s="255"/>
      <c r="JNP18" s="255"/>
      <c r="JNQ18" s="255"/>
      <c r="JNR18" s="255"/>
      <c r="JNS18" s="255"/>
      <c r="JNT18" s="255"/>
      <c r="JNU18" s="255"/>
      <c r="JNV18" s="255"/>
      <c r="JNW18" s="255"/>
      <c r="JNX18" s="255"/>
      <c r="JNY18" s="255"/>
      <c r="JNZ18" s="255"/>
      <c r="JOA18" s="255"/>
      <c r="JOB18" s="255"/>
      <c r="JOC18" s="255"/>
      <c r="JOD18" s="255"/>
      <c r="JOE18" s="255"/>
      <c r="JOF18" s="255"/>
      <c r="JOG18" s="255"/>
      <c r="JOH18" s="255"/>
      <c r="JOI18" s="255"/>
      <c r="JOJ18" s="255"/>
      <c r="JOK18" s="255"/>
      <c r="JOL18" s="255"/>
      <c r="JOM18" s="255"/>
      <c r="JON18" s="255"/>
      <c r="JOO18" s="255"/>
      <c r="JOP18" s="255"/>
      <c r="JOQ18" s="255"/>
      <c r="JOR18" s="255"/>
      <c r="JOS18" s="255"/>
      <c r="JOT18" s="255"/>
      <c r="JOU18" s="255"/>
      <c r="JOV18" s="255"/>
      <c r="JOW18" s="255"/>
      <c r="JOX18" s="255"/>
      <c r="JOY18" s="255"/>
      <c r="JOZ18" s="255"/>
      <c r="JPA18" s="255"/>
      <c r="JPB18" s="255"/>
      <c r="JPC18" s="255"/>
      <c r="JPD18" s="255"/>
      <c r="JPE18" s="255"/>
      <c r="JPF18" s="255"/>
      <c r="JPG18" s="255"/>
      <c r="JPH18" s="255"/>
      <c r="JPI18" s="255"/>
      <c r="JPJ18" s="255"/>
      <c r="JPK18" s="255"/>
      <c r="JPL18" s="255"/>
      <c r="JPM18" s="255"/>
      <c r="JPN18" s="255"/>
      <c r="JPO18" s="255"/>
      <c r="JPP18" s="255"/>
      <c r="JPQ18" s="255"/>
      <c r="JPR18" s="255"/>
      <c r="JPS18" s="255"/>
      <c r="JPT18" s="255"/>
      <c r="JPU18" s="255"/>
      <c r="JPV18" s="255"/>
      <c r="JPW18" s="255"/>
      <c r="JPX18" s="255"/>
      <c r="JPY18" s="255"/>
      <c r="JPZ18" s="255"/>
      <c r="JQA18" s="255"/>
      <c r="JQB18" s="255"/>
      <c r="JQC18" s="255"/>
      <c r="JQD18" s="255"/>
      <c r="JQE18" s="255"/>
      <c r="JQF18" s="255"/>
      <c r="JQG18" s="255"/>
      <c r="JQH18" s="255"/>
      <c r="JQI18" s="255"/>
      <c r="JQJ18" s="255"/>
      <c r="JQK18" s="255"/>
      <c r="JQL18" s="255"/>
      <c r="JQM18" s="255"/>
      <c r="JQN18" s="255"/>
      <c r="JQO18" s="255"/>
      <c r="JQP18" s="255"/>
      <c r="JQQ18" s="255"/>
      <c r="JQR18" s="255"/>
      <c r="JQS18" s="255"/>
      <c r="JQT18" s="255"/>
      <c r="JQU18" s="255"/>
      <c r="JQV18" s="255"/>
      <c r="JQW18" s="255"/>
      <c r="JQX18" s="255"/>
      <c r="JQY18" s="255"/>
      <c r="JQZ18" s="255"/>
      <c r="JRA18" s="255"/>
      <c r="JRB18" s="255"/>
      <c r="JRC18" s="255"/>
      <c r="JRD18" s="255"/>
      <c r="JRE18" s="255"/>
      <c r="JRF18" s="255"/>
      <c r="JRG18" s="255"/>
      <c r="JRH18" s="255"/>
      <c r="JRI18" s="255"/>
      <c r="JRJ18" s="255"/>
      <c r="JRK18" s="255"/>
      <c r="JRL18" s="255"/>
      <c r="JRM18" s="255"/>
      <c r="JRN18" s="255"/>
      <c r="JRO18" s="255"/>
      <c r="JRP18" s="255"/>
      <c r="JRQ18" s="255"/>
      <c r="JRR18" s="255"/>
      <c r="JRS18" s="255"/>
      <c r="JRT18" s="255"/>
      <c r="JRU18" s="255"/>
      <c r="JRV18" s="255"/>
      <c r="JRW18" s="255"/>
      <c r="JRX18" s="255"/>
      <c r="JRY18" s="255"/>
      <c r="JRZ18" s="255"/>
      <c r="JSA18" s="255"/>
      <c r="JSB18" s="255"/>
      <c r="JSC18" s="255"/>
      <c r="JSD18" s="255"/>
      <c r="JSE18" s="255"/>
      <c r="JSF18" s="255"/>
      <c r="JSG18" s="255"/>
      <c r="JSH18" s="255"/>
      <c r="JSI18" s="255"/>
      <c r="JSJ18" s="255"/>
      <c r="JSK18" s="255"/>
      <c r="JSL18" s="255"/>
      <c r="JSM18" s="255"/>
      <c r="JSN18" s="255"/>
      <c r="JSO18" s="255"/>
      <c r="JSP18" s="255"/>
      <c r="JSQ18" s="255"/>
      <c r="JSR18" s="255"/>
      <c r="JSS18" s="255"/>
      <c r="JST18" s="255"/>
      <c r="JSU18" s="255"/>
      <c r="JSV18" s="255"/>
      <c r="JSW18" s="255"/>
      <c r="JSX18" s="255"/>
      <c r="JSY18" s="255"/>
      <c r="JSZ18" s="255"/>
      <c r="JTA18" s="255"/>
      <c r="JTB18" s="255"/>
      <c r="JTC18" s="255"/>
      <c r="JTD18" s="255"/>
      <c r="JTE18" s="255"/>
      <c r="JTF18" s="255"/>
      <c r="JTG18" s="255"/>
      <c r="JTH18" s="255"/>
      <c r="JTI18" s="255"/>
      <c r="JTJ18" s="255"/>
      <c r="JTK18" s="255"/>
      <c r="JTL18" s="255"/>
      <c r="JTM18" s="255"/>
      <c r="JTN18" s="255"/>
      <c r="JTO18" s="255"/>
      <c r="JTP18" s="255"/>
      <c r="JTQ18" s="255"/>
      <c r="JTR18" s="255"/>
      <c r="JTS18" s="255"/>
      <c r="JTT18" s="255"/>
      <c r="JTU18" s="255"/>
      <c r="JTV18" s="255"/>
      <c r="JTW18" s="255"/>
      <c r="JTX18" s="255"/>
      <c r="JTY18" s="255"/>
      <c r="JTZ18" s="255"/>
      <c r="JUA18" s="255"/>
      <c r="JUB18" s="255"/>
      <c r="JUC18" s="255"/>
      <c r="JUD18" s="255"/>
      <c r="JUE18" s="255"/>
      <c r="JUF18" s="255"/>
      <c r="JUG18" s="255"/>
      <c r="JUH18" s="255"/>
      <c r="JUI18" s="255"/>
      <c r="JUJ18" s="255"/>
      <c r="JUK18" s="255"/>
      <c r="JUL18" s="255"/>
      <c r="JUM18" s="255"/>
      <c r="JUN18" s="255"/>
      <c r="JUO18" s="255"/>
      <c r="JUP18" s="255"/>
      <c r="JUQ18" s="255"/>
      <c r="JUR18" s="255"/>
      <c r="JUS18" s="255"/>
      <c r="JUT18" s="255"/>
      <c r="JUU18" s="255"/>
      <c r="JUV18" s="255"/>
      <c r="JUW18" s="255"/>
      <c r="JUX18" s="255"/>
      <c r="JUY18" s="255"/>
      <c r="JUZ18" s="255"/>
      <c r="JVA18" s="255"/>
      <c r="JVB18" s="255"/>
      <c r="JVC18" s="255"/>
      <c r="JVD18" s="255"/>
      <c r="JVE18" s="255"/>
      <c r="JVF18" s="255"/>
      <c r="JVG18" s="255"/>
      <c r="JVH18" s="255"/>
      <c r="JVI18" s="255"/>
      <c r="JVJ18" s="255"/>
      <c r="JVK18" s="255"/>
      <c r="JVL18" s="255"/>
      <c r="JVM18" s="255"/>
      <c r="JVN18" s="255"/>
      <c r="JVO18" s="255"/>
      <c r="JVP18" s="255"/>
      <c r="JVQ18" s="255"/>
      <c r="JVR18" s="255"/>
      <c r="JVS18" s="255"/>
      <c r="JVT18" s="255"/>
      <c r="JVU18" s="255"/>
      <c r="JVV18" s="255"/>
      <c r="JVW18" s="255"/>
      <c r="JVX18" s="255"/>
      <c r="JVY18" s="255"/>
      <c r="JVZ18" s="255"/>
      <c r="JWA18" s="255"/>
      <c r="JWB18" s="255"/>
      <c r="JWC18" s="255"/>
      <c r="JWD18" s="255"/>
      <c r="JWE18" s="255"/>
      <c r="JWF18" s="255"/>
      <c r="JWG18" s="255"/>
      <c r="JWH18" s="255"/>
      <c r="JWI18" s="255"/>
      <c r="JWJ18" s="255"/>
      <c r="JWK18" s="255"/>
      <c r="JWL18" s="255"/>
      <c r="JWM18" s="255"/>
      <c r="JWN18" s="255"/>
      <c r="JWO18" s="255"/>
      <c r="JWP18" s="255"/>
      <c r="JWQ18" s="255"/>
      <c r="JWR18" s="255"/>
      <c r="JWS18" s="255"/>
      <c r="JWT18" s="255"/>
      <c r="JWU18" s="255"/>
      <c r="JWV18" s="255"/>
      <c r="JWW18" s="255"/>
      <c r="JWX18" s="255"/>
      <c r="JWY18" s="255"/>
      <c r="JWZ18" s="255"/>
      <c r="JXA18" s="255"/>
      <c r="JXB18" s="255"/>
      <c r="JXC18" s="255"/>
      <c r="JXD18" s="255"/>
      <c r="JXE18" s="255"/>
      <c r="JXF18" s="255"/>
      <c r="JXG18" s="255"/>
      <c r="JXH18" s="255"/>
      <c r="JXI18" s="255"/>
      <c r="JXJ18" s="255"/>
      <c r="JXK18" s="255"/>
      <c r="JXL18" s="255"/>
      <c r="JXM18" s="255"/>
      <c r="JXN18" s="255"/>
      <c r="JXO18" s="255"/>
      <c r="JXP18" s="255"/>
      <c r="JXQ18" s="255"/>
      <c r="JXR18" s="255"/>
      <c r="JXS18" s="255"/>
      <c r="JXT18" s="255"/>
      <c r="JXU18" s="255"/>
      <c r="JXV18" s="255"/>
      <c r="JXW18" s="255"/>
      <c r="JXX18" s="255"/>
      <c r="JXY18" s="255"/>
      <c r="JXZ18" s="255"/>
      <c r="JYA18" s="255"/>
      <c r="JYB18" s="255"/>
      <c r="JYC18" s="255"/>
      <c r="JYD18" s="255"/>
      <c r="JYE18" s="255"/>
      <c r="JYF18" s="255"/>
      <c r="JYG18" s="255"/>
      <c r="JYH18" s="255"/>
      <c r="JYI18" s="255"/>
      <c r="JYJ18" s="255"/>
      <c r="JYK18" s="255"/>
      <c r="JYL18" s="255"/>
      <c r="JYM18" s="255"/>
      <c r="JYN18" s="255"/>
      <c r="JYO18" s="255"/>
      <c r="JYP18" s="255"/>
      <c r="JYQ18" s="255"/>
      <c r="JYR18" s="255"/>
      <c r="JYS18" s="255"/>
      <c r="JYT18" s="255"/>
      <c r="JYU18" s="255"/>
      <c r="JYV18" s="255"/>
      <c r="JYW18" s="255"/>
      <c r="JYX18" s="255"/>
      <c r="JYY18" s="255"/>
      <c r="JYZ18" s="255"/>
      <c r="JZA18" s="255"/>
      <c r="JZB18" s="255"/>
      <c r="JZC18" s="255"/>
      <c r="JZD18" s="255"/>
      <c r="JZE18" s="255"/>
      <c r="JZF18" s="255"/>
      <c r="JZG18" s="255"/>
      <c r="JZH18" s="255"/>
      <c r="JZI18" s="255"/>
      <c r="JZJ18" s="255"/>
      <c r="JZK18" s="255"/>
      <c r="JZL18" s="255"/>
      <c r="JZM18" s="255"/>
      <c r="JZN18" s="255"/>
      <c r="JZO18" s="255"/>
      <c r="JZP18" s="255"/>
      <c r="JZQ18" s="255"/>
      <c r="JZR18" s="255"/>
      <c r="JZS18" s="255"/>
      <c r="JZT18" s="255"/>
      <c r="JZU18" s="255"/>
      <c r="JZV18" s="255"/>
      <c r="JZW18" s="255"/>
      <c r="JZX18" s="255"/>
      <c r="JZY18" s="255"/>
      <c r="JZZ18" s="255"/>
      <c r="KAA18" s="255"/>
      <c r="KAB18" s="255"/>
      <c r="KAC18" s="255"/>
      <c r="KAD18" s="255"/>
      <c r="KAE18" s="255"/>
      <c r="KAF18" s="255"/>
      <c r="KAG18" s="255"/>
      <c r="KAH18" s="255"/>
      <c r="KAI18" s="255"/>
      <c r="KAJ18" s="255"/>
      <c r="KAK18" s="255"/>
      <c r="KAL18" s="255"/>
      <c r="KAM18" s="255"/>
      <c r="KAN18" s="255"/>
      <c r="KAO18" s="255"/>
      <c r="KAP18" s="255"/>
      <c r="KAQ18" s="255"/>
      <c r="KAR18" s="255"/>
      <c r="KAS18" s="255"/>
      <c r="KAT18" s="255"/>
      <c r="KAU18" s="255"/>
      <c r="KAV18" s="255"/>
      <c r="KAW18" s="255"/>
      <c r="KAX18" s="255"/>
      <c r="KAY18" s="255"/>
      <c r="KAZ18" s="255"/>
      <c r="KBA18" s="255"/>
      <c r="KBB18" s="255"/>
      <c r="KBC18" s="255"/>
      <c r="KBD18" s="255"/>
      <c r="KBE18" s="255"/>
      <c r="KBF18" s="255"/>
      <c r="KBG18" s="255"/>
      <c r="KBH18" s="255"/>
      <c r="KBI18" s="255"/>
      <c r="KBJ18" s="255"/>
      <c r="KBK18" s="255"/>
      <c r="KBL18" s="255"/>
      <c r="KBM18" s="255"/>
      <c r="KBN18" s="255"/>
      <c r="KBO18" s="255"/>
      <c r="KBP18" s="255"/>
      <c r="KBQ18" s="255"/>
      <c r="KBR18" s="255"/>
      <c r="KBS18" s="255"/>
      <c r="KBT18" s="255"/>
      <c r="KBU18" s="255"/>
      <c r="KBV18" s="255"/>
      <c r="KBW18" s="255"/>
      <c r="KBX18" s="255"/>
      <c r="KBY18" s="255"/>
      <c r="KBZ18" s="255"/>
      <c r="KCA18" s="255"/>
      <c r="KCB18" s="255"/>
      <c r="KCC18" s="255"/>
      <c r="KCD18" s="255"/>
      <c r="KCE18" s="255"/>
      <c r="KCF18" s="255"/>
      <c r="KCG18" s="255"/>
      <c r="KCH18" s="255"/>
      <c r="KCI18" s="255"/>
      <c r="KCJ18" s="255"/>
      <c r="KCK18" s="255"/>
      <c r="KCL18" s="255"/>
      <c r="KCM18" s="255"/>
      <c r="KCN18" s="255"/>
      <c r="KCO18" s="255"/>
      <c r="KCP18" s="255"/>
      <c r="KCQ18" s="255"/>
      <c r="KCR18" s="255"/>
      <c r="KCS18" s="255"/>
      <c r="KCT18" s="255"/>
      <c r="KCU18" s="255"/>
      <c r="KCV18" s="255"/>
      <c r="KCW18" s="255"/>
      <c r="KCX18" s="255"/>
      <c r="KCY18" s="255"/>
      <c r="KCZ18" s="255"/>
      <c r="KDA18" s="255"/>
      <c r="KDB18" s="255"/>
      <c r="KDC18" s="255"/>
      <c r="KDD18" s="255"/>
      <c r="KDE18" s="255"/>
      <c r="KDF18" s="255"/>
      <c r="KDG18" s="255"/>
      <c r="KDH18" s="255"/>
      <c r="KDI18" s="255"/>
      <c r="KDJ18" s="255"/>
      <c r="KDK18" s="255"/>
      <c r="KDL18" s="255"/>
      <c r="KDM18" s="255"/>
      <c r="KDN18" s="255"/>
      <c r="KDO18" s="255"/>
      <c r="KDP18" s="255"/>
      <c r="KDQ18" s="255"/>
      <c r="KDR18" s="255"/>
      <c r="KDS18" s="255"/>
      <c r="KDT18" s="255"/>
      <c r="KDU18" s="255"/>
      <c r="KDV18" s="255"/>
      <c r="KDW18" s="255"/>
      <c r="KDX18" s="255"/>
      <c r="KDY18" s="255"/>
      <c r="KDZ18" s="255"/>
      <c r="KEA18" s="255"/>
      <c r="KEB18" s="255"/>
      <c r="KEC18" s="255"/>
      <c r="KED18" s="255"/>
      <c r="KEE18" s="255"/>
      <c r="KEF18" s="255"/>
      <c r="KEG18" s="255"/>
      <c r="KEH18" s="255"/>
      <c r="KEI18" s="255"/>
      <c r="KEJ18" s="255"/>
      <c r="KEK18" s="255"/>
      <c r="KEL18" s="255"/>
      <c r="KEM18" s="255"/>
      <c r="KEN18" s="255"/>
      <c r="KEO18" s="255"/>
      <c r="KEP18" s="255"/>
      <c r="KEQ18" s="255"/>
      <c r="KER18" s="255"/>
      <c r="KES18" s="255"/>
      <c r="KET18" s="255"/>
      <c r="KEU18" s="255"/>
      <c r="KEV18" s="255"/>
      <c r="KEW18" s="255"/>
      <c r="KEX18" s="255"/>
      <c r="KEY18" s="255"/>
      <c r="KEZ18" s="255"/>
      <c r="KFA18" s="255"/>
      <c r="KFB18" s="255"/>
      <c r="KFC18" s="255"/>
      <c r="KFD18" s="255"/>
      <c r="KFE18" s="255"/>
      <c r="KFF18" s="255"/>
      <c r="KFG18" s="255"/>
      <c r="KFH18" s="255"/>
      <c r="KFI18" s="255"/>
      <c r="KFJ18" s="255"/>
      <c r="KFK18" s="255"/>
      <c r="KFL18" s="255"/>
      <c r="KFM18" s="255"/>
      <c r="KFN18" s="255"/>
      <c r="KFO18" s="255"/>
      <c r="KFP18" s="255"/>
      <c r="KFQ18" s="255"/>
      <c r="KFR18" s="255"/>
      <c r="KFS18" s="255"/>
      <c r="KFT18" s="255"/>
      <c r="KFU18" s="255"/>
      <c r="KFV18" s="255"/>
      <c r="KFW18" s="255"/>
      <c r="KFX18" s="255"/>
      <c r="KFY18" s="255"/>
      <c r="KFZ18" s="255"/>
      <c r="KGA18" s="255"/>
      <c r="KGB18" s="255"/>
      <c r="KGC18" s="255"/>
      <c r="KGD18" s="255"/>
      <c r="KGE18" s="255"/>
      <c r="KGF18" s="255"/>
      <c r="KGG18" s="255"/>
      <c r="KGH18" s="255"/>
      <c r="KGI18" s="255"/>
      <c r="KGJ18" s="255"/>
      <c r="KGK18" s="255"/>
      <c r="KGL18" s="255"/>
      <c r="KGM18" s="255"/>
      <c r="KGN18" s="255"/>
      <c r="KGO18" s="255"/>
      <c r="KGP18" s="255"/>
      <c r="KGQ18" s="255"/>
      <c r="KGR18" s="255"/>
      <c r="KGS18" s="255"/>
      <c r="KGT18" s="255"/>
      <c r="KGU18" s="255"/>
      <c r="KGV18" s="255"/>
      <c r="KGW18" s="255"/>
      <c r="KGX18" s="255"/>
      <c r="KGY18" s="255"/>
      <c r="KGZ18" s="255"/>
      <c r="KHA18" s="255"/>
      <c r="KHB18" s="255"/>
      <c r="KHC18" s="255"/>
      <c r="KHD18" s="255"/>
      <c r="KHE18" s="255"/>
      <c r="KHF18" s="255"/>
      <c r="KHG18" s="255"/>
      <c r="KHH18" s="255"/>
      <c r="KHI18" s="255"/>
      <c r="KHJ18" s="255"/>
      <c r="KHK18" s="255"/>
      <c r="KHL18" s="255"/>
      <c r="KHM18" s="255"/>
      <c r="KHN18" s="255"/>
      <c r="KHO18" s="255"/>
      <c r="KHP18" s="255"/>
      <c r="KHQ18" s="255"/>
      <c r="KHR18" s="255"/>
      <c r="KHS18" s="255"/>
      <c r="KHT18" s="255"/>
      <c r="KHU18" s="255"/>
      <c r="KHV18" s="255"/>
      <c r="KHW18" s="255"/>
      <c r="KHX18" s="255"/>
      <c r="KHY18" s="255"/>
      <c r="KHZ18" s="255"/>
      <c r="KIA18" s="255"/>
      <c r="KIB18" s="255"/>
      <c r="KIC18" s="255"/>
      <c r="KID18" s="255"/>
      <c r="KIE18" s="255"/>
      <c r="KIF18" s="255"/>
      <c r="KIG18" s="255"/>
      <c r="KIH18" s="255"/>
      <c r="KII18" s="255"/>
      <c r="KIJ18" s="255"/>
      <c r="KIK18" s="255"/>
      <c r="KIL18" s="255"/>
      <c r="KIM18" s="255"/>
      <c r="KIN18" s="255"/>
      <c r="KIO18" s="255"/>
      <c r="KIP18" s="255"/>
      <c r="KIQ18" s="255"/>
      <c r="KIR18" s="255"/>
      <c r="KIS18" s="255"/>
      <c r="KIT18" s="255"/>
      <c r="KIU18" s="255"/>
      <c r="KIV18" s="255"/>
      <c r="KIW18" s="255"/>
      <c r="KIX18" s="255"/>
      <c r="KIY18" s="255"/>
      <c r="KIZ18" s="255"/>
      <c r="KJA18" s="255"/>
      <c r="KJB18" s="255"/>
      <c r="KJC18" s="255"/>
      <c r="KJD18" s="255"/>
      <c r="KJE18" s="255"/>
      <c r="KJF18" s="255"/>
      <c r="KJG18" s="255"/>
      <c r="KJH18" s="255"/>
      <c r="KJI18" s="255"/>
      <c r="KJJ18" s="255"/>
      <c r="KJK18" s="255"/>
      <c r="KJL18" s="255"/>
      <c r="KJM18" s="255"/>
      <c r="KJN18" s="255"/>
      <c r="KJO18" s="255"/>
      <c r="KJP18" s="255"/>
      <c r="KJQ18" s="255"/>
      <c r="KJR18" s="255"/>
      <c r="KJS18" s="255"/>
      <c r="KJT18" s="255"/>
      <c r="KJU18" s="255"/>
      <c r="KJV18" s="255"/>
      <c r="KJW18" s="255"/>
      <c r="KJX18" s="255"/>
      <c r="KJY18" s="255"/>
      <c r="KJZ18" s="255"/>
      <c r="KKA18" s="255"/>
      <c r="KKB18" s="255"/>
      <c r="KKC18" s="255"/>
      <c r="KKD18" s="255"/>
      <c r="KKE18" s="255"/>
      <c r="KKF18" s="255"/>
      <c r="KKG18" s="255"/>
      <c r="KKH18" s="255"/>
      <c r="KKI18" s="255"/>
      <c r="KKJ18" s="255"/>
      <c r="KKK18" s="255"/>
      <c r="KKL18" s="255"/>
      <c r="KKM18" s="255"/>
      <c r="KKN18" s="255"/>
      <c r="KKO18" s="255"/>
      <c r="KKP18" s="255"/>
      <c r="KKQ18" s="255"/>
      <c r="KKR18" s="255"/>
      <c r="KKS18" s="255"/>
      <c r="KKT18" s="255"/>
      <c r="KKU18" s="255"/>
      <c r="KKV18" s="255"/>
      <c r="KKW18" s="255"/>
      <c r="KKX18" s="255"/>
      <c r="KKY18" s="255"/>
      <c r="KKZ18" s="255"/>
      <c r="KLA18" s="255"/>
      <c r="KLB18" s="255"/>
      <c r="KLC18" s="255"/>
      <c r="KLD18" s="255"/>
      <c r="KLE18" s="255"/>
      <c r="KLF18" s="255"/>
      <c r="KLG18" s="255"/>
      <c r="KLH18" s="255"/>
      <c r="KLI18" s="255"/>
      <c r="KLJ18" s="255"/>
      <c r="KLK18" s="255"/>
      <c r="KLL18" s="255"/>
      <c r="KLM18" s="255"/>
      <c r="KLN18" s="255"/>
      <c r="KLO18" s="255"/>
      <c r="KLP18" s="255"/>
      <c r="KLQ18" s="255"/>
      <c r="KLR18" s="255"/>
      <c r="KLS18" s="255"/>
      <c r="KLT18" s="255"/>
      <c r="KLU18" s="255"/>
      <c r="KLV18" s="255"/>
      <c r="KLW18" s="255"/>
      <c r="KLX18" s="255"/>
      <c r="KLY18" s="255"/>
      <c r="KLZ18" s="255"/>
      <c r="KMA18" s="255"/>
      <c r="KMB18" s="255"/>
      <c r="KMC18" s="255"/>
      <c r="KMD18" s="255"/>
      <c r="KME18" s="255"/>
      <c r="KMF18" s="255"/>
      <c r="KMG18" s="255"/>
      <c r="KMH18" s="255"/>
      <c r="KMI18" s="255"/>
      <c r="KMJ18" s="255"/>
      <c r="KMK18" s="255"/>
      <c r="KML18" s="255"/>
      <c r="KMM18" s="255"/>
      <c r="KMN18" s="255"/>
      <c r="KMO18" s="255"/>
      <c r="KMP18" s="255"/>
      <c r="KMQ18" s="255"/>
      <c r="KMR18" s="255"/>
      <c r="KMS18" s="255"/>
      <c r="KMT18" s="255"/>
      <c r="KMU18" s="255"/>
      <c r="KMV18" s="255"/>
      <c r="KMW18" s="255"/>
      <c r="KMX18" s="255"/>
      <c r="KMY18" s="255"/>
      <c r="KMZ18" s="255"/>
      <c r="KNA18" s="255"/>
      <c r="KNB18" s="255"/>
      <c r="KNC18" s="255"/>
      <c r="KND18" s="255"/>
      <c r="KNE18" s="255"/>
      <c r="KNF18" s="255"/>
      <c r="KNG18" s="255"/>
      <c r="KNH18" s="255"/>
      <c r="KNI18" s="255"/>
      <c r="KNJ18" s="255"/>
      <c r="KNK18" s="255"/>
      <c r="KNL18" s="255"/>
      <c r="KNM18" s="255"/>
      <c r="KNN18" s="255"/>
      <c r="KNO18" s="255"/>
      <c r="KNP18" s="255"/>
      <c r="KNQ18" s="255"/>
      <c r="KNR18" s="255"/>
      <c r="KNS18" s="255"/>
      <c r="KNT18" s="255"/>
      <c r="KNU18" s="255"/>
      <c r="KNV18" s="255"/>
      <c r="KNW18" s="255"/>
      <c r="KNX18" s="255"/>
      <c r="KNY18" s="255"/>
      <c r="KNZ18" s="255"/>
      <c r="KOA18" s="255"/>
      <c r="KOB18" s="255"/>
      <c r="KOC18" s="255"/>
      <c r="KOD18" s="255"/>
      <c r="KOE18" s="255"/>
      <c r="KOF18" s="255"/>
      <c r="KOG18" s="255"/>
      <c r="KOH18" s="255"/>
      <c r="KOI18" s="255"/>
      <c r="KOJ18" s="255"/>
      <c r="KOK18" s="255"/>
      <c r="KOL18" s="255"/>
      <c r="KOM18" s="255"/>
      <c r="KON18" s="255"/>
      <c r="KOO18" s="255"/>
      <c r="KOP18" s="255"/>
      <c r="KOQ18" s="255"/>
      <c r="KOR18" s="255"/>
      <c r="KOS18" s="255"/>
      <c r="KOT18" s="255"/>
      <c r="KOU18" s="255"/>
      <c r="KOV18" s="255"/>
      <c r="KOW18" s="255"/>
      <c r="KOX18" s="255"/>
      <c r="KOY18" s="255"/>
      <c r="KOZ18" s="255"/>
      <c r="KPA18" s="255"/>
      <c r="KPB18" s="255"/>
      <c r="KPC18" s="255"/>
      <c r="KPD18" s="255"/>
      <c r="KPE18" s="255"/>
      <c r="KPF18" s="255"/>
      <c r="KPG18" s="255"/>
      <c r="KPH18" s="255"/>
      <c r="KPI18" s="255"/>
      <c r="KPJ18" s="255"/>
      <c r="KPK18" s="255"/>
      <c r="KPL18" s="255"/>
      <c r="KPM18" s="255"/>
      <c r="KPN18" s="255"/>
      <c r="KPO18" s="255"/>
      <c r="KPP18" s="255"/>
      <c r="KPQ18" s="255"/>
      <c r="KPR18" s="255"/>
      <c r="KPS18" s="255"/>
      <c r="KPT18" s="255"/>
      <c r="KPU18" s="255"/>
      <c r="KPV18" s="255"/>
      <c r="KPW18" s="255"/>
      <c r="KPX18" s="255"/>
      <c r="KPY18" s="255"/>
      <c r="KPZ18" s="255"/>
      <c r="KQA18" s="255"/>
      <c r="KQB18" s="255"/>
      <c r="KQC18" s="255"/>
      <c r="KQD18" s="255"/>
      <c r="KQE18" s="255"/>
      <c r="KQF18" s="255"/>
      <c r="KQG18" s="255"/>
      <c r="KQH18" s="255"/>
      <c r="KQI18" s="255"/>
      <c r="KQJ18" s="255"/>
      <c r="KQK18" s="255"/>
      <c r="KQL18" s="255"/>
      <c r="KQM18" s="255"/>
      <c r="KQN18" s="255"/>
      <c r="KQO18" s="255"/>
      <c r="KQP18" s="255"/>
      <c r="KQQ18" s="255"/>
      <c r="KQR18" s="255"/>
      <c r="KQS18" s="255"/>
      <c r="KQT18" s="255"/>
      <c r="KQU18" s="255"/>
      <c r="KQV18" s="255"/>
      <c r="KQW18" s="255"/>
      <c r="KQX18" s="255"/>
      <c r="KQY18" s="255"/>
      <c r="KQZ18" s="255"/>
      <c r="KRA18" s="255"/>
      <c r="KRB18" s="255"/>
      <c r="KRC18" s="255"/>
      <c r="KRD18" s="255"/>
      <c r="KRE18" s="255"/>
      <c r="KRF18" s="255"/>
      <c r="KRG18" s="255"/>
      <c r="KRH18" s="255"/>
      <c r="KRI18" s="255"/>
      <c r="KRJ18" s="255"/>
      <c r="KRK18" s="255"/>
      <c r="KRL18" s="255"/>
      <c r="KRM18" s="255"/>
      <c r="KRN18" s="255"/>
      <c r="KRO18" s="255"/>
      <c r="KRP18" s="255"/>
      <c r="KRQ18" s="255"/>
      <c r="KRR18" s="255"/>
      <c r="KRS18" s="255"/>
      <c r="KRT18" s="255"/>
      <c r="KRU18" s="255"/>
      <c r="KRV18" s="255"/>
      <c r="KRW18" s="255"/>
      <c r="KRX18" s="255"/>
      <c r="KRY18" s="255"/>
      <c r="KRZ18" s="255"/>
      <c r="KSA18" s="255"/>
      <c r="KSB18" s="255"/>
      <c r="KSC18" s="255"/>
      <c r="KSD18" s="255"/>
      <c r="KSE18" s="255"/>
      <c r="KSF18" s="255"/>
      <c r="KSG18" s="255"/>
      <c r="KSH18" s="255"/>
      <c r="KSI18" s="255"/>
      <c r="KSJ18" s="255"/>
      <c r="KSK18" s="255"/>
      <c r="KSL18" s="255"/>
      <c r="KSM18" s="255"/>
      <c r="KSN18" s="255"/>
      <c r="KSO18" s="255"/>
      <c r="KSP18" s="255"/>
      <c r="KSQ18" s="255"/>
      <c r="KSR18" s="255"/>
      <c r="KSS18" s="255"/>
      <c r="KST18" s="255"/>
      <c r="KSU18" s="255"/>
      <c r="KSV18" s="255"/>
      <c r="KSW18" s="255"/>
      <c r="KSX18" s="255"/>
      <c r="KSY18" s="255"/>
      <c r="KSZ18" s="255"/>
      <c r="KTA18" s="255"/>
      <c r="KTB18" s="255"/>
      <c r="KTC18" s="255"/>
      <c r="KTD18" s="255"/>
      <c r="KTE18" s="255"/>
      <c r="KTF18" s="255"/>
      <c r="KTG18" s="255"/>
      <c r="KTH18" s="255"/>
      <c r="KTI18" s="255"/>
      <c r="KTJ18" s="255"/>
      <c r="KTK18" s="255"/>
      <c r="KTL18" s="255"/>
      <c r="KTM18" s="255"/>
      <c r="KTN18" s="255"/>
      <c r="KTO18" s="255"/>
      <c r="KTP18" s="255"/>
      <c r="KTQ18" s="255"/>
      <c r="KTR18" s="255"/>
      <c r="KTS18" s="255"/>
      <c r="KTT18" s="255"/>
      <c r="KTU18" s="255"/>
      <c r="KTV18" s="255"/>
      <c r="KTW18" s="255"/>
      <c r="KTX18" s="255"/>
      <c r="KTY18" s="255"/>
      <c r="KTZ18" s="255"/>
      <c r="KUA18" s="255"/>
      <c r="KUB18" s="255"/>
      <c r="KUC18" s="255"/>
      <c r="KUD18" s="255"/>
      <c r="KUE18" s="255"/>
      <c r="KUF18" s="255"/>
      <c r="KUG18" s="255"/>
      <c r="KUH18" s="255"/>
      <c r="KUI18" s="255"/>
      <c r="KUJ18" s="255"/>
      <c r="KUK18" s="255"/>
      <c r="KUL18" s="255"/>
      <c r="KUM18" s="255"/>
      <c r="KUN18" s="255"/>
      <c r="KUO18" s="255"/>
      <c r="KUP18" s="255"/>
      <c r="KUQ18" s="255"/>
      <c r="KUR18" s="255"/>
      <c r="KUS18" s="255"/>
      <c r="KUT18" s="255"/>
      <c r="KUU18" s="255"/>
      <c r="KUV18" s="255"/>
      <c r="KUW18" s="255"/>
      <c r="KUX18" s="255"/>
      <c r="KUY18" s="255"/>
      <c r="KUZ18" s="255"/>
      <c r="KVA18" s="255"/>
      <c r="KVB18" s="255"/>
      <c r="KVC18" s="255"/>
      <c r="KVD18" s="255"/>
      <c r="KVE18" s="255"/>
      <c r="KVF18" s="255"/>
      <c r="KVG18" s="255"/>
      <c r="KVH18" s="255"/>
      <c r="KVI18" s="255"/>
      <c r="KVJ18" s="255"/>
      <c r="KVK18" s="255"/>
      <c r="KVL18" s="255"/>
      <c r="KVM18" s="255"/>
      <c r="KVN18" s="255"/>
      <c r="KVO18" s="255"/>
      <c r="KVP18" s="255"/>
      <c r="KVQ18" s="255"/>
      <c r="KVR18" s="255"/>
      <c r="KVS18" s="255"/>
      <c r="KVT18" s="255"/>
      <c r="KVU18" s="255"/>
      <c r="KVV18" s="255"/>
      <c r="KVW18" s="255"/>
      <c r="KVX18" s="255"/>
      <c r="KVY18" s="255"/>
      <c r="KVZ18" s="255"/>
      <c r="KWA18" s="255"/>
      <c r="KWB18" s="255"/>
      <c r="KWC18" s="255"/>
      <c r="KWD18" s="255"/>
      <c r="KWE18" s="255"/>
      <c r="KWF18" s="255"/>
      <c r="KWG18" s="255"/>
      <c r="KWH18" s="255"/>
      <c r="KWI18" s="255"/>
      <c r="KWJ18" s="255"/>
      <c r="KWK18" s="255"/>
      <c r="KWL18" s="255"/>
      <c r="KWM18" s="255"/>
      <c r="KWN18" s="255"/>
      <c r="KWO18" s="255"/>
      <c r="KWP18" s="255"/>
      <c r="KWQ18" s="255"/>
      <c r="KWR18" s="255"/>
      <c r="KWS18" s="255"/>
      <c r="KWT18" s="255"/>
      <c r="KWU18" s="255"/>
      <c r="KWV18" s="255"/>
      <c r="KWW18" s="255"/>
      <c r="KWX18" s="255"/>
      <c r="KWY18" s="255"/>
      <c r="KWZ18" s="255"/>
      <c r="KXA18" s="255"/>
      <c r="KXB18" s="255"/>
      <c r="KXC18" s="255"/>
      <c r="KXD18" s="255"/>
      <c r="KXE18" s="255"/>
      <c r="KXF18" s="255"/>
      <c r="KXG18" s="255"/>
      <c r="KXH18" s="255"/>
      <c r="KXI18" s="255"/>
      <c r="KXJ18" s="255"/>
      <c r="KXK18" s="255"/>
      <c r="KXL18" s="255"/>
      <c r="KXM18" s="255"/>
      <c r="KXN18" s="255"/>
      <c r="KXO18" s="255"/>
      <c r="KXP18" s="255"/>
      <c r="KXQ18" s="255"/>
      <c r="KXR18" s="255"/>
      <c r="KXS18" s="255"/>
      <c r="KXT18" s="255"/>
      <c r="KXU18" s="255"/>
      <c r="KXV18" s="255"/>
      <c r="KXW18" s="255"/>
      <c r="KXX18" s="255"/>
      <c r="KXY18" s="255"/>
      <c r="KXZ18" s="255"/>
      <c r="KYA18" s="255"/>
      <c r="KYB18" s="255"/>
      <c r="KYC18" s="255"/>
      <c r="KYD18" s="255"/>
      <c r="KYE18" s="255"/>
      <c r="KYF18" s="255"/>
      <c r="KYG18" s="255"/>
      <c r="KYH18" s="255"/>
      <c r="KYI18" s="255"/>
      <c r="KYJ18" s="255"/>
      <c r="KYK18" s="255"/>
      <c r="KYL18" s="255"/>
      <c r="KYM18" s="255"/>
      <c r="KYN18" s="255"/>
      <c r="KYO18" s="255"/>
      <c r="KYP18" s="255"/>
      <c r="KYQ18" s="255"/>
      <c r="KYR18" s="255"/>
      <c r="KYS18" s="255"/>
      <c r="KYT18" s="255"/>
      <c r="KYU18" s="255"/>
      <c r="KYV18" s="255"/>
      <c r="KYW18" s="255"/>
      <c r="KYX18" s="255"/>
      <c r="KYY18" s="255"/>
      <c r="KYZ18" s="255"/>
      <c r="KZA18" s="255"/>
      <c r="KZB18" s="255"/>
      <c r="KZC18" s="255"/>
      <c r="KZD18" s="255"/>
      <c r="KZE18" s="255"/>
      <c r="KZF18" s="255"/>
      <c r="KZG18" s="255"/>
      <c r="KZH18" s="255"/>
      <c r="KZI18" s="255"/>
      <c r="KZJ18" s="255"/>
      <c r="KZK18" s="255"/>
      <c r="KZL18" s="255"/>
      <c r="KZM18" s="255"/>
      <c r="KZN18" s="255"/>
      <c r="KZO18" s="255"/>
      <c r="KZP18" s="255"/>
      <c r="KZQ18" s="255"/>
      <c r="KZR18" s="255"/>
      <c r="KZS18" s="255"/>
      <c r="KZT18" s="255"/>
      <c r="KZU18" s="255"/>
      <c r="KZV18" s="255"/>
      <c r="KZW18" s="255"/>
      <c r="KZX18" s="255"/>
      <c r="KZY18" s="255"/>
      <c r="KZZ18" s="255"/>
      <c r="LAA18" s="255"/>
      <c r="LAB18" s="255"/>
      <c r="LAC18" s="255"/>
      <c r="LAD18" s="255"/>
      <c r="LAE18" s="255"/>
      <c r="LAF18" s="255"/>
      <c r="LAG18" s="255"/>
      <c r="LAH18" s="255"/>
      <c r="LAI18" s="255"/>
      <c r="LAJ18" s="255"/>
      <c r="LAK18" s="255"/>
      <c r="LAL18" s="255"/>
      <c r="LAM18" s="255"/>
      <c r="LAN18" s="255"/>
      <c r="LAO18" s="255"/>
      <c r="LAP18" s="255"/>
      <c r="LAQ18" s="255"/>
      <c r="LAR18" s="255"/>
      <c r="LAS18" s="255"/>
      <c r="LAT18" s="255"/>
      <c r="LAU18" s="255"/>
      <c r="LAV18" s="255"/>
      <c r="LAW18" s="255"/>
      <c r="LAX18" s="255"/>
      <c r="LAY18" s="255"/>
      <c r="LAZ18" s="255"/>
      <c r="LBA18" s="255"/>
      <c r="LBB18" s="255"/>
      <c r="LBC18" s="255"/>
      <c r="LBD18" s="255"/>
      <c r="LBE18" s="255"/>
      <c r="LBF18" s="255"/>
      <c r="LBG18" s="255"/>
      <c r="LBH18" s="255"/>
      <c r="LBI18" s="255"/>
      <c r="LBJ18" s="255"/>
      <c r="LBK18" s="255"/>
      <c r="LBL18" s="255"/>
      <c r="LBM18" s="255"/>
      <c r="LBN18" s="255"/>
      <c r="LBO18" s="255"/>
      <c r="LBP18" s="255"/>
      <c r="LBQ18" s="255"/>
      <c r="LBR18" s="255"/>
      <c r="LBS18" s="255"/>
      <c r="LBT18" s="255"/>
      <c r="LBU18" s="255"/>
      <c r="LBV18" s="255"/>
      <c r="LBW18" s="255"/>
      <c r="LBX18" s="255"/>
      <c r="LBY18" s="255"/>
      <c r="LBZ18" s="255"/>
      <c r="LCA18" s="255"/>
      <c r="LCB18" s="255"/>
      <c r="LCC18" s="255"/>
      <c r="LCD18" s="255"/>
      <c r="LCE18" s="255"/>
      <c r="LCF18" s="255"/>
      <c r="LCG18" s="255"/>
      <c r="LCH18" s="255"/>
      <c r="LCI18" s="255"/>
      <c r="LCJ18" s="255"/>
      <c r="LCK18" s="255"/>
      <c r="LCL18" s="255"/>
      <c r="LCM18" s="255"/>
      <c r="LCN18" s="255"/>
      <c r="LCO18" s="255"/>
      <c r="LCP18" s="255"/>
      <c r="LCQ18" s="255"/>
      <c r="LCR18" s="255"/>
      <c r="LCS18" s="255"/>
      <c r="LCT18" s="255"/>
      <c r="LCU18" s="255"/>
      <c r="LCV18" s="255"/>
      <c r="LCW18" s="255"/>
      <c r="LCX18" s="255"/>
      <c r="LCY18" s="255"/>
      <c r="LCZ18" s="255"/>
      <c r="LDA18" s="255"/>
      <c r="LDB18" s="255"/>
      <c r="LDC18" s="255"/>
      <c r="LDD18" s="255"/>
      <c r="LDE18" s="255"/>
      <c r="LDF18" s="255"/>
      <c r="LDG18" s="255"/>
      <c r="LDH18" s="255"/>
      <c r="LDI18" s="255"/>
      <c r="LDJ18" s="255"/>
      <c r="LDK18" s="255"/>
      <c r="LDL18" s="255"/>
      <c r="LDM18" s="255"/>
      <c r="LDN18" s="255"/>
      <c r="LDO18" s="255"/>
      <c r="LDP18" s="255"/>
      <c r="LDQ18" s="255"/>
      <c r="LDR18" s="255"/>
      <c r="LDS18" s="255"/>
      <c r="LDT18" s="255"/>
      <c r="LDU18" s="255"/>
      <c r="LDV18" s="255"/>
      <c r="LDW18" s="255"/>
      <c r="LDX18" s="255"/>
      <c r="LDY18" s="255"/>
      <c r="LDZ18" s="255"/>
      <c r="LEA18" s="255"/>
      <c r="LEB18" s="255"/>
      <c r="LEC18" s="255"/>
      <c r="LED18" s="255"/>
      <c r="LEE18" s="255"/>
      <c r="LEF18" s="255"/>
      <c r="LEG18" s="255"/>
      <c r="LEH18" s="255"/>
      <c r="LEI18" s="255"/>
      <c r="LEJ18" s="255"/>
      <c r="LEK18" s="255"/>
      <c r="LEL18" s="255"/>
      <c r="LEM18" s="255"/>
      <c r="LEN18" s="255"/>
      <c r="LEO18" s="255"/>
      <c r="LEP18" s="255"/>
      <c r="LEQ18" s="255"/>
      <c r="LER18" s="255"/>
      <c r="LES18" s="255"/>
      <c r="LET18" s="255"/>
      <c r="LEU18" s="255"/>
      <c r="LEV18" s="255"/>
      <c r="LEW18" s="255"/>
      <c r="LEX18" s="255"/>
      <c r="LEY18" s="255"/>
      <c r="LEZ18" s="255"/>
      <c r="LFA18" s="255"/>
      <c r="LFB18" s="255"/>
      <c r="LFC18" s="255"/>
      <c r="LFD18" s="255"/>
      <c r="LFE18" s="255"/>
      <c r="LFF18" s="255"/>
      <c r="LFG18" s="255"/>
      <c r="LFH18" s="255"/>
      <c r="LFI18" s="255"/>
      <c r="LFJ18" s="255"/>
      <c r="LFK18" s="255"/>
      <c r="LFL18" s="255"/>
      <c r="LFM18" s="255"/>
      <c r="LFN18" s="255"/>
      <c r="LFO18" s="255"/>
      <c r="LFP18" s="255"/>
      <c r="LFQ18" s="255"/>
      <c r="LFR18" s="255"/>
      <c r="LFS18" s="255"/>
      <c r="LFT18" s="255"/>
      <c r="LFU18" s="255"/>
      <c r="LFV18" s="255"/>
      <c r="LFW18" s="255"/>
      <c r="LFX18" s="255"/>
      <c r="LFY18" s="255"/>
      <c r="LFZ18" s="255"/>
      <c r="LGA18" s="255"/>
      <c r="LGB18" s="255"/>
      <c r="LGC18" s="255"/>
      <c r="LGD18" s="255"/>
      <c r="LGE18" s="255"/>
      <c r="LGF18" s="255"/>
      <c r="LGG18" s="255"/>
      <c r="LGH18" s="255"/>
      <c r="LGI18" s="255"/>
      <c r="LGJ18" s="255"/>
      <c r="LGK18" s="255"/>
      <c r="LGL18" s="255"/>
      <c r="LGM18" s="255"/>
      <c r="LGN18" s="255"/>
      <c r="LGO18" s="255"/>
      <c r="LGP18" s="255"/>
      <c r="LGQ18" s="255"/>
      <c r="LGR18" s="255"/>
      <c r="LGS18" s="255"/>
      <c r="LGT18" s="255"/>
      <c r="LGU18" s="255"/>
      <c r="LGV18" s="255"/>
      <c r="LGW18" s="255"/>
      <c r="LGX18" s="255"/>
      <c r="LGY18" s="255"/>
      <c r="LGZ18" s="255"/>
      <c r="LHA18" s="255"/>
      <c r="LHB18" s="255"/>
      <c r="LHC18" s="255"/>
      <c r="LHD18" s="255"/>
      <c r="LHE18" s="255"/>
      <c r="LHF18" s="255"/>
      <c r="LHG18" s="255"/>
      <c r="LHH18" s="255"/>
      <c r="LHI18" s="255"/>
      <c r="LHJ18" s="255"/>
      <c r="LHK18" s="255"/>
      <c r="LHL18" s="255"/>
      <c r="LHM18" s="255"/>
      <c r="LHN18" s="255"/>
      <c r="LHO18" s="255"/>
      <c r="LHP18" s="255"/>
      <c r="LHQ18" s="255"/>
      <c r="LHR18" s="255"/>
      <c r="LHS18" s="255"/>
      <c r="LHT18" s="255"/>
      <c r="LHU18" s="255"/>
      <c r="LHV18" s="255"/>
      <c r="LHW18" s="255"/>
      <c r="LHX18" s="255"/>
      <c r="LHY18" s="255"/>
      <c r="LHZ18" s="255"/>
      <c r="LIA18" s="255"/>
      <c r="LIB18" s="255"/>
      <c r="LIC18" s="255"/>
      <c r="LID18" s="255"/>
      <c r="LIE18" s="255"/>
      <c r="LIF18" s="255"/>
      <c r="LIG18" s="255"/>
      <c r="LIH18" s="255"/>
      <c r="LII18" s="255"/>
      <c r="LIJ18" s="255"/>
      <c r="LIK18" s="255"/>
      <c r="LIL18" s="255"/>
      <c r="LIM18" s="255"/>
      <c r="LIN18" s="255"/>
      <c r="LIO18" s="255"/>
      <c r="LIP18" s="255"/>
      <c r="LIQ18" s="255"/>
      <c r="LIR18" s="255"/>
      <c r="LIS18" s="255"/>
      <c r="LIT18" s="255"/>
      <c r="LIU18" s="255"/>
      <c r="LIV18" s="255"/>
      <c r="LIW18" s="255"/>
      <c r="LIX18" s="255"/>
      <c r="LIY18" s="255"/>
      <c r="LIZ18" s="255"/>
      <c r="LJA18" s="255"/>
      <c r="LJB18" s="255"/>
      <c r="LJC18" s="255"/>
      <c r="LJD18" s="255"/>
      <c r="LJE18" s="255"/>
      <c r="LJF18" s="255"/>
      <c r="LJG18" s="255"/>
      <c r="LJH18" s="255"/>
      <c r="LJI18" s="255"/>
      <c r="LJJ18" s="255"/>
      <c r="LJK18" s="255"/>
      <c r="LJL18" s="255"/>
      <c r="LJM18" s="255"/>
      <c r="LJN18" s="255"/>
      <c r="LJO18" s="255"/>
      <c r="LJP18" s="255"/>
      <c r="LJQ18" s="255"/>
      <c r="LJR18" s="255"/>
      <c r="LJS18" s="255"/>
      <c r="LJT18" s="255"/>
      <c r="LJU18" s="255"/>
      <c r="LJV18" s="255"/>
      <c r="LJW18" s="255"/>
      <c r="LJX18" s="255"/>
      <c r="LJY18" s="255"/>
      <c r="LJZ18" s="255"/>
      <c r="LKA18" s="255"/>
      <c r="LKB18" s="255"/>
      <c r="LKC18" s="255"/>
      <c r="LKD18" s="255"/>
      <c r="LKE18" s="255"/>
      <c r="LKF18" s="255"/>
      <c r="LKG18" s="255"/>
      <c r="LKH18" s="255"/>
      <c r="LKI18" s="255"/>
      <c r="LKJ18" s="255"/>
      <c r="LKK18" s="255"/>
      <c r="LKL18" s="255"/>
      <c r="LKM18" s="255"/>
      <c r="LKN18" s="255"/>
      <c r="LKO18" s="255"/>
      <c r="LKP18" s="255"/>
      <c r="LKQ18" s="255"/>
      <c r="LKR18" s="255"/>
      <c r="LKS18" s="255"/>
      <c r="LKT18" s="255"/>
      <c r="LKU18" s="255"/>
      <c r="LKV18" s="255"/>
      <c r="LKW18" s="255"/>
      <c r="LKX18" s="255"/>
      <c r="LKY18" s="255"/>
      <c r="LKZ18" s="255"/>
      <c r="LLA18" s="255"/>
      <c r="LLB18" s="255"/>
      <c r="LLC18" s="255"/>
      <c r="LLD18" s="255"/>
      <c r="LLE18" s="255"/>
      <c r="LLF18" s="255"/>
      <c r="LLG18" s="255"/>
      <c r="LLH18" s="255"/>
      <c r="LLI18" s="255"/>
      <c r="LLJ18" s="255"/>
      <c r="LLK18" s="255"/>
      <c r="LLL18" s="255"/>
      <c r="LLM18" s="255"/>
      <c r="LLN18" s="255"/>
      <c r="LLO18" s="255"/>
      <c r="LLP18" s="255"/>
      <c r="LLQ18" s="255"/>
      <c r="LLR18" s="255"/>
      <c r="LLS18" s="255"/>
      <c r="LLT18" s="255"/>
      <c r="LLU18" s="255"/>
      <c r="LLV18" s="255"/>
      <c r="LLW18" s="255"/>
      <c r="LLX18" s="255"/>
      <c r="LLY18" s="255"/>
      <c r="LLZ18" s="255"/>
      <c r="LMA18" s="255"/>
      <c r="LMB18" s="255"/>
      <c r="LMC18" s="255"/>
      <c r="LMD18" s="255"/>
      <c r="LME18" s="255"/>
      <c r="LMF18" s="255"/>
      <c r="LMG18" s="255"/>
      <c r="LMH18" s="255"/>
      <c r="LMI18" s="255"/>
      <c r="LMJ18" s="255"/>
      <c r="LMK18" s="255"/>
      <c r="LML18" s="255"/>
      <c r="LMM18" s="255"/>
      <c r="LMN18" s="255"/>
      <c r="LMO18" s="255"/>
      <c r="LMP18" s="255"/>
      <c r="LMQ18" s="255"/>
      <c r="LMR18" s="255"/>
      <c r="LMS18" s="255"/>
      <c r="LMT18" s="255"/>
      <c r="LMU18" s="255"/>
      <c r="LMV18" s="255"/>
      <c r="LMW18" s="255"/>
      <c r="LMX18" s="255"/>
      <c r="LMY18" s="255"/>
      <c r="LMZ18" s="255"/>
      <c r="LNA18" s="255"/>
      <c r="LNB18" s="255"/>
      <c r="LNC18" s="255"/>
      <c r="LND18" s="255"/>
      <c r="LNE18" s="255"/>
      <c r="LNF18" s="255"/>
      <c r="LNG18" s="255"/>
      <c r="LNH18" s="255"/>
      <c r="LNI18" s="255"/>
      <c r="LNJ18" s="255"/>
      <c r="LNK18" s="255"/>
      <c r="LNL18" s="255"/>
      <c r="LNM18" s="255"/>
      <c r="LNN18" s="255"/>
      <c r="LNO18" s="255"/>
      <c r="LNP18" s="255"/>
      <c r="LNQ18" s="255"/>
      <c r="LNR18" s="255"/>
      <c r="LNS18" s="255"/>
      <c r="LNT18" s="255"/>
      <c r="LNU18" s="255"/>
      <c r="LNV18" s="255"/>
      <c r="LNW18" s="255"/>
      <c r="LNX18" s="255"/>
      <c r="LNY18" s="255"/>
      <c r="LNZ18" s="255"/>
      <c r="LOA18" s="255"/>
      <c r="LOB18" s="255"/>
      <c r="LOC18" s="255"/>
      <c r="LOD18" s="255"/>
      <c r="LOE18" s="255"/>
      <c r="LOF18" s="255"/>
      <c r="LOG18" s="255"/>
      <c r="LOH18" s="255"/>
      <c r="LOI18" s="255"/>
      <c r="LOJ18" s="255"/>
      <c r="LOK18" s="255"/>
      <c r="LOL18" s="255"/>
      <c r="LOM18" s="255"/>
      <c r="LON18" s="255"/>
      <c r="LOO18" s="255"/>
      <c r="LOP18" s="255"/>
      <c r="LOQ18" s="255"/>
      <c r="LOR18" s="255"/>
      <c r="LOS18" s="255"/>
      <c r="LOT18" s="255"/>
      <c r="LOU18" s="255"/>
      <c r="LOV18" s="255"/>
      <c r="LOW18" s="255"/>
      <c r="LOX18" s="255"/>
      <c r="LOY18" s="255"/>
      <c r="LOZ18" s="255"/>
      <c r="LPA18" s="255"/>
      <c r="LPB18" s="255"/>
      <c r="LPC18" s="255"/>
      <c r="LPD18" s="255"/>
      <c r="LPE18" s="255"/>
      <c r="LPF18" s="255"/>
      <c r="LPG18" s="255"/>
      <c r="LPH18" s="255"/>
      <c r="LPI18" s="255"/>
      <c r="LPJ18" s="255"/>
      <c r="LPK18" s="255"/>
      <c r="LPL18" s="255"/>
      <c r="LPM18" s="255"/>
      <c r="LPN18" s="255"/>
      <c r="LPO18" s="255"/>
      <c r="LPP18" s="255"/>
      <c r="LPQ18" s="255"/>
      <c r="LPR18" s="255"/>
      <c r="LPS18" s="255"/>
      <c r="LPT18" s="255"/>
      <c r="LPU18" s="255"/>
      <c r="LPV18" s="255"/>
      <c r="LPW18" s="255"/>
      <c r="LPX18" s="255"/>
      <c r="LPY18" s="255"/>
      <c r="LPZ18" s="255"/>
      <c r="LQA18" s="255"/>
      <c r="LQB18" s="255"/>
      <c r="LQC18" s="255"/>
      <c r="LQD18" s="255"/>
      <c r="LQE18" s="255"/>
      <c r="LQF18" s="255"/>
      <c r="LQG18" s="255"/>
      <c r="LQH18" s="255"/>
      <c r="LQI18" s="255"/>
      <c r="LQJ18" s="255"/>
      <c r="LQK18" s="255"/>
      <c r="LQL18" s="255"/>
      <c r="LQM18" s="255"/>
      <c r="LQN18" s="255"/>
      <c r="LQO18" s="255"/>
      <c r="LQP18" s="255"/>
      <c r="LQQ18" s="255"/>
      <c r="LQR18" s="255"/>
      <c r="LQS18" s="255"/>
      <c r="LQT18" s="255"/>
      <c r="LQU18" s="255"/>
      <c r="LQV18" s="255"/>
      <c r="LQW18" s="255"/>
      <c r="LQX18" s="255"/>
      <c r="LQY18" s="255"/>
      <c r="LQZ18" s="255"/>
      <c r="LRA18" s="255"/>
      <c r="LRB18" s="255"/>
      <c r="LRC18" s="255"/>
      <c r="LRD18" s="255"/>
      <c r="LRE18" s="255"/>
      <c r="LRF18" s="255"/>
      <c r="LRG18" s="255"/>
      <c r="LRH18" s="255"/>
      <c r="LRI18" s="255"/>
      <c r="LRJ18" s="255"/>
      <c r="LRK18" s="255"/>
      <c r="LRL18" s="255"/>
      <c r="LRM18" s="255"/>
      <c r="LRN18" s="255"/>
      <c r="LRO18" s="255"/>
      <c r="LRP18" s="255"/>
      <c r="LRQ18" s="255"/>
      <c r="LRR18" s="255"/>
      <c r="LRS18" s="255"/>
      <c r="LRT18" s="255"/>
      <c r="LRU18" s="255"/>
      <c r="LRV18" s="255"/>
      <c r="LRW18" s="255"/>
      <c r="LRX18" s="255"/>
      <c r="LRY18" s="255"/>
      <c r="LRZ18" s="255"/>
      <c r="LSA18" s="255"/>
      <c r="LSB18" s="255"/>
      <c r="LSC18" s="255"/>
      <c r="LSD18" s="255"/>
      <c r="LSE18" s="255"/>
      <c r="LSF18" s="255"/>
      <c r="LSG18" s="255"/>
      <c r="LSH18" s="255"/>
      <c r="LSI18" s="255"/>
      <c r="LSJ18" s="255"/>
      <c r="LSK18" s="255"/>
      <c r="LSL18" s="255"/>
      <c r="LSM18" s="255"/>
      <c r="LSN18" s="255"/>
      <c r="LSO18" s="255"/>
      <c r="LSP18" s="255"/>
      <c r="LSQ18" s="255"/>
      <c r="LSR18" s="255"/>
      <c r="LSS18" s="255"/>
      <c r="LST18" s="255"/>
      <c r="LSU18" s="255"/>
      <c r="LSV18" s="255"/>
      <c r="LSW18" s="255"/>
      <c r="LSX18" s="255"/>
      <c r="LSY18" s="255"/>
      <c r="LSZ18" s="255"/>
      <c r="LTA18" s="255"/>
      <c r="LTB18" s="255"/>
      <c r="LTC18" s="255"/>
      <c r="LTD18" s="255"/>
      <c r="LTE18" s="255"/>
      <c r="LTF18" s="255"/>
      <c r="LTG18" s="255"/>
      <c r="LTH18" s="255"/>
      <c r="LTI18" s="255"/>
      <c r="LTJ18" s="255"/>
      <c r="LTK18" s="255"/>
      <c r="LTL18" s="255"/>
      <c r="LTM18" s="255"/>
      <c r="LTN18" s="255"/>
      <c r="LTO18" s="255"/>
      <c r="LTP18" s="255"/>
      <c r="LTQ18" s="255"/>
      <c r="LTR18" s="255"/>
      <c r="LTS18" s="255"/>
      <c r="LTT18" s="255"/>
      <c r="LTU18" s="255"/>
      <c r="LTV18" s="255"/>
      <c r="LTW18" s="255"/>
      <c r="LTX18" s="255"/>
      <c r="LTY18" s="255"/>
      <c r="LTZ18" s="255"/>
      <c r="LUA18" s="255"/>
      <c r="LUB18" s="255"/>
      <c r="LUC18" s="255"/>
      <c r="LUD18" s="255"/>
      <c r="LUE18" s="255"/>
      <c r="LUF18" s="255"/>
      <c r="LUG18" s="255"/>
      <c r="LUH18" s="255"/>
      <c r="LUI18" s="255"/>
      <c r="LUJ18" s="255"/>
      <c r="LUK18" s="255"/>
      <c r="LUL18" s="255"/>
      <c r="LUM18" s="255"/>
      <c r="LUN18" s="255"/>
      <c r="LUO18" s="255"/>
      <c r="LUP18" s="255"/>
      <c r="LUQ18" s="255"/>
      <c r="LUR18" s="255"/>
      <c r="LUS18" s="255"/>
      <c r="LUT18" s="255"/>
      <c r="LUU18" s="255"/>
      <c r="LUV18" s="255"/>
      <c r="LUW18" s="255"/>
      <c r="LUX18" s="255"/>
      <c r="LUY18" s="255"/>
      <c r="LUZ18" s="255"/>
      <c r="LVA18" s="255"/>
      <c r="LVB18" s="255"/>
      <c r="LVC18" s="255"/>
      <c r="LVD18" s="255"/>
      <c r="LVE18" s="255"/>
      <c r="LVF18" s="255"/>
      <c r="LVG18" s="255"/>
      <c r="LVH18" s="255"/>
      <c r="LVI18" s="255"/>
      <c r="LVJ18" s="255"/>
      <c r="LVK18" s="255"/>
      <c r="LVL18" s="255"/>
      <c r="LVM18" s="255"/>
      <c r="LVN18" s="255"/>
      <c r="LVO18" s="255"/>
      <c r="LVP18" s="255"/>
      <c r="LVQ18" s="255"/>
      <c r="LVR18" s="255"/>
      <c r="LVS18" s="255"/>
      <c r="LVT18" s="255"/>
      <c r="LVU18" s="255"/>
      <c r="LVV18" s="255"/>
      <c r="LVW18" s="255"/>
      <c r="LVX18" s="255"/>
      <c r="LVY18" s="255"/>
      <c r="LVZ18" s="255"/>
      <c r="LWA18" s="255"/>
      <c r="LWB18" s="255"/>
      <c r="LWC18" s="255"/>
      <c r="LWD18" s="255"/>
      <c r="LWE18" s="255"/>
      <c r="LWF18" s="255"/>
      <c r="LWG18" s="255"/>
      <c r="LWH18" s="255"/>
      <c r="LWI18" s="255"/>
      <c r="LWJ18" s="255"/>
      <c r="LWK18" s="255"/>
      <c r="LWL18" s="255"/>
      <c r="LWM18" s="255"/>
      <c r="LWN18" s="255"/>
      <c r="LWO18" s="255"/>
      <c r="LWP18" s="255"/>
      <c r="LWQ18" s="255"/>
      <c r="LWR18" s="255"/>
      <c r="LWS18" s="255"/>
      <c r="LWT18" s="255"/>
      <c r="LWU18" s="255"/>
      <c r="LWV18" s="255"/>
      <c r="LWW18" s="255"/>
      <c r="LWX18" s="255"/>
      <c r="LWY18" s="255"/>
      <c r="LWZ18" s="255"/>
      <c r="LXA18" s="255"/>
      <c r="LXB18" s="255"/>
      <c r="LXC18" s="255"/>
      <c r="LXD18" s="255"/>
      <c r="LXE18" s="255"/>
      <c r="LXF18" s="255"/>
      <c r="LXG18" s="255"/>
      <c r="LXH18" s="255"/>
      <c r="LXI18" s="255"/>
      <c r="LXJ18" s="255"/>
      <c r="LXK18" s="255"/>
      <c r="LXL18" s="255"/>
      <c r="LXM18" s="255"/>
      <c r="LXN18" s="255"/>
      <c r="LXO18" s="255"/>
      <c r="LXP18" s="255"/>
      <c r="LXQ18" s="255"/>
      <c r="LXR18" s="255"/>
      <c r="LXS18" s="255"/>
      <c r="LXT18" s="255"/>
      <c r="LXU18" s="255"/>
      <c r="LXV18" s="255"/>
      <c r="LXW18" s="255"/>
      <c r="LXX18" s="255"/>
      <c r="LXY18" s="255"/>
      <c r="LXZ18" s="255"/>
      <c r="LYA18" s="255"/>
      <c r="LYB18" s="255"/>
      <c r="LYC18" s="255"/>
      <c r="LYD18" s="255"/>
      <c r="LYE18" s="255"/>
      <c r="LYF18" s="255"/>
      <c r="LYG18" s="255"/>
      <c r="LYH18" s="255"/>
      <c r="LYI18" s="255"/>
      <c r="LYJ18" s="255"/>
      <c r="LYK18" s="255"/>
      <c r="LYL18" s="255"/>
      <c r="LYM18" s="255"/>
      <c r="LYN18" s="255"/>
      <c r="LYO18" s="255"/>
      <c r="LYP18" s="255"/>
      <c r="LYQ18" s="255"/>
      <c r="LYR18" s="255"/>
      <c r="LYS18" s="255"/>
      <c r="LYT18" s="255"/>
      <c r="LYU18" s="255"/>
      <c r="LYV18" s="255"/>
      <c r="LYW18" s="255"/>
      <c r="LYX18" s="255"/>
      <c r="LYY18" s="255"/>
      <c r="LYZ18" s="255"/>
      <c r="LZA18" s="255"/>
      <c r="LZB18" s="255"/>
      <c r="LZC18" s="255"/>
      <c r="LZD18" s="255"/>
      <c r="LZE18" s="255"/>
      <c r="LZF18" s="255"/>
      <c r="LZG18" s="255"/>
      <c r="LZH18" s="255"/>
      <c r="LZI18" s="255"/>
      <c r="LZJ18" s="255"/>
      <c r="LZK18" s="255"/>
      <c r="LZL18" s="255"/>
      <c r="LZM18" s="255"/>
      <c r="LZN18" s="255"/>
      <c r="LZO18" s="255"/>
      <c r="LZP18" s="255"/>
      <c r="LZQ18" s="255"/>
      <c r="LZR18" s="255"/>
      <c r="LZS18" s="255"/>
      <c r="LZT18" s="255"/>
      <c r="LZU18" s="255"/>
      <c r="LZV18" s="255"/>
      <c r="LZW18" s="255"/>
      <c r="LZX18" s="255"/>
      <c r="LZY18" s="255"/>
      <c r="LZZ18" s="255"/>
      <c r="MAA18" s="255"/>
      <c r="MAB18" s="255"/>
      <c r="MAC18" s="255"/>
      <c r="MAD18" s="255"/>
      <c r="MAE18" s="255"/>
      <c r="MAF18" s="255"/>
      <c r="MAG18" s="255"/>
      <c r="MAH18" s="255"/>
      <c r="MAI18" s="255"/>
      <c r="MAJ18" s="255"/>
      <c r="MAK18" s="255"/>
      <c r="MAL18" s="255"/>
      <c r="MAM18" s="255"/>
      <c r="MAN18" s="255"/>
      <c r="MAO18" s="255"/>
      <c r="MAP18" s="255"/>
      <c r="MAQ18" s="255"/>
      <c r="MAR18" s="255"/>
      <c r="MAS18" s="255"/>
      <c r="MAT18" s="255"/>
      <c r="MAU18" s="255"/>
      <c r="MAV18" s="255"/>
      <c r="MAW18" s="255"/>
      <c r="MAX18" s="255"/>
      <c r="MAY18" s="255"/>
      <c r="MAZ18" s="255"/>
      <c r="MBA18" s="255"/>
      <c r="MBB18" s="255"/>
      <c r="MBC18" s="255"/>
      <c r="MBD18" s="255"/>
      <c r="MBE18" s="255"/>
      <c r="MBF18" s="255"/>
      <c r="MBG18" s="255"/>
      <c r="MBH18" s="255"/>
      <c r="MBI18" s="255"/>
      <c r="MBJ18" s="255"/>
      <c r="MBK18" s="255"/>
      <c r="MBL18" s="255"/>
      <c r="MBM18" s="255"/>
      <c r="MBN18" s="255"/>
      <c r="MBO18" s="255"/>
      <c r="MBP18" s="255"/>
      <c r="MBQ18" s="255"/>
      <c r="MBR18" s="255"/>
      <c r="MBS18" s="255"/>
      <c r="MBT18" s="255"/>
      <c r="MBU18" s="255"/>
      <c r="MBV18" s="255"/>
      <c r="MBW18" s="255"/>
      <c r="MBX18" s="255"/>
      <c r="MBY18" s="255"/>
      <c r="MBZ18" s="255"/>
      <c r="MCA18" s="255"/>
      <c r="MCB18" s="255"/>
      <c r="MCC18" s="255"/>
      <c r="MCD18" s="255"/>
      <c r="MCE18" s="255"/>
      <c r="MCF18" s="255"/>
      <c r="MCG18" s="255"/>
      <c r="MCH18" s="255"/>
      <c r="MCI18" s="255"/>
      <c r="MCJ18" s="255"/>
      <c r="MCK18" s="255"/>
      <c r="MCL18" s="255"/>
      <c r="MCM18" s="255"/>
      <c r="MCN18" s="255"/>
      <c r="MCO18" s="255"/>
      <c r="MCP18" s="255"/>
      <c r="MCQ18" s="255"/>
      <c r="MCR18" s="255"/>
      <c r="MCS18" s="255"/>
      <c r="MCT18" s="255"/>
      <c r="MCU18" s="255"/>
      <c r="MCV18" s="255"/>
      <c r="MCW18" s="255"/>
      <c r="MCX18" s="255"/>
      <c r="MCY18" s="255"/>
      <c r="MCZ18" s="255"/>
      <c r="MDA18" s="255"/>
      <c r="MDB18" s="255"/>
      <c r="MDC18" s="255"/>
      <c r="MDD18" s="255"/>
      <c r="MDE18" s="255"/>
      <c r="MDF18" s="255"/>
      <c r="MDG18" s="255"/>
      <c r="MDH18" s="255"/>
      <c r="MDI18" s="255"/>
      <c r="MDJ18" s="255"/>
      <c r="MDK18" s="255"/>
      <c r="MDL18" s="255"/>
      <c r="MDM18" s="255"/>
      <c r="MDN18" s="255"/>
      <c r="MDO18" s="255"/>
      <c r="MDP18" s="255"/>
      <c r="MDQ18" s="255"/>
      <c r="MDR18" s="255"/>
      <c r="MDS18" s="255"/>
      <c r="MDT18" s="255"/>
      <c r="MDU18" s="255"/>
      <c r="MDV18" s="255"/>
      <c r="MDW18" s="255"/>
      <c r="MDX18" s="255"/>
      <c r="MDY18" s="255"/>
      <c r="MDZ18" s="255"/>
      <c r="MEA18" s="255"/>
      <c r="MEB18" s="255"/>
      <c r="MEC18" s="255"/>
      <c r="MED18" s="255"/>
      <c r="MEE18" s="255"/>
      <c r="MEF18" s="255"/>
      <c r="MEG18" s="255"/>
      <c r="MEH18" s="255"/>
      <c r="MEI18" s="255"/>
      <c r="MEJ18" s="255"/>
      <c r="MEK18" s="255"/>
      <c r="MEL18" s="255"/>
      <c r="MEM18" s="255"/>
      <c r="MEN18" s="255"/>
      <c r="MEO18" s="255"/>
      <c r="MEP18" s="255"/>
      <c r="MEQ18" s="255"/>
      <c r="MER18" s="255"/>
      <c r="MES18" s="255"/>
      <c r="MET18" s="255"/>
      <c r="MEU18" s="255"/>
      <c r="MEV18" s="255"/>
      <c r="MEW18" s="255"/>
      <c r="MEX18" s="255"/>
      <c r="MEY18" s="255"/>
      <c r="MEZ18" s="255"/>
      <c r="MFA18" s="255"/>
      <c r="MFB18" s="255"/>
      <c r="MFC18" s="255"/>
      <c r="MFD18" s="255"/>
      <c r="MFE18" s="255"/>
      <c r="MFF18" s="255"/>
      <c r="MFG18" s="255"/>
      <c r="MFH18" s="255"/>
      <c r="MFI18" s="255"/>
      <c r="MFJ18" s="255"/>
      <c r="MFK18" s="255"/>
      <c r="MFL18" s="255"/>
      <c r="MFM18" s="255"/>
      <c r="MFN18" s="255"/>
      <c r="MFO18" s="255"/>
      <c r="MFP18" s="255"/>
      <c r="MFQ18" s="255"/>
      <c r="MFR18" s="255"/>
      <c r="MFS18" s="255"/>
      <c r="MFT18" s="255"/>
      <c r="MFU18" s="255"/>
      <c r="MFV18" s="255"/>
      <c r="MFW18" s="255"/>
      <c r="MFX18" s="255"/>
      <c r="MFY18" s="255"/>
      <c r="MFZ18" s="255"/>
      <c r="MGA18" s="255"/>
      <c r="MGB18" s="255"/>
      <c r="MGC18" s="255"/>
      <c r="MGD18" s="255"/>
      <c r="MGE18" s="255"/>
      <c r="MGF18" s="255"/>
      <c r="MGG18" s="255"/>
      <c r="MGH18" s="255"/>
      <c r="MGI18" s="255"/>
      <c r="MGJ18" s="255"/>
      <c r="MGK18" s="255"/>
      <c r="MGL18" s="255"/>
      <c r="MGM18" s="255"/>
      <c r="MGN18" s="255"/>
      <c r="MGO18" s="255"/>
      <c r="MGP18" s="255"/>
      <c r="MGQ18" s="255"/>
      <c r="MGR18" s="255"/>
      <c r="MGS18" s="255"/>
      <c r="MGT18" s="255"/>
      <c r="MGU18" s="255"/>
      <c r="MGV18" s="255"/>
      <c r="MGW18" s="255"/>
      <c r="MGX18" s="255"/>
      <c r="MGY18" s="255"/>
      <c r="MGZ18" s="255"/>
      <c r="MHA18" s="255"/>
      <c r="MHB18" s="255"/>
      <c r="MHC18" s="255"/>
      <c r="MHD18" s="255"/>
      <c r="MHE18" s="255"/>
      <c r="MHF18" s="255"/>
      <c r="MHG18" s="255"/>
      <c r="MHH18" s="255"/>
      <c r="MHI18" s="255"/>
      <c r="MHJ18" s="255"/>
      <c r="MHK18" s="255"/>
      <c r="MHL18" s="255"/>
      <c r="MHM18" s="255"/>
      <c r="MHN18" s="255"/>
      <c r="MHO18" s="255"/>
      <c r="MHP18" s="255"/>
      <c r="MHQ18" s="255"/>
      <c r="MHR18" s="255"/>
      <c r="MHS18" s="255"/>
      <c r="MHT18" s="255"/>
      <c r="MHU18" s="255"/>
      <c r="MHV18" s="255"/>
      <c r="MHW18" s="255"/>
      <c r="MHX18" s="255"/>
      <c r="MHY18" s="255"/>
      <c r="MHZ18" s="255"/>
      <c r="MIA18" s="255"/>
      <c r="MIB18" s="255"/>
      <c r="MIC18" s="255"/>
      <c r="MID18" s="255"/>
      <c r="MIE18" s="255"/>
      <c r="MIF18" s="255"/>
      <c r="MIG18" s="255"/>
      <c r="MIH18" s="255"/>
      <c r="MII18" s="255"/>
      <c r="MIJ18" s="255"/>
      <c r="MIK18" s="255"/>
      <c r="MIL18" s="255"/>
      <c r="MIM18" s="255"/>
      <c r="MIN18" s="255"/>
      <c r="MIO18" s="255"/>
      <c r="MIP18" s="255"/>
      <c r="MIQ18" s="255"/>
      <c r="MIR18" s="255"/>
      <c r="MIS18" s="255"/>
      <c r="MIT18" s="255"/>
      <c r="MIU18" s="255"/>
      <c r="MIV18" s="255"/>
      <c r="MIW18" s="255"/>
      <c r="MIX18" s="255"/>
      <c r="MIY18" s="255"/>
      <c r="MIZ18" s="255"/>
      <c r="MJA18" s="255"/>
      <c r="MJB18" s="255"/>
      <c r="MJC18" s="255"/>
      <c r="MJD18" s="255"/>
      <c r="MJE18" s="255"/>
      <c r="MJF18" s="255"/>
      <c r="MJG18" s="255"/>
      <c r="MJH18" s="255"/>
      <c r="MJI18" s="255"/>
      <c r="MJJ18" s="255"/>
      <c r="MJK18" s="255"/>
      <c r="MJL18" s="255"/>
      <c r="MJM18" s="255"/>
      <c r="MJN18" s="255"/>
      <c r="MJO18" s="255"/>
      <c r="MJP18" s="255"/>
      <c r="MJQ18" s="255"/>
      <c r="MJR18" s="255"/>
      <c r="MJS18" s="255"/>
      <c r="MJT18" s="255"/>
      <c r="MJU18" s="255"/>
      <c r="MJV18" s="255"/>
      <c r="MJW18" s="255"/>
      <c r="MJX18" s="255"/>
      <c r="MJY18" s="255"/>
      <c r="MJZ18" s="255"/>
      <c r="MKA18" s="255"/>
      <c r="MKB18" s="255"/>
      <c r="MKC18" s="255"/>
      <c r="MKD18" s="255"/>
      <c r="MKE18" s="255"/>
      <c r="MKF18" s="255"/>
      <c r="MKG18" s="255"/>
      <c r="MKH18" s="255"/>
      <c r="MKI18" s="255"/>
      <c r="MKJ18" s="255"/>
      <c r="MKK18" s="255"/>
      <c r="MKL18" s="255"/>
      <c r="MKM18" s="255"/>
      <c r="MKN18" s="255"/>
      <c r="MKO18" s="255"/>
      <c r="MKP18" s="255"/>
      <c r="MKQ18" s="255"/>
      <c r="MKR18" s="255"/>
      <c r="MKS18" s="255"/>
      <c r="MKT18" s="255"/>
      <c r="MKU18" s="255"/>
      <c r="MKV18" s="255"/>
      <c r="MKW18" s="255"/>
      <c r="MKX18" s="255"/>
      <c r="MKY18" s="255"/>
      <c r="MKZ18" s="255"/>
      <c r="MLA18" s="255"/>
      <c r="MLB18" s="255"/>
      <c r="MLC18" s="255"/>
      <c r="MLD18" s="255"/>
      <c r="MLE18" s="255"/>
      <c r="MLF18" s="255"/>
      <c r="MLG18" s="255"/>
      <c r="MLH18" s="255"/>
      <c r="MLI18" s="255"/>
      <c r="MLJ18" s="255"/>
      <c r="MLK18" s="255"/>
      <c r="MLL18" s="255"/>
      <c r="MLM18" s="255"/>
      <c r="MLN18" s="255"/>
      <c r="MLO18" s="255"/>
      <c r="MLP18" s="255"/>
      <c r="MLQ18" s="255"/>
      <c r="MLR18" s="255"/>
      <c r="MLS18" s="255"/>
      <c r="MLT18" s="255"/>
      <c r="MLU18" s="255"/>
      <c r="MLV18" s="255"/>
      <c r="MLW18" s="255"/>
      <c r="MLX18" s="255"/>
      <c r="MLY18" s="255"/>
      <c r="MLZ18" s="255"/>
      <c r="MMA18" s="255"/>
      <c r="MMB18" s="255"/>
      <c r="MMC18" s="255"/>
      <c r="MMD18" s="255"/>
      <c r="MME18" s="255"/>
      <c r="MMF18" s="255"/>
      <c r="MMG18" s="255"/>
      <c r="MMH18" s="255"/>
      <c r="MMI18" s="255"/>
      <c r="MMJ18" s="255"/>
      <c r="MMK18" s="255"/>
      <c r="MML18" s="255"/>
      <c r="MMM18" s="255"/>
      <c r="MMN18" s="255"/>
      <c r="MMO18" s="255"/>
      <c r="MMP18" s="255"/>
      <c r="MMQ18" s="255"/>
      <c r="MMR18" s="255"/>
      <c r="MMS18" s="255"/>
      <c r="MMT18" s="255"/>
      <c r="MMU18" s="255"/>
      <c r="MMV18" s="255"/>
      <c r="MMW18" s="255"/>
      <c r="MMX18" s="255"/>
      <c r="MMY18" s="255"/>
      <c r="MMZ18" s="255"/>
      <c r="MNA18" s="255"/>
      <c r="MNB18" s="255"/>
      <c r="MNC18" s="255"/>
      <c r="MND18" s="255"/>
      <c r="MNE18" s="255"/>
      <c r="MNF18" s="255"/>
      <c r="MNG18" s="255"/>
      <c r="MNH18" s="255"/>
      <c r="MNI18" s="255"/>
      <c r="MNJ18" s="255"/>
      <c r="MNK18" s="255"/>
      <c r="MNL18" s="255"/>
      <c r="MNM18" s="255"/>
      <c r="MNN18" s="255"/>
      <c r="MNO18" s="255"/>
      <c r="MNP18" s="255"/>
      <c r="MNQ18" s="255"/>
      <c r="MNR18" s="255"/>
      <c r="MNS18" s="255"/>
      <c r="MNT18" s="255"/>
      <c r="MNU18" s="255"/>
      <c r="MNV18" s="255"/>
      <c r="MNW18" s="255"/>
      <c r="MNX18" s="255"/>
      <c r="MNY18" s="255"/>
      <c r="MNZ18" s="255"/>
      <c r="MOA18" s="255"/>
      <c r="MOB18" s="255"/>
      <c r="MOC18" s="255"/>
      <c r="MOD18" s="255"/>
      <c r="MOE18" s="255"/>
      <c r="MOF18" s="255"/>
      <c r="MOG18" s="255"/>
      <c r="MOH18" s="255"/>
      <c r="MOI18" s="255"/>
      <c r="MOJ18" s="255"/>
      <c r="MOK18" s="255"/>
      <c r="MOL18" s="255"/>
      <c r="MOM18" s="255"/>
      <c r="MON18" s="255"/>
      <c r="MOO18" s="255"/>
      <c r="MOP18" s="255"/>
      <c r="MOQ18" s="255"/>
      <c r="MOR18" s="255"/>
      <c r="MOS18" s="255"/>
      <c r="MOT18" s="255"/>
      <c r="MOU18" s="255"/>
      <c r="MOV18" s="255"/>
      <c r="MOW18" s="255"/>
      <c r="MOX18" s="255"/>
      <c r="MOY18" s="255"/>
      <c r="MOZ18" s="255"/>
      <c r="MPA18" s="255"/>
      <c r="MPB18" s="255"/>
      <c r="MPC18" s="255"/>
      <c r="MPD18" s="255"/>
      <c r="MPE18" s="255"/>
      <c r="MPF18" s="255"/>
      <c r="MPG18" s="255"/>
      <c r="MPH18" s="255"/>
      <c r="MPI18" s="255"/>
      <c r="MPJ18" s="255"/>
      <c r="MPK18" s="255"/>
      <c r="MPL18" s="255"/>
      <c r="MPM18" s="255"/>
      <c r="MPN18" s="255"/>
      <c r="MPO18" s="255"/>
      <c r="MPP18" s="255"/>
      <c r="MPQ18" s="255"/>
      <c r="MPR18" s="255"/>
      <c r="MPS18" s="255"/>
      <c r="MPT18" s="255"/>
      <c r="MPU18" s="255"/>
      <c r="MPV18" s="255"/>
      <c r="MPW18" s="255"/>
      <c r="MPX18" s="255"/>
      <c r="MPY18" s="255"/>
      <c r="MPZ18" s="255"/>
      <c r="MQA18" s="255"/>
      <c r="MQB18" s="255"/>
      <c r="MQC18" s="255"/>
      <c r="MQD18" s="255"/>
      <c r="MQE18" s="255"/>
      <c r="MQF18" s="255"/>
      <c r="MQG18" s="255"/>
      <c r="MQH18" s="255"/>
      <c r="MQI18" s="255"/>
      <c r="MQJ18" s="255"/>
      <c r="MQK18" s="255"/>
      <c r="MQL18" s="255"/>
      <c r="MQM18" s="255"/>
      <c r="MQN18" s="255"/>
      <c r="MQO18" s="255"/>
      <c r="MQP18" s="255"/>
      <c r="MQQ18" s="255"/>
      <c r="MQR18" s="255"/>
      <c r="MQS18" s="255"/>
      <c r="MQT18" s="255"/>
      <c r="MQU18" s="255"/>
      <c r="MQV18" s="255"/>
      <c r="MQW18" s="255"/>
      <c r="MQX18" s="255"/>
      <c r="MQY18" s="255"/>
      <c r="MQZ18" s="255"/>
      <c r="MRA18" s="255"/>
      <c r="MRB18" s="255"/>
      <c r="MRC18" s="255"/>
      <c r="MRD18" s="255"/>
      <c r="MRE18" s="255"/>
      <c r="MRF18" s="255"/>
      <c r="MRG18" s="255"/>
      <c r="MRH18" s="255"/>
      <c r="MRI18" s="255"/>
      <c r="MRJ18" s="255"/>
      <c r="MRK18" s="255"/>
      <c r="MRL18" s="255"/>
      <c r="MRM18" s="255"/>
      <c r="MRN18" s="255"/>
      <c r="MRO18" s="255"/>
      <c r="MRP18" s="255"/>
      <c r="MRQ18" s="255"/>
      <c r="MRR18" s="255"/>
      <c r="MRS18" s="255"/>
      <c r="MRT18" s="255"/>
      <c r="MRU18" s="255"/>
      <c r="MRV18" s="255"/>
      <c r="MRW18" s="255"/>
      <c r="MRX18" s="255"/>
      <c r="MRY18" s="255"/>
      <c r="MRZ18" s="255"/>
      <c r="MSA18" s="255"/>
      <c r="MSB18" s="255"/>
      <c r="MSC18" s="255"/>
      <c r="MSD18" s="255"/>
      <c r="MSE18" s="255"/>
      <c r="MSF18" s="255"/>
      <c r="MSG18" s="255"/>
      <c r="MSH18" s="255"/>
      <c r="MSI18" s="255"/>
      <c r="MSJ18" s="255"/>
      <c r="MSK18" s="255"/>
      <c r="MSL18" s="255"/>
      <c r="MSM18" s="255"/>
      <c r="MSN18" s="255"/>
      <c r="MSO18" s="255"/>
      <c r="MSP18" s="255"/>
      <c r="MSQ18" s="255"/>
      <c r="MSR18" s="255"/>
      <c r="MSS18" s="255"/>
      <c r="MST18" s="255"/>
      <c r="MSU18" s="255"/>
      <c r="MSV18" s="255"/>
      <c r="MSW18" s="255"/>
      <c r="MSX18" s="255"/>
      <c r="MSY18" s="255"/>
      <c r="MSZ18" s="255"/>
      <c r="MTA18" s="255"/>
      <c r="MTB18" s="255"/>
      <c r="MTC18" s="255"/>
      <c r="MTD18" s="255"/>
      <c r="MTE18" s="255"/>
      <c r="MTF18" s="255"/>
      <c r="MTG18" s="255"/>
      <c r="MTH18" s="255"/>
      <c r="MTI18" s="255"/>
      <c r="MTJ18" s="255"/>
      <c r="MTK18" s="255"/>
      <c r="MTL18" s="255"/>
      <c r="MTM18" s="255"/>
      <c r="MTN18" s="255"/>
      <c r="MTO18" s="255"/>
      <c r="MTP18" s="255"/>
      <c r="MTQ18" s="255"/>
      <c r="MTR18" s="255"/>
      <c r="MTS18" s="255"/>
      <c r="MTT18" s="255"/>
      <c r="MTU18" s="255"/>
      <c r="MTV18" s="255"/>
      <c r="MTW18" s="255"/>
      <c r="MTX18" s="255"/>
      <c r="MTY18" s="255"/>
      <c r="MTZ18" s="255"/>
      <c r="MUA18" s="255"/>
      <c r="MUB18" s="255"/>
      <c r="MUC18" s="255"/>
      <c r="MUD18" s="255"/>
      <c r="MUE18" s="255"/>
      <c r="MUF18" s="255"/>
      <c r="MUG18" s="255"/>
      <c r="MUH18" s="255"/>
      <c r="MUI18" s="255"/>
      <c r="MUJ18" s="255"/>
      <c r="MUK18" s="255"/>
      <c r="MUL18" s="255"/>
      <c r="MUM18" s="255"/>
      <c r="MUN18" s="255"/>
      <c r="MUO18" s="255"/>
      <c r="MUP18" s="255"/>
      <c r="MUQ18" s="255"/>
      <c r="MUR18" s="255"/>
      <c r="MUS18" s="255"/>
      <c r="MUT18" s="255"/>
      <c r="MUU18" s="255"/>
      <c r="MUV18" s="255"/>
      <c r="MUW18" s="255"/>
      <c r="MUX18" s="255"/>
      <c r="MUY18" s="255"/>
      <c r="MUZ18" s="255"/>
      <c r="MVA18" s="255"/>
      <c r="MVB18" s="255"/>
      <c r="MVC18" s="255"/>
      <c r="MVD18" s="255"/>
      <c r="MVE18" s="255"/>
      <c r="MVF18" s="255"/>
      <c r="MVG18" s="255"/>
      <c r="MVH18" s="255"/>
      <c r="MVI18" s="255"/>
      <c r="MVJ18" s="255"/>
      <c r="MVK18" s="255"/>
      <c r="MVL18" s="255"/>
      <c r="MVM18" s="255"/>
      <c r="MVN18" s="255"/>
      <c r="MVO18" s="255"/>
      <c r="MVP18" s="255"/>
      <c r="MVQ18" s="255"/>
      <c r="MVR18" s="255"/>
      <c r="MVS18" s="255"/>
      <c r="MVT18" s="255"/>
      <c r="MVU18" s="255"/>
      <c r="MVV18" s="255"/>
      <c r="MVW18" s="255"/>
      <c r="MVX18" s="255"/>
      <c r="MVY18" s="255"/>
      <c r="MVZ18" s="255"/>
      <c r="MWA18" s="255"/>
      <c r="MWB18" s="255"/>
      <c r="MWC18" s="255"/>
      <c r="MWD18" s="255"/>
      <c r="MWE18" s="255"/>
      <c r="MWF18" s="255"/>
      <c r="MWG18" s="255"/>
      <c r="MWH18" s="255"/>
      <c r="MWI18" s="255"/>
      <c r="MWJ18" s="255"/>
      <c r="MWK18" s="255"/>
      <c r="MWL18" s="255"/>
      <c r="MWM18" s="255"/>
      <c r="MWN18" s="255"/>
      <c r="MWO18" s="255"/>
      <c r="MWP18" s="255"/>
      <c r="MWQ18" s="255"/>
      <c r="MWR18" s="255"/>
      <c r="MWS18" s="255"/>
      <c r="MWT18" s="255"/>
      <c r="MWU18" s="255"/>
      <c r="MWV18" s="255"/>
      <c r="MWW18" s="255"/>
      <c r="MWX18" s="255"/>
      <c r="MWY18" s="255"/>
      <c r="MWZ18" s="255"/>
      <c r="MXA18" s="255"/>
      <c r="MXB18" s="255"/>
      <c r="MXC18" s="255"/>
      <c r="MXD18" s="255"/>
      <c r="MXE18" s="255"/>
      <c r="MXF18" s="255"/>
      <c r="MXG18" s="255"/>
      <c r="MXH18" s="255"/>
      <c r="MXI18" s="255"/>
      <c r="MXJ18" s="255"/>
      <c r="MXK18" s="255"/>
      <c r="MXL18" s="255"/>
      <c r="MXM18" s="255"/>
      <c r="MXN18" s="255"/>
      <c r="MXO18" s="255"/>
      <c r="MXP18" s="255"/>
      <c r="MXQ18" s="255"/>
      <c r="MXR18" s="255"/>
      <c r="MXS18" s="255"/>
      <c r="MXT18" s="255"/>
      <c r="MXU18" s="255"/>
      <c r="MXV18" s="255"/>
      <c r="MXW18" s="255"/>
      <c r="MXX18" s="255"/>
      <c r="MXY18" s="255"/>
      <c r="MXZ18" s="255"/>
      <c r="MYA18" s="255"/>
      <c r="MYB18" s="255"/>
      <c r="MYC18" s="255"/>
      <c r="MYD18" s="255"/>
      <c r="MYE18" s="255"/>
      <c r="MYF18" s="255"/>
      <c r="MYG18" s="255"/>
      <c r="MYH18" s="255"/>
      <c r="MYI18" s="255"/>
      <c r="MYJ18" s="255"/>
      <c r="MYK18" s="255"/>
      <c r="MYL18" s="255"/>
      <c r="MYM18" s="255"/>
      <c r="MYN18" s="255"/>
      <c r="MYO18" s="255"/>
      <c r="MYP18" s="255"/>
      <c r="MYQ18" s="255"/>
      <c r="MYR18" s="255"/>
      <c r="MYS18" s="255"/>
      <c r="MYT18" s="255"/>
      <c r="MYU18" s="255"/>
      <c r="MYV18" s="255"/>
      <c r="MYW18" s="255"/>
      <c r="MYX18" s="255"/>
      <c r="MYY18" s="255"/>
      <c r="MYZ18" s="255"/>
      <c r="MZA18" s="255"/>
      <c r="MZB18" s="255"/>
      <c r="MZC18" s="255"/>
      <c r="MZD18" s="255"/>
      <c r="MZE18" s="255"/>
      <c r="MZF18" s="255"/>
      <c r="MZG18" s="255"/>
      <c r="MZH18" s="255"/>
      <c r="MZI18" s="255"/>
      <c r="MZJ18" s="255"/>
      <c r="MZK18" s="255"/>
      <c r="MZL18" s="255"/>
      <c r="MZM18" s="255"/>
      <c r="MZN18" s="255"/>
      <c r="MZO18" s="255"/>
      <c r="MZP18" s="255"/>
      <c r="MZQ18" s="255"/>
      <c r="MZR18" s="255"/>
      <c r="MZS18" s="255"/>
      <c r="MZT18" s="255"/>
      <c r="MZU18" s="255"/>
      <c r="MZV18" s="255"/>
      <c r="MZW18" s="255"/>
      <c r="MZX18" s="255"/>
      <c r="MZY18" s="255"/>
      <c r="MZZ18" s="255"/>
      <c r="NAA18" s="255"/>
      <c r="NAB18" s="255"/>
      <c r="NAC18" s="255"/>
      <c r="NAD18" s="255"/>
      <c r="NAE18" s="255"/>
      <c r="NAF18" s="255"/>
      <c r="NAG18" s="255"/>
      <c r="NAH18" s="255"/>
      <c r="NAI18" s="255"/>
      <c r="NAJ18" s="255"/>
      <c r="NAK18" s="255"/>
      <c r="NAL18" s="255"/>
      <c r="NAM18" s="255"/>
      <c r="NAN18" s="255"/>
      <c r="NAO18" s="255"/>
      <c r="NAP18" s="255"/>
      <c r="NAQ18" s="255"/>
      <c r="NAR18" s="255"/>
      <c r="NAS18" s="255"/>
      <c r="NAT18" s="255"/>
      <c r="NAU18" s="255"/>
      <c r="NAV18" s="255"/>
      <c r="NAW18" s="255"/>
      <c r="NAX18" s="255"/>
      <c r="NAY18" s="255"/>
      <c r="NAZ18" s="255"/>
      <c r="NBA18" s="255"/>
      <c r="NBB18" s="255"/>
      <c r="NBC18" s="255"/>
      <c r="NBD18" s="255"/>
      <c r="NBE18" s="255"/>
      <c r="NBF18" s="255"/>
      <c r="NBG18" s="255"/>
      <c r="NBH18" s="255"/>
      <c r="NBI18" s="255"/>
      <c r="NBJ18" s="255"/>
      <c r="NBK18" s="255"/>
      <c r="NBL18" s="255"/>
      <c r="NBM18" s="255"/>
      <c r="NBN18" s="255"/>
      <c r="NBO18" s="255"/>
      <c r="NBP18" s="255"/>
      <c r="NBQ18" s="255"/>
      <c r="NBR18" s="255"/>
      <c r="NBS18" s="255"/>
      <c r="NBT18" s="255"/>
      <c r="NBU18" s="255"/>
      <c r="NBV18" s="255"/>
      <c r="NBW18" s="255"/>
      <c r="NBX18" s="255"/>
      <c r="NBY18" s="255"/>
      <c r="NBZ18" s="255"/>
      <c r="NCA18" s="255"/>
      <c r="NCB18" s="255"/>
      <c r="NCC18" s="255"/>
      <c r="NCD18" s="255"/>
      <c r="NCE18" s="255"/>
      <c r="NCF18" s="255"/>
      <c r="NCG18" s="255"/>
      <c r="NCH18" s="255"/>
      <c r="NCI18" s="255"/>
      <c r="NCJ18" s="255"/>
      <c r="NCK18" s="255"/>
      <c r="NCL18" s="255"/>
      <c r="NCM18" s="255"/>
      <c r="NCN18" s="255"/>
      <c r="NCO18" s="255"/>
      <c r="NCP18" s="255"/>
      <c r="NCQ18" s="255"/>
      <c r="NCR18" s="255"/>
      <c r="NCS18" s="255"/>
      <c r="NCT18" s="255"/>
      <c r="NCU18" s="255"/>
      <c r="NCV18" s="255"/>
      <c r="NCW18" s="255"/>
      <c r="NCX18" s="255"/>
      <c r="NCY18" s="255"/>
      <c r="NCZ18" s="255"/>
      <c r="NDA18" s="255"/>
      <c r="NDB18" s="255"/>
      <c r="NDC18" s="255"/>
      <c r="NDD18" s="255"/>
      <c r="NDE18" s="255"/>
      <c r="NDF18" s="255"/>
      <c r="NDG18" s="255"/>
      <c r="NDH18" s="255"/>
      <c r="NDI18" s="255"/>
      <c r="NDJ18" s="255"/>
      <c r="NDK18" s="255"/>
      <c r="NDL18" s="255"/>
      <c r="NDM18" s="255"/>
      <c r="NDN18" s="255"/>
      <c r="NDO18" s="255"/>
      <c r="NDP18" s="255"/>
      <c r="NDQ18" s="255"/>
      <c r="NDR18" s="255"/>
      <c r="NDS18" s="255"/>
      <c r="NDT18" s="255"/>
      <c r="NDU18" s="255"/>
      <c r="NDV18" s="255"/>
      <c r="NDW18" s="255"/>
      <c r="NDX18" s="255"/>
      <c r="NDY18" s="255"/>
      <c r="NDZ18" s="255"/>
      <c r="NEA18" s="255"/>
      <c r="NEB18" s="255"/>
      <c r="NEC18" s="255"/>
      <c r="NED18" s="255"/>
      <c r="NEE18" s="255"/>
      <c r="NEF18" s="255"/>
      <c r="NEG18" s="255"/>
      <c r="NEH18" s="255"/>
      <c r="NEI18" s="255"/>
      <c r="NEJ18" s="255"/>
      <c r="NEK18" s="255"/>
      <c r="NEL18" s="255"/>
      <c r="NEM18" s="255"/>
      <c r="NEN18" s="255"/>
      <c r="NEO18" s="255"/>
      <c r="NEP18" s="255"/>
      <c r="NEQ18" s="255"/>
      <c r="NER18" s="255"/>
      <c r="NES18" s="255"/>
      <c r="NET18" s="255"/>
      <c r="NEU18" s="255"/>
      <c r="NEV18" s="255"/>
      <c r="NEW18" s="255"/>
      <c r="NEX18" s="255"/>
      <c r="NEY18" s="255"/>
      <c r="NEZ18" s="255"/>
      <c r="NFA18" s="255"/>
      <c r="NFB18" s="255"/>
      <c r="NFC18" s="255"/>
      <c r="NFD18" s="255"/>
      <c r="NFE18" s="255"/>
      <c r="NFF18" s="255"/>
      <c r="NFG18" s="255"/>
      <c r="NFH18" s="255"/>
      <c r="NFI18" s="255"/>
      <c r="NFJ18" s="255"/>
      <c r="NFK18" s="255"/>
      <c r="NFL18" s="255"/>
      <c r="NFM18" s="255"/>
      <c r="NFN18" s="255"/>
      <c r="NFO18" s="255"/>
      <c r="NFP18" s="255"/>
      <c r="NFQ18" s="255"/>
      <c r="NFR18" s="255"/>
      <c r="NFS18" s="255"/>
      <c r="NFT18" s="255"/>
      <c r="NFU18" s="255"/>
      <c r="NFV18" s="255"/>
      <c r="NFW18" s="255"/>
      <c r="NFX18" s="255"/>
      <c r="NFY18" s="255"/>
      <c r="NFZ18" s="255"/>
      <c r="NGA18" s="255"/>
      <c r="NGB18" s="255"/>
      <c r="NGC18" s="255"/>
      <c r="NGD18" s="255"/>
      <c r="NGE18" s="255"/>
      <c r="NGF18" s="255"/>
      <c r="NGG18" s="255"/>
      <c r="NGH18" s="255"/>
      <c r="NGI18" s="255"/>
      <c r="NGJ18" s="255"/>
      <c r="NGK18" s="255"/>
      <c r="NGL18" s="255"/>
      <c r="NGM18" s="255"/>
      <c r="NGN18" s="255"/>
      <c r="NGO18" s="255"/>
      <c r="NGP18" s="255"/>
      <c r="NGQ18" s="255"/>
      <c r="NGR18" s="255"/>
      <c r="NGS18" s="255"/>
      <c r="NGT18" s="255"/>
      <c r="NGU18" s="255"/>
      <c r="NGV18" s="255"/>
      <c r="NGW18" s="255"/>
      <c r="NGX18" s="255"/>
      <c r="NGY18" s="255"/>
      <c r="NGZ18" s="255"/>
      <c r="NHA18" s="255"/>
      <c r="NHB18" s="255"/>
      <c r="NHC18" s="255"/>
      <c r="NHD18" s="255"/>
      <c r="NHE18" s="255"/>
      <c r="NHF18" s="255"/>
      <c r="NHG18" s="255"/>
      <c r="NHH18" s="255"/>
      <c r="NHI18" s="255"/>
      <c r="NHJ18" s="255"/>
      <c r="NHK18" s="255"/>
      <c r="NHL18" s="255"/>
      <c r="NHM18" s="255"/>
      <c r="NHN18" s="255"/>
      <c r="NHO18" s="255"/>
      <c r="NHP18" s="255"/>
      <c r="NHQ18" s="255"/>
      <c r="NHR18" s="255"/>
      <c r="NHS18" s="255"/>
      <c r="NHT18" s="255"/>
      <c r="NHU18" s="255"/>
      <c r="NHV18" s="255"/>
      <c r="NHW18" s="255"/>
      <c r="NHX18" s="255"/>
      <c r="NHY18" s="255"/>
      <c r="NHZ18" s="255"/>
      <c r="NIA18" s="255"/>
      <c r="NIB18" s="255"/>
      <c r="NIC18" s="255"/>
      <c r="NID18" s="255"/>
      <c r="NIE18" s="255"/>
      <c r="NIF18" s="255"/>
      <c r="NIG18" s="255"/>
      <c r="NIH18" s="255"/>
      <c r="NII18" s="255"/>
      <c r="NIJ18" s="255"/>
      <c r="NIK18" s="255"/>
      <c r="NIL18" s="255"/>
      <c r="NIM18" s="255"/>
      <c r="NIN18" s="255"/>
      <c r="NIO18" s="255"/>
      <c r="NIP18" s="255"/>
      <c r="NIQ18" s="255"/>
      <c r="NIR18" s="255"/>
      <c r="NIS18" s="255"/>
      <c r="NIT18" s="255"/>
      <c r="NIU18" s="255"/>
      <c r="NIV18" s="255"/>
      <c r="NIW18" s="255"/>
      <c r="NIX18" s="255"/>
      <c r="NIY18" s="255"/>
      <c r="NIZ18" s="255"/>
      <c r="NJA18" s="255"/>
      <c r="NJB18" s="255"/>
      <c r="NJC18" s="255"/>
      <c r="NJD18" s="255"/>
      <c r="NJE18" s="255"/>
      <c r="NJF18" s="255"/>
      <c r="NJG18" s="255"/>
      <c r="NJH18" s="255"/>
      <c r="NJI18" s="255"/>
      <c r="NJJ18" s="255"/>
      <c r="NJK18" s="255"/>
      <c r="NJL18" s="255"/>
      <c r="NJM18" s="255"/>
      <c r="NJN18" s="255"/>
      <c r="NJO18" s="255"/>
      <c r="NJP18" s="255"/>
      <c r="NJQ18" s="255"/>
      <c r="NJR18" s="255"/>
      <c r="NJS18" s="255"/>
      <c r="NJT18" s="255"/>
      <c r="NJU18" s="255"/>
      <c r="NJV18" s="255"/>
      <c r="NJW18" s="255"/>
      <c r="NJX18" s="255"/>
      <c r="NJY18" s="255"/>
      <c r="NJZ18" s="255"/>
      <c r="NKA18" s="255"/>
      <c r="NKB18" s="255"/>
      <c r="NKC18" s="255"/>
      <c r="NKD18" s="255"/>
      <c r="NKE18" s="255"/>
      <c r="NKF18" s="255"/>
      <c r="NKG18" s="255"/>
      <c r="NKH18" s="255"/>
      <c r="NKI18" s="255"/>
      <c r="NKJ18" s="255"/>
      <c r="NKK18" s="255"/>
      <c r="NKL18" s="255"/>
      <c r="NKM18" s="255"/>
      <c r="NKN18" s="255"/>
      <c r="NKO18" s="255"/>
      <c r="NKP18" s="255"/>
      <c r="NKQ18" s="255"/>
      <c r="NKR18" s="255"/>
      <c r="NKS18" s="255"/>
      <c r="NKT18" s="255"/>
      <c r="NKU18" s="255"/>
      <c r="NKV18" s="255"/>
      <c r="NKW18" s="255"/>
      <c r="NKX18" s="255"/>
      <c r="NKY18" s="255"/>
      <c r="NKZ18" s="255"/>
      <c r="NLA18" s="255"/>
      <c r="NLB18" s="255"/>
      <c r="NLC18" s="255"/>
      <c r="NLD18" s="255"/>
      <c r="NLE18" s="255"/>
      <c r="NLF18" s="255"/>
      <c r="NLG18" s="255"/>
      <c r="NLH18" s="255"/>
      <c r="NLI18" s="255"/>
      <c r="NLJ18" s="255"/>
      <c r="NLK18" s="255"/>
      <c r="NLL18" s="255"/>
      <c r="NLM18" s="255"/>
      <c r="NLN18" s="255"/>
      <c r="NLO18" s="255"/>
      <c r="NLP18" s="255"/>
      <c r="NLQ18" s="255"/>
      <c r="NLR18" s="255"/>
      <c r="NLS18" s="255"/>
      <c r="NLT18" s="255"/>
      <c r="NLU18" s="255"/>
      <c r="NLV18" s="255"/>
      <c r="NLW18" s="255"/>
      <c r="NLX18" s="255"/>
      <c r="NLY18" s="255"/>
      <c r="NLZ18" s="255"/>
      <c r="NMA18" s="255"/>
      <c r="NMB18" s="255"/>
      <c r="NMC18" s="255"/>
      <c r="NMD18" s="255"/>
      <c r="NME18" s="255"/>
      <c r="NMF18" s="255"/>
      <c r="NMG18" s="255"/>
      <c r="NMH18" s="255"/>
      <c r="NMI18" s="255"/>
      <c r="NMJ18" s="255"/>
      <c r="NMK18" s="255"/>
      <c r="NML18" s="255"/>
      <c r="NMM18" s="255"/>
      <c r="NMN18" s="255"/>
      <c r="NMO18" s="255"/>
      <c r="NMP18" s="255"/>
      <c r="NMQ18" s="255"/>
      <c r="NMR18" s="255"/>
      <c r="NMS18" s="255"/>
      <c r="NMT18" s="255"/>
      <c r="NMU18" s="255"/>
      <c r="NMV18" s="255"/>
      <c r="NMW18" s="255"/>
      <c r="NMX18" s="255"/>
      <c r="NMY18" s="255"/>
      <c r="NMZ18" s="255"/>
      <c r="NNA18" s="255"/>
      <c r="NNB18" s="255"/>
      <c r="NNC18" s="255"/>
      <c r="NND18" s="255"/>
      <c r="NNE18" s="255"/>
      <c r="NNF18" s="255"/>
      <c r="NNG18" s="255"/>
      <c r="NNH18" s="255"/>
      <c r="NNI18" s="255"/>
      <c r="NNJ18" s="255"/>
      <c r="NNK18" s="255"/>
      <c r="NNL18" s="255"/>
      <c r="NNM18" s="255"/>
      <c r="NNN18" s="255"/>
      <c r="NNO18" s="255"/>
      <c r="NNP18" s="255"/>
      <c r="NNQ18" s="255"/>
      <c r="NNR18" s="255"/>
      <c r="NNS18" s="255"/>
      <c r="NNT18" s="255"/>
      <c r="NNU18" s="255"/>
      <c r="NNV18" s="255"/>
      <c r="NNW18" s="255"/>
      <c r="NNX18" s="255"/>
      <c r="NNY18" s="255"/>
      <c r="NNZ18" s="255"/>
      <c r="NOA18" s="255"/>
      <c r="NOB18" s="255"/>
      <c r="NOC18" s="255"/>
      <c r="NOD18" s="255"/>
      <c r="NOE18" s="255"/>
      <c r="NOF18" s="255"/>
      <c r="NOG18" s="255"/>
      <c r="NOH18" s="255"/>
      <c r="NOI18" s="255"/>
      <c r="NOJ18" s="255"/>
      <c r="NOK18" s="255"/>
      <c r="NOL18" s="255"/>
      <c r="NOM18" s="255"/>
      <c r="NON18" s="255"/>
      <c r="NOO18" s="255"/>
      <c r="NOP18" s="255"/>
      <c r="NOQ18" s="255"/>
      <c r="NOR18" s="255"/>
      <c r="NOS18" s="255"/>
      <c r="NOT18" s="255"/>
      <c r="NOU18" s="255"/>
      <c r="NOV18" s="255"/>
      <c r="NOW18" s="255"/>
      <c r="NOX18" s="255"/>
      <c r="NOY18" s="255"/>
      <c r="NOZ18" s="255"/>
      <c r="NPA18" s="255"/>
      <c r="NPB18" s="255"/>
      <c r="NPC18" s="255"/>
      <c r="NPD18" s="255"/>
      <c r="NPE18" s="255"/>
      <c r="NPF18" s="255"/>
      <c r="NPG18" s="255"/>
      <c r="NPH18" s="255"/>
      <c r="NPI18" s="255"/>
      <c r="NPJ18" s="255"/>
      <c r="NPK18" s="255"/>
      <c r="NPL18" s="255"/>
      <c r="NPM18" s="255"/>
      <c r="NPN18" s="255"/>
      <c r="NPO18" s="255"/>
      <c r="NPP18" s="255"/>
      <c r="NPQ18" s="255"/>
      <c r="NPR18" s="255"/>
      <c r="NPS18" s="255"/>
      <c r="NPT18" s="255"/>
      <c r="NPU18" s="255"/>
      <c r="NPV18" s="255"/>
      <c r="NPW18" s="255"/>
      <c r="NPX18" s="255"/>
      <c r="NPY18" s="255"/>
      <c r="NPZ18" s="255"/>
      <c r="NQA18" s="255"/>
      <c r="NQB18" s="255"/>
      <c r="NQC18" s="255"/>
      <c r="NQD18" s="255"/>
      <c r="NQE18" s="255"/>
      <c r="NQF18" s="255"/>
      <c r="NQG18" s="255"/>
      <c r="NQH18" s="255"/>
      <c r="NQI18" s="255"/>
      <c r="NQJ18" s="255"/>
      <c r="NQK18" s="255"/>
      <c r="NQL18" s="255"/>
      <c r="NQM18" s="255"/>
      <c r="NQN18" s="255"/>
      <c r="NQO18" s="255"/>
      <c r="NQP18" s="255"/>
      <c r="NQQ18" s="255"/>
      <c r="NQR18" s="255"/>
      <c r="NQS18" s="255"/>
      <c r="NQT18" s="255"/>
      <c r="NQU18" s="255"/>
      <c r="NQV18" s="255"/>
      <c r="NQW18" s="255"/>
      <c r="NQX18" s="255"/>
      <c r="NQY18" s="255"/>
      <c r="NQZ18" s="255"/>
      <c r="NRA18" s="255"/>
      <c r="NRB18" s="255"/>
      <c r="NRC18" s="255"/>
      <c r="NRD18" s="255"/>
      <c r="NRE18" s="255"/>
      <c r="NRF18" s="255"/>
      <c r="NRG18" s="255"/>
      <c r="NRH18" s="255"/>
      <c r="NRI18" s="255"/>
      <c r="NRJ18" s="255"/>
      <c r="NRK18" s="255"/>
      <c r="NRL18" s="255"/>
      <c r="NRM18" s="255"/>
      <c r="NRN18" s="255"/>
      <c r="NRO18" s="255"/>
      <c r="NRP18" s="255"/>
      <c r="NRQ18" s="255"/>
      <c r="NRR18" s="255"/>
      <c r="NRS18" s="255"/>
      <c r="NRT18" s="255"/>
      <c r="NRU18" s="255"/>
      <c r="NRV18" s="255"/>
      <c r="NRW18" s="255"/>
      <c r="NRX18" s="255"/>
      <c r="NRY18" s="255"/>
      <c r="NRZ18" s="255"/>
      <c r="NSA18" s="255"/>
      <c r="NSB18" s="255"/>
      <c r="NSC18" s="255"/>
      <c r="NSD18" s="255"/>
      <c r="NSE18" s="255"/>
      <c r="NSF18" s="255"/>
      <c r="NSG18" s="255"/>
      <c r="NSH18" s="255"/>
      <c r="NSI18" s="255"/>
      <c r="NSJ18" s="255"/>
      <c r="NSK18" s="255"/>
      <c r="NSL18" s="255"/>
      <c r="NSM18" s="255"/>
      <c r="NSN18" s="255"/>
      <c r="NSO18" s="255"/>
      <c r="NSP18" s="255"/>
      <c r="NSQ18" s="255"/>
      <c r="NSR18" s="255"/>
      <c r="NSS18" s="255"/>
      <c r="NST18" s="255"/>
      <c r="NSU18" s="255"/>
      <c r="NSV18" s="255"/>
      <c r="NSW18" s="255"/>
      <c r="NSX18" s="255"/>
      <c r="NSY18" s="255"/>
      <c r="NSZ18" s="255"/>
      <c r="NTA18" s="255"/>
      <c r="NTB18" s="255"/>
      <c r="NTC18" s="255"/>
      <c r="NTD18" s="255"/>
      <c r="NTE18" s="255"/>
      <c r="NTF18" s="255"/>
      <c r="NTG18" s="255"/>
      <c r="NTH18" s="255"/>
      <c r="NTI18" s="255"/>
      <c r="NTJ18" s="255"/>
      <c r="NTK18" s="255"/>
      <c r="NTL18" s="255"/>
      <c r="NTM18" s="255"/>
      <c r="NTN18" s="255"/>
      <c r="NTO18" s="255"/>
      <c r="NTP18" s="255"/>
      <c r="NTQ18" s="255"/>
      <c r="NTR18" s="255"/>
      <c r="NTS18" s="255"/>
      <c r="NTT18" s="255"/>
      <c r="NTU18" s="255"/>
      <c r="NTV18" s="255"/>
      <c r="NTW18" s="255"/>
      <c r="NTX18" s="255"/>
      <c r="NTY18" s="255"/>
      <c r="NTZ18" s="255"/>
      <c r="NUA18" s="255"/>
      <c r="NUB18" s="255"/>
      <c r="NUC18" s="255"/>
      <c r="NUD18" s="255"/>
      <c r="NUE18" s="255"/>
      <c r="NUF18" s="255"/>
      <c r="NUG18" s="255"/>
      <c r="NUH18" s="255"/>
      <c r="NUI18" s="255"/>
      <c r="NUJ18" s="255"/>
      <c r="NUK18" s="255"/>
      <c r="NUL18" s="255"/>
      <c r="NUM18" s="255"/>
      <c r="NUN18" s="255"/>
      <c r="NUO18" s="255"/>
      <c r="NUP18" s="255"/>
      <c r="NUQ18" s="255"/>
      <c r="NUR18" s="255"/>
      <c r="NUS18" s="255"/>
      <c r="NUT18" s="255"/>
      <c r="NUU18" s="255"/>
      <c r="NUV18" s="255"/>
      <c r="NUW18" s="255"/>
      <c r="NUX18" s="255"/>
      <c r="NUY18" s="255"/>
      <c r="NUZ18" s="255"/>
      <c r="NVA18" s="255"/>
      <c r="NVB18" s="255"/>
      <c r="NVC18" s="255"/>
      <c r="NVD18" s="255"/>
      <c r="NVE18" s="255"/>
      <c r="NVF18" s="255"/>
      <c r="NVG18" s="255"/>
      <c r="NVH18" s="255"/>
      <c r="NVI18" s="255"/>
      <c r="NVJ18" s="255"/>
      <c r="NVK18" s="255"/>
      <c r="NVL18" s="255"/>
      <c r="NVM18" s="255"/>
      <c r="NVN18" s="255"/>
      <c r="NVO18" s="255"/>
      <c r="NVP18" s="255"/>
      <c r="NVQ18" s="255"/>
      <c r="NVR18" s="255"/>
      <c r="NVS18" s="255"/>
      <c r="NVT18" s="255"/>
      <c r="NVU18" s="255"/>
      <c r="NVV18" s="255"/>
      <c r="NVW18" s="255"/>
      <c r="NVX18" s="255"/>
      <c r="NVY18" s="255"/>
      <c r="NVZ18" s="255"/>
      <c r="NWA18" s="255"/>
      <c r="NWB18" s="255"/>
      <c r="NWC18" s="255"/>
      <c r="NWD18" s="255"/>
      <c r="NWE18" s="255"/>
      <c r="NWF18" s="255"/>
      <c r="NWG18" s="255"/>
      <c r="NWH18" s="255"/>
      <c r="NWI18" s="255"/>
      <c r="NWJ18" s="255"/>
      <c r="NWK18" s="255"/>
      <c r="NWL18" s="255"/>
      <c r="NWM18" s="255"/>
      <c r="NWN18" s="255"/>
      <c r="NWO18" s="255"/>
      <c r="NWP18" s="255"/>
      <c r="NWQ18" s="255"/>
      <c r="NWR18" s="255"/>
      <c r="NWS18" s="255"/>
      <c r="NWT18" s="255"/>
      <c r="NWU18" s="255"/>
      <c r="NWV18" s="255"/>
      <c r="NWW18" s="255"/>
      <c r="NWX18" s="255"/>
      <c r="NWY18" s="255"/>
      <c r="NWZ18" s="255"/>
      <c r="NXA18" s="255"/>
      <c r="NXB18" s="255"/>
      <c r="NXC18" s="255"/>
      <c r="NXD18" s="255"/>
      <c r="NXE18" s="255"/>
      <c r="NXF18" s="255"/>
      <c r="NXG18" s="255"/>
      <c r="NXH18" s="255"/>
      <c r="NXI18" s="255"/>
      <c r="NXJ18" s="255"/>
      <c r="NXK18" s="255"/>
      <c r="NXL18" s="255"/>
      <c r="NXM18" s="255"/>
      <c r="NXN18" s="255"/>
      <c r="NXO18" s="255"/>
      <c r="NXP18" s="255"/>
      <c r="NXQ18" s="255"/>
      <c r="NXR18" s="255"/>
      <c r="NXS18" s="255"/>
      <c r="NXT18" s="255"/>
      <c r="NXU18" s="255"/>
      <c r="NXV18" s="255"/>
      <c r="NXW18" s="255"/>
      <c r="NXX18" s="255"/>
      <c r="NXY18" s="255"/>
      <c r="NXZ18" s="255"/>
      <c r="NYA18" s="255"/>
      <c r="NYB18" s="255"/>
      <c r="NYC18" s="255"/>
      <c r="NYD18" s="255"/>
      <c r="NYE18" s="255"/>
      <c r="NYF18" s="255"/>
      <c r="NYG18" s="255"/>
      <c r="NYH18" s="255"/>
      <c r="NYI18" s="255"/>
      <c r="NYJ18" s="255"/>
      <c r="NYK18" s="255"/>
      <c r="NYL18" s="255"/>
      <c r="NYM18" s="255"/>
      <c r="NYN18" s="255"/>
      <c r="NYO18" s="255"/>
      <c r="NYP18" s="255"/>
      <c r="NYQ18" s="255"/>
      <c r="NYR18" s="255"/>
      <c r="NYS18" s="255"/>
      <c r="NYT18" s="255"/>
      <c r="NYU18" s="255"/>
      <c r="NYV18" s="255"/>
      <c r="NYW18" s="255"/>
      <c r="NYX18" s="255"/>
      <c r="NYY18" s="255"/>
      <c r="NYZ18" s="255"/>
      <c r="NZA18" s="255"/>
      <c r="NZB18" s="255"/>
      <c r="NZC18" s="255"/>
      <c r="NZD18" s="255"/>
      <c r="NZE18" s="255"/>
      <c r="NZF18" s="255"/>
      <c r="NZG18" s="255"/>
      <c r="NZH18" s="255"/>
      <c r="NZI18" s="255"/>
      <c r="NZJ18" s="255"/>
      <c r="NZK18" s="255"/>
      <c r="NZL18" s="255"/>
      <c r="NZM18" s="255"/>
      <c r="NZN18" s="255"/>
      <c r="NZO18" s="255"/>
      <c r="NZP18" s="255"/>
      <c r="NZQ18" s="255"/>
      <c r="NZR18" s="255"/>
      <c r="NZS18" s="255"/>
      <c r="NZT18" s="255"/>
      <c r="NZU18" s="255"/>
      <c r="NZV18" s="255"/>
      <c r="NZW18" s="255"/>
      <c r="NZX18" s="255"/>
      <c r="NZY18" s="255"/>
      <c r="NZZ18" s="255"/>
      <c r="OAA18" s="255"/>
      <c r="OAB18" s="255"/>
      <c r="OAC18" s="255"/>
      <c r="OAD18" s="255"/>
      <c r="OAE18" s="255"/>
      <c r="OAF18" s="255"/>
      <c r="OAG18" s="255"/>
      <c r="OAH18" s="255"/>
      <c r="OAI18" s="255"/>
      <c r="OAJ18" s="255"/>
      <c r="OAK18" s="255"/>
      <c r="OAL18" s="255"/>
      <c r="OAM18" s="255"/>
      <c r="OAN18" s="255"/>
      <c r="OAO18" s="255"/>
      <c r="OAP18" s="255"/>
      <c r="OAQ18" s="255"/>
      <c r="OAR18" s="255"/>
      <c r="OAS18" s="255"/>
      <c r="OAT18" s="255"/>
      <c r="OAU18" s="255"/>
      <c r="OAV18" s="255"/>
      <c r="OAW18" s="255"/>
      <c r="OAX18" s="255"/>
      <c r="OAY18" s="255"/>
      <c r="OAZ18" s="255"/>
      <c r="OBA18" s="255"/>
      <c r="OBB18" s="255"/>
      <c r="OBC18" s="255"/>
      <c r="OBD18" s="255"/>
      <c r="OBE18" s="255"/>
      <c r="OBF18" s="255"/>
      <c r="OBG18" s="255"/>
      <c r="OBH18" s="255"/>
      <c r="OBI18" s="255"/>
      <c r="OBJ18" s="255"/>
      <c r="OBK18" s="255"/>
      <c r="OBL18" s="255"/>
      <c r="OBM18" s="255"/>
      <c r="OBN18" s="255"/>
      <c r="OBO18" s="255"/>
      <c r="OBP18" s="255"/>
      <c r="OBQ18" s="255"/>
      <c r="OBR18" s="255"/>
      <c r="OBS18" s="255"/>
      <c r="OBT18" s="255"/>
      <c r="OBU18" s="255"/>
      <c r="OBV18" s="255"/>
      <c r="OBW18" s="255"/>
      <c r="OBX18" s="255"/>
      <c r="OBY18" s="255"/>
      <c r="OBZ18" s="255"/>
      <c r="OCA18" s="255"/>
      <c r="OCB18" s="255"/>
      <c r="OCC18" s="255"/>
      <c r="OCD18" s="255"/>
      <c r="OCE18" s="255"/>
      <c r="OCF18" s="255"/>
      <c r="OCG18" s="255"/>
      <c r="OCH18" s="255"/>
      <c r="OCI18" s="255"/>
      <c r="OCJ18" s="255"/>
      <c r="OCK18" s="255"/>
      <c r="OCL18" s="255"/>
      <c r="OCM18" s="255"/>
      <c r="OCN18" s="255"/>
      <c r="OCO18" s="255"/>
      <c r="OCP18" s="255"/>
      <c r="OCQ18" s="255"/>
      <c r="OCR18" s="255"/>
      <c r="OCS18" s="255"/>
      <c r="OCT18" s="255"/>
      <c r="OCU18" s="255"/>
      <c r="OCV18" s="255"/>
      <c r="OCW18" s="255"/>
      <c r="OCX18" s="255"/>
      <c r="OCY18" s="255"/>
      <c r="OCZ18" s="255"/>
      <c r="ODA18" s="255"/>
      <c r="ODB18" s="255"/>
      <c r="ODC18" s="255"/>
      <c r="ODD18" s="255"/>
      <c r="ODE18" s="255"/>
      <c r="ODF18" s="255"/>
      <c r="ODG18" s="255"/>
      <c r="ODH18" s="255"/>
      <c r="ODI18" s="255"/>
      <c r="ODJ18" s="255"/>
      <c r="ODK18" s="255"/>
      <c r="ODL18" s="255"/>
      <c r="ODM18" s="255"/>
      <c r="ODN18" s="255"/>
      <c r="ODO18" s="255"/>
      <c r="ODP18" s="255"/>
      <c r="ODQ18" s="255"/>
      <c r="ODR18" s="255"/>
      <c r="ODS18" s="255"/>
      <c r="ODT18" s="255"/>
      <c r="ODU18" s="255"/>
      <c r="ODV18" s="255"/>
      <c r="ODW18" s="255"/>
      <c r="ODX18" s="255"/>
      <c r="ODY18" s="255"/>
      <c r="ODZ18" s="255"/>
      <c r="OEA18" s="255"/>
      <c r="OEB18" s="255"/>
      <c r="OEC18" s="255"/>
      <c r="OED18" s="255"/>
      <c r="OEE18" s="255"/>
      <c r="OEF18" s="255"/>
      <c r="OEG18" s="255"/>
      <c r="OEH18" s="255"/>
      <c r="OEI18" s="255"/>
      <c r="OEJ18" s="255"/>
      <c r="OEK18" s="255"/>
      <c r="OEL18" s="255"/>
      <c r="OEM18" s="255"/>
      <c r="OEN18" s="255"/>
      <c r="OEO18" s="255"/>
      <c r="OEP18" s="255"/>
      <c r="OEQ18" s="255"/>
      <c r="OER18" s="255"/>
      <c r="OES18" s="255"/>
      <c r="OET18" s="255"/>
      <c r="OEU18" s="255"/>
      <c r="OEV18" s="255"/>
      <c r="OEW18" s="255"/>
      <c r="OEX18" s="255"/>
      <c r="OEY18" s="255"/>
      <c r="OEZ18" s="255"/>
      <c r="OFA18" s="255"/>
      <c r="OFB18" s="255"/>
      <c r="OFC18" s="255"/>
      <c r="OFD18" s="255"/>
      <c r="OFE18" s="255"/>
      <c r="OFF18" s="255"/>
      <c r="OFG18" s="255"/>
      <c r="OFH18" s="255"/>
      <c r="OFI18" s="255"/>
      <c r="OFJ18" s="255"/>
      <c r="OFK18" s="255"/>
      <c r="OFL18" s="255"/>
      <c r="OFM18" s="255"/>
      <c r="OFN18" s="255"/>
      <c r="OFO18" s="255"/>
      <c r="OFP18" s="255"/>
      <c r="OFQ18" s="255"/>
      <c r="OFR18" s="255"/>
      <c r="OFS18" s="255"/>
      <c r="OFT18" s="255"/>
      <c r="OFU18" s="255"/>
      <c r="OFV18" s="255"/>
      <c r="OFW18" s="255"/>
      <c r="OFX18" s="255"/>
      <c r="OFY18" s="255"/>
      <c r="OFZ18" s="255"/>
      <c r="OGA18" s="255"/>
      <c r="OGB18" s="255"/>
      <c r="OGC18" s="255"/>
      <c r="OGD18" s="255"/>
      <c r="OGE18" s="255"/>
      <c r="OGF18" s="255"/>
      <c r="OGG18" s="255"/>
      <c r="OGH18" s="255"/>
      <c r="OGI18" s="255"/>
      <c r="OGJ18" s="255"/>
      <c r="OGK18" s="255"/>
      <c r="OGL18" s="255"/>
      <c r="OGM18" s="255"/>
      <c r="OGN18" s="255"/>
      <c r="OGO18" s="255"/>
      <c r="OGP18" s="255"/>
      <c r="OGQ18" s="255"/>
      <c r="OGR18" s="255"/>
      <c r="OGS18" s="255"/>
      <c r="OGT18" s="255"/>
      <c r="OGU18" s="255"/>
      <c r="OGV18" s="255"/>
      <c r="OGW18" s="255"/>
      <c r="OGX18" s="255"/>
      <c r="OGY18" s="255"/>
      <c r="OGZ18" s="255"/>
      <c r="OHA18" s="255"/>
      <c r="OHB18" s="255"/>
      <c r="OHC18" s="255"/>
      <c r="OHD18" s="255"/>
      <c r="OHE18" s="255"/>
      <c r="OHF18" s="255"/>
      <c r="OHG18" s="255"/>
      <c r="OHH18" s="255"/>
      <c r="OHI18" s="255"/>
      <c r="OHJ18" s="255"/>
      <c r="OHK18" s="255"/>
      <c r="OHL18" s="255"/>
      <c r="OHM18" s="255"/>
      <c r="OHN18" s="255"/>
      <c r="OHO18" s="255"/>
      <c r="OHP18" s="255"/>
      <c r="OHQ18" s="255"/>
      <c r="OHR18" s="255"/>
      <c r="OHS18" s="255"/>
      <c r="OHT18" s="255"/>
      <c r="OHU18" s="255"/>
      <c r="OHV18" s="255"/>
      <c r="OHW18" s="255"/>
      <c r="OHX18" s="255"/>
      <c r="OHY18" s="255"/>
      <c r="OHZ18" s="255"/>
      <c r="OIA18" s="255"/>
      <c r="OIB18" s="255"/>
      <c r="OIC18" s="255"/>
      <c r="OID18" s="255"/>
      <c r="OIE18" s="255"/>
      <c r="OIF18" s="255"/>
      <c r="OIG18" s="255"/>
      <c r="OIH18" s="255"/>
      <c r="OII18" s="255"/>
      <c r="OIJ18" s="255"/>
      <c r="OIK18" s="255"/>
      <c r="OIL18" s="255"/>
      <c r="OIM18" s="255"/>
      <c r="OIN18" s="255"/>
      <c r="OIO18" s="255"/>
      <c r="OIP18" s="255"/>
      <c r="OIQ18" s="255"/>
      <c r="OIR18" s="255"/>
      <c r="OIS18" s="255"/>
      <c r="OIT18" s="255"/>
      <c r="OIU18" s="255"/>
      <c r="OIV18" s="255"/>
      <c r="OIW18" s="255"/>
      <c r="OIX18" s="255"/>
      <c r="OIY18" s="255"/>
      <c r="OIZ18" s="255"/>
      <c r="OJA18" s="255"/>
      <c r="OJB18" s="255"/>
      <c r="OJC18" s="255"/>
      <c r="OJD18" s="255"/>
      <c r="OJE18" s="255"/>
      <c r="OJF18" s="255"/>
      <c r="OJG18" s="255"/>
      <c r="OJH18" s="255"/>
      <c r="OJI18" s="255"/>
      <c r="OJJ18" s="255"/>
      <c r="OJK18" s="255"/>
      <c r="OJL18" s="255"/>
      <c r="OJM18" s="255"/>
      <c r="OJN18" s="255"/>
      <c r="OJO18" s="255"/>
      <c r="OJP18" s="255"/>
      <c r="OJQ18" s="255"/>
      <c r="OJR18" s="255"/>
      <c r="OJS18" s="255"/>
      <c r="OJT18" s="255"/>
      <c r="OJU18" s="255"/>
      <c r="OJV18" s="255"/>
      <c r="OJW18" s="255"/>
      <c r="OJX18" s="255"/>
      <c r="OJY18" s="255"/>
      <c r="OJZ18" s="255"/>
      <c r="OKA18" s="255"/>
      <c r="OKB18" s="255"/>
      <c r="OKC18" s="255"/>
      <c r="OKD18" s="255"/>
      <c r="OKE18" s="255"/>
      <c r="OKF18" s="255"/>
      <c r="OKG18" s="255"/>
      <c r="OKH18" s="255"/>
      <c r="OKI18" s="255"/>
      <c r="OKJ18" s="255"/>
      <c r="OKK18" s="255"/>
      <c r="OKL18" s="255"/>
      <c r="OKM18" s="255"/>
      <c r="OKN18" s="255"/>
      <c r="OKO18" s="255"/>
      <c r="OKP18" s="255"/>
      <c r="OKQ18" s="255"/>
      <c r="OKR18" s="255"/>
      <c r="OKS18" s="255"/>
      <c r="OKT18" s="255"/>
      <c r="OKU18" s="255"/>
      <c r="OKV18" s="255"/>
      <c r="OKW18" s="255"/>
      <c r="OKX18" s="255"/>
      <c r="OKY18" s="255"/>
      <c r="OKZ18" s="255"/>
      <c r="OLA18" s="255"/>
      <c r="OLB18" s="255"/>
      <c r="OLC18" s="255"/>
      <c r="OLD18" s="255"/>
      <c r="OLE18" s="255"/>
      <c r="OLF18" s="255"/>
      <c r="OLG18" s="255"/>
      <c r="OLH18" s="255"/>
      <c r="OLI18" s="255"/>
      <c r="OLJ18" s="255"/>
      <c r="OLK18" s="255"/>
      <c r="OLL18" s="255"/>
      <c r="OLM18" s="255"/>
      <c r="OLN18" s="255"/>
      <c r="OLO18" s="255"/>
      <c r="OLP18" s="255"/>
      <c r="OLQ18" s="255"/>
      <c r="OLR18" s="255"/>
      <c r="OLS18" s="255"/>
      <c r="OLT18" s="255"/>
      <c r="OLU18" s="255"/>
      <c r="OLV18" s="255"/>
      <c r="OLW18" s="255"/>
      <c r="OLX18" s="255"/>
      <c r="OLY18" s="255"/>
      <c r="OLZ18" s="255"/>
      <c r="OMA18" s="255"/>
      <c r="OMB18" s="255"/>
      <c r="OMC18" s="255"/>
      <c r="OMD18" s="255"/>
      <c r="OME18" s="255"/>
      <c r="OMF18" s="255"/>
      <c r="OMG18" s="255"/>
      <c r="OMH18" s="255"/>
      <c r="OMI18" s="255"/>
      <c r="OMJ18" s="255"/>
      <c r="OMK18" s="255"/>
      <c r="OML18" s="255"/>
      <c r="OMM18" s="255"/>
      <c r="OMN18" s="255"/>
      <c r="OMO18" s="255"/>
      <c r="OMP18" s="255"/>
      <c r="OMQ18" s="255"/>
      <c r="OMR18" s="255"/>
      <c r="OMS18" s="255"/>
      <c r="OMT18" s="255"/>
      <c r="OMU18" s="255"/>
      <c r="OMV18" s="255"/>
      <c r="OMW18" s="255"/>
      <c r="OMX18" s="255"/>
      <c r="OMY18" s="255"/>
      <c r="OMZ18" s="255"/>
      <c r="ONA18" s="255"/>
      <c r="ONB18" s="255"/>
      <c r="ONC18" s="255"/>
      <c r="OND18" s="255"/>
      <c r="ONE18" s="255"/>
      <c r="ONF18" s="255"/>
      <c r="ONG18" s="255"/>
      <c r="ONH18" s="255"/>
      <c r="ONI18" s="255"/>
      <c r="ONJ18" s="255"/>
      <c r="ONK18" s="255"/>
      <c r="ONL18" s="255"/>
      <c r="ONM18" s="255"/>
      <c r="ONN18" s="255"/>
      <c r="ONO18" s="255"/>
      <c r="ONP18" s="255"/>
      <c r="ONQ18" s="255"/>
      <c r="ONR18" s="255"/>
      <c r="ONS18" s="255"/>
      <c r="ONT18" s="255"/>
      <c r="ONU18" s="255"/>
      <c r="ONV18" s="255"/>
      <c r="ONW18" s="255"/>
      <c r="ONX18" s="255"/>
      <c r="ONY18" s="255"/>
      <c r="ONZ18" s="255"/>
      <c r="OOA18" s="255"/>
      <c r="OOB18" s="255"/>
      <c r="OOC18" s="255"/>
      <c r="OOD18" s="255"/>
      <c r="OOE18" s="255"/>
      <c r="OOF18" s="255"/>
      <c r="OOG18" s="255"/>
      <c r="OOH18" s="255"/>
      <c r="OOI18" s="255"/>
      <c r="OOJ18" s="255"/>
      <c r="OOK18" s="255"/>
      <c r="OOL18" s="255"/>
      <c r="OOM18" s="255"/>
      <c r="OON18" s="255"/>
      <c r="OOO18" s="255"/>
      <c r="OOP18" s="255"/>
      <c r="OOQ18" s="255"/>
      <c r="OOR18" s="255"/>
      <c r="OOS18" s="255"/>
      <c r="OOT18" s="255"/>
      <c r="OOU18" s="255"/>
      <c r="OOV18" s="255"/>
      <c r="OOW18" s="255"/>
      <c r="OOX18" s="255"/>
      <c r="OOY18" s="255"/>
      <c r="OOZ18" s="255"/>
      <c r="OPA18" s="255"/>
      <c r="OPB18" s="255"/>
      <c r="OPC18" s="255"/>
      <c r="OPD18" s="255"/>
      <c r="OPE18" s="255"/>
      <c r="OPF18" s="255"/>
      <c r="OPG18" s="255"/>
      <c r="OPH18" s="255"/>
      <c r="OPI18" s="255"/>
      <c r="OPJ18" s="255"/>
      <c r="OPK18" s="255"/>
      <c r="OPL18" s="255"/>
      <c r="OPM18" s="255"/>
      <c r="OPN18" s="255"/>
      <c r="OPO18" s="255"/>
      <c r="OPP18" s="255"/>
      <c r="OPQ18" s="255"/>
      <c r="OPR18" s="255"/>
      <c r="OPS18" s="255"/>
      <c r="OPT18" s="255"/>
      <c r="OPU18" s="255"/>
      <c r="OPV18" s="255"/>
      <c r="OPW18" s="255"/>
      <c r="OPX18" s="255"/>
      <c r="OPY18" s="255"/>
      <c r="OPZ18" s="255"/>
      <c r="OQA18" s="255"/>
      <c r="OQB18" s="255"/>
      <c r="OQC18" s="255"/>
      <c r="OQD18" s="255"/>
      <c r="OQE18" s="255"/>
      <c r="OQF18" s="255"/>
      <c r="OQG18" s="255"/>
      <c r="OQH18" s="255"/>
      <c r="OQI18" s="255"/>
      <c r="OQJ18" s="255"/>
      <c r="OQK18" s="255"/>
      <c r="OQL18" s="255"/>
      <c r="OQM18" s="255"/>
      <c r="OQN18" s="255"/>
      <c r="OQO18" s="255"/>
      <c r="OQP18" s="255"/>
      <c r="OQQ18" s="255"/>
      <c r="OQR18" s="255"/>
      <c r="OQS18" s="255"/>
      <c r="OQT18" s="255"/>
      <c r="OQU18" s="255"/>
      <c r="OQV18" s="255"/>
      <c r="OQW18" s="255"/>
      <c r="OQX18" s="255"/>
      <c r="OQY18" s="255"/>
      <c r="OQZ18" s="255"/>
      <c r="ORA18" s="255"/>
      <c r="ORB18" s="255"/>
      <c r="ORC18" s="255"/>
      <c r="ORD18" s="255"/>
      <c r="ORE18" s="255"/>
      <c r="ORF18" s="255"/>
      <c r="ORG18" s="255"/>
      <c r="ORH18" s="255"/>
      <c r="ORI18" s="255"/>
      <c r="ORJ18" s="255"/>
      <c r="ORK18" s="255"/>
      <c r="ORL18" s="255"/>
      <c r="ORM18" s="255"/>
      <c r="ORN18" s="255"/>
      <c r="ORO18" s="255"/>
      <c r="ORP18" s="255"/>
      <c r="ORQ18" s="255"/>
      <c r="ORR18" s="255"/>
      <c r="ORS18" s="255"/>
      <c r="ORT18" s="255"/>
      <c r="ORU18" s="255"/>
      <c r="ORV18" s="255"/>
      <c r="ORW18" s="255"/>
      <c r="ORX18" s="255"/>
      <c r="ORY18" s="255"/>
      <c r="ORZ18" s="255"/>
      <c r="OSA18" s="255"/>
      <c r="OSB18" s="255"/>
      <c r="OSC18" s="255"/>
      <c r="OSD18" s="255"/>
      <c r="OSE18" s="255"/>
      <c r="OSF18" s="255"/>
      <c r="OSG18" s="255"/>
      <c r="OSH18" s="255"/>
      <c r="OSI18" s="255"/>
      <c r="OSJ18" s="255"/>
      <c r="OSK18" s="255"/>
      <c r="OSL18" s="255"/>
      <c r="OSM18" s="255"/>
      <c r="OSN18" s="255"/>
      <c r="OSO18" s="255"/>
      <c r="OSP18" s="255"/>
      <c r="OSQ18" s="255"/>
      <c r="OSR18" s="255"/>
      <c r="OSS18" s="255"/>
      <c r="OST18" s="255"/>
      <c r="OSU18" s="255"/>
      <c r="OSV18" s="255"/>
      <c r="OSW18" s="255"/>
      <c r="OSX18" s="255"/>
      <c r="OSY18" s="255"/>
      <c r="OSZ18" s="255"/>
      <c r="OTA18" s="255"/>
      <c r="OTB18" s="255"/>
      <c r="OTC18" s="255"/>
      <c r="OTD18" s="255"/>
      <c r="OTE18" s="255"/>
      <c r="OTF18" s="255"/>
      <c r="OTG18" s="255"/>
      <c r="OTH18" s="255"/>
      <c r="OTI18" s="255"/>
      <c r="OTJ18" s="255"/>
      <c r="OTK18" s="255"/>
      <c r="OTL18" s="255"/>
      <c r="OTM18" s="255"/>
      <c r="OTN18" s="255"/>
      <c r="OTO18" s="255"/>
      <c r="OTP18" s="255"/>
      <c r="OTQ18" s="255"/>
      <c r="OTR18" s="255"/>
      <c r="OTS18" s="255"/>
      <c r="OTT18" s="255"/>
      <c r="OTU18" s="255"/>
      <c r="OTV18" s="255"/>
      <c r="OTW18" s="255"/>
      <c r="OTX18" s="255"/>
      <c r="OTY18" s="255"/>
      <c r="OTZ18" s="255"/>
      <c r="OUA18" s="255"/>
      <c r="OUB18" s="255"/>
      <c r="OUC18" s="255"/>
      <c r="OUD18" s="255"/>
      <c r="OUE18" s="255"/>
      <c r="OUF18" s="255"/>
      <c r="OUG18" s="255"/>
      <c r="OUH18" s="255"/>
      <c r="OUI18" s="255"/>
      <c r="OUJ18" s="255"/>
      <c r="OUK18" s="255"/>
      <c r="OUL18" s="255"/>
      <c r="OUM18" s="255"/>
      <c r="OUN18" s="255"/>
      <c r="OUO18" s="255"/>
      <c r="OUP18" s="255"/>
      <c r="OUQ18" s="255"/>
      <c r="OUR18" s="255"/>
      <c r="OUS18" s="255"/>
      <c r="OUT18" s="255"/>
      <c r="OUU18" s="255"/>
      <c r="OUV18" s="255"/>
      <c r="OUW18" s="255"/>
      <c r="OUX18" s="255"/>
      <c r="OUY18" s="255"/>
      <c r="OUZ18" s="255"/>
      <c r="OVA18" s="255"/>
      <c r="OVB18" s="255"/>
      <c r="OVC18" s="255"/>
      <c r="OVD18" s="255"/>
      <c r="OVE18" s="255"/>
      <c r="OVF18" s="255"/>
      <c r="OVG18" s="255"/>
      <c r="OVH18" s="255"/>
      <c r="OVI18" s="255"/>
      <c r="OVJ18" s="255"/>
      <c r="OVK18" s="255"/>
      <c r="OVL18" s="255"/>
      <c r="OVM18" s="255"/>
      <c r="OVN18" s="255"/>
      <c r="OVO18" s="255"/>
      <c r="OVP18" s="255"/>
      <c r="OVQ18" s="255"/>
      <c r="OVR18" s="255"/>
      <c r="OVS18" s="255"/>
      <c r="OVT18" s="255"/>
      <c r="OVU18" s="255"/>
      <c r="OVV18" s="255"/>
      <c r="OVW18" s="255"/>
      <c r="OVX18" s="255"/>
      <c r="OVY18" s="255"/>
      <c r="OVZ18" s="255"/>
      <c r="OWA18" s="255"/>
      <c r="OWB18" s="255"/>
      <c r="OWC18" s="255"/>
      <c r="OWD18" s="255"/>
      <c r="OWE18" s="255"/>
      <c r="OWF18" s="255"/>
      <c r="OWG18" s="255"/>
      <c r="OWH18" s="255"/>
      <c r="OWI18" s="255"/>
      <c r="OWJ18" s="255"/>
      <c r="OWK18" s="255"/>
      <c r="OWL18" s="255"/>
      <c r="OWM18" s="255"/>
      <c r="OWN18" s="255"/>
      <c r="OWO18" s="255"/>
      <c r="OWP18" s="255"/>
      <c r="OWQ18" s="255"/>
      <c r="OWR18" s="255"/>
      <c r="OWS18" s="255"/>
      <c r="OWT18" s="255"/>
      <c r="OWU18" s="255"/>
      <c r="OWV18" s="255"/>
      <c r="OWW18" s="255"/>
      <c r="OWX18" s="255"/>
      <c r="OWY18" s="255"/>
      <c r="OWZ18" s="255"/>
      <c r="OXA18" s="255"/>
      <c r="OXB18" s="255"/>
      <c r="OXC18" s="255"/>
      <c r="OXD18" s="255"/>
      <c r="OXE18" s="255"/>
      <c r="OXF18" s="255"/>
      <c r="OXG18" s="255"/>
      <c r="OXH18" s="255"/>
      <c r="OXI18" s="255"/>
      <c r="OXJ18" s="255"/>
      <c r="OXK18" s="255"/>
      <c r="OXL18" s="255"/>
      <c r="OXM18" s="255"/>
      <c r="OXN18" s="255"/>
      <c r="OXO18" s="255"/>
      <c r="OXP18" s="255"/>
      <c r="OXQ18" s="255"/>
      <c r="OXR18" s="255"/>
      <c r="OXS18" s="255"/>
      <c r="OXT18" s="255"/>
      <c r="OXU18" s="255"/>
      <c r="OXV18" s="255"/>
      <c r="OXW18" s="255"/>
      <c r="OXX18" s="255"/>
      <c r="OXY18" s="255"/>
      <c r="OXZ18" s="255"/>
      <c r="OYA18" s="255"/>
      <c r="OYB18" s="255"/>
      <c r="OYC18" s="255"/>
      <c r="OYD18" s="255"/>
      <c r="OYE18" s="255"/>
      <c r="OYF18" s="255"/>
      <c r="OYG18" s="255"/>
      <c r="OYH18" s="255"/>
      <c r="OYI18" s="255"/>
      <c r="OYJ18" s="255"/>
      <c r="OYK18" s="255"/>
      <c r="OYL18" s="255"/>
      <c r="OYM18" s="255"/>
      <c r="OYN18" s="255"/>
      <c r="OYO18" s="255"/>
      <c r="OYP18" s="255"/>
      <c r="OYQ18" s="255"/>
      <c r="OYR18" s="255"/>
      <c r="OYS18" s="255"/>
      <c r="OYT18" s="255"/>
      <c r="OYU18" s="255"/>
      <c r="OYV18" s="255"/>
      <c r="OYW18" s="255"/>
      <c r="OYX18" s="255"/>
      <c r="OYY18" s="255"/>
      <c r="OYZ18" s="255"/>
      <c r="OZA18" s="255"/>
      <c r="OZB18" s="255"/>
      <c r="OZC18" s="255"/>
      <c r="OZD18" s="255"/>
      <c r="OZE18" s="255"/>
      <c r="OZF18" s="255"/>
      <c r="OZG18" s="255"/>
      <c r="OZH18" s="255"/>
      <c r="OZI18" s="255"/>
      <c r="OZJ18" s="255"/>
      <c r="OZK18" s="255"/>
      <c r="OZL18" s="255"/>
      <c r="OZM18" s="255"/>
      <c r="OZN18" s="255"/>
      <c r="OZO18" s="255"/>
      <c r="OZP18" s="255"/>
      <c r="OZQ18" s="255"/>
      <c r="OZR18" s="255"/>
      <c r="OZS18" s="255"/>
      <c r="OZT18" s="255"/>
      <c r="OZU18" s="255"/>
      <c r="OZV18" s="255"/>
      <c r="OZW18" s="255"/>
      <c r="OZX18" s="255"/>
      <c r="OZY18" s="255"/>
      <c r="OZZ18" s="255"/>
      <c r="PAA18" s="255"/>
      <c r="PAB18" s="255"/>
      <c r="PAC18" s="255"/>
      <c r="PAD18" s="255"/>
      <c r="PAE18" s="255"/>
      <c r="PAF18" s="255"/>
      <c r="PAG18" s="255"/>
      <c r="PAH18" s="255"/>
      <c r="PAI18" s="255"/>
      <c r="PAJ18" s="255"/>
      <c r="PAK18" s="255"/>
      <c r="PAL18" s="255"/>
      <c r="PAM18" s="255"/>
      <c r="PAN18" s="255"/>
      <c r="PAO18" s="255"/>
      <c r="PAP18" s="255"/>
      <c r="PAQ18" s="255"/>
      <c r="PAR18" s="255"/>
      <c r="PAS18" s="255"/>
      <c r="PAT18" s="255"/>
      <c r="PAU18" s="255"/>
      <c r="PAV18" s="255"/>
      <c r="PAW18" s="255"/>
      <c r="PAX18" s="255"/>
      <c r="PAY18" s="255"/>
      <c r="PAZ18" s="255"/>
      <c r="PBA18" s="255"/>
      <c r="PBB18" s="255"/>
      <c r="PBC18" s="255"/>
      <c r="PBD18" s="255"/>
      <c r="PBE18" s="255"/>
      <c r="PBF18" s="255"/>
      <c r="PBG18" s="255"/>
      <c r="PBH18" s="255"/>
      <c r="PBI18" s="255"/>
      <c r="PBJ18" s="255"/>
      <c r="PBK18" s="255"/>
      <c r="PBL18" s="255"/>
      <c r="PBM18" s="255"/>
      <c r="PBN18" s="255"/>
      <c r="PBO18" s="255"/>
      <c r="PBP18" s="255"/>
      <c r="PBQ18" s="255"/>
      <c r="PBR18" s="255"/>
      <c r="PBS18" s="255"/>
      <c r="PBT18" s="255"/>
      <c r="PBU18" s="255"/>
      <c r="PBV18" s="255"/>
      <c r="PBW18" s="255"/>
      <c r="PBX18" s="255"/>
      <c r="PBY18" s="255"/>
      <c r="PBZ18" s="255"/>
      <c r="PCA18" s="255"/>
      <c r="PCB18" s="255"/>
      <c r="PCC18" s="255"/>
      <c r="PCD18" s="255"/>
      <c r="PCE18" s="255"/>
      <c r="PCF18" s="255"/>
      <c r="PCG18" s="255"/>
      <c r="PCH18" s="255"/>
      <c r="PCI18" s="255"/>
      <c r="PCJ18" s="255"/>
      <c r="PCK18" s="255"/>
      <c r="PCL18" s="255"/>
      <c r="PCM18" s="255"/>
      <c r="PCN18" s="255"/>
      <c r="PCO18" s="255"/>
      <c r="PCP18" s="255"/>
      <c r="PCQ18" s="255"/>
      <c r="PCR18" s="255"/>
      <c r="PCS18" s="255"/>
      <c r="PCT18" s="255"/>
      <c r="PCU18" s="255"/>
      <c r="PCV18" s="255"/>
      <c r="PCW18" s="255"/>
      <c r="PCX18" s="255"/>
      <c r="PCY18" s="255"/>
      <c r="PCZ18" s="255"/>
      <c r="PDA18" s="255"/>
      <c r="PDB18" s="255"/>
      <c r="PDC18" s="255"/>
      <c r="PDD18" s="255"/>
      <c r="PDE18" s="255"/>
      <c r="PDF18" s="255"/>
      <c r="PDG18" s="255"/>
      <c r="PDH18" s="255"/>
      <c r="PDI18" s="255"/>
      <c r="PDJ18" s="255"/>
      <c r="PDK18" s="255"/>
      <c r="PDL18" s="255"/>
      <c r="PDM18" s="255"/>
      <c r="PDN18" s="255"/>
      <c r="PDO18" s="255"/>
      <c r="PDP18" s="255"/>
      <c r="PDQ18" s="255"/>
      <c r="PDR18" s="255"/>
      <c r="PDS18" s="255"/>
      <c r="PDT18" s="255"/>
      <c r="PDU18" s="255"/>
      <c r="PDV18" s="255"/>
      <c r="PDW18" s="255"/>
      <c r="PDX18" s="255"/>
      <c r="PDY18" s="255"/>
      <c r="PDZ18" s="255"/>
      <c r="PEA18" s="255"/>
      <c r="PEB18" s="255"/>
      <c r="PEC18" s="255"/>
      <c r="PED18" s="255"/>
      <c r="PEE18" s="255"/>
      <c r="PEF18" s="255"/>
      <c r="PEG18" s="255"/>
      <c r="PEH18" s="255"/>
      <c r="PEI18" s="255"/>
      <c r="PEJ18" s="255"/>
      <c r="PEK18" s="255"/>
      <c r="PEL18" s="255"/>
      <c r="PEM18" s="255"/>
      <c r="PEN18" s="255"/>
      <c r="PEO18" s="255"/>
      <c r="PEP18" s="255"/>
      <c r="PEQ18" s="255"/>
      <c r="PER18" s="255"/>
      <c r="PES18" s="255"/>
      <c r="PET18" s="255"/>
      <c r="PEU18" s="255"/>
      <c r="PEV18" s="255"/>
      <c r="PEW18" s="255"/>
      <c r="PEX18" s="255"/>
      <c r="PEY18" s="255"/>
      <c r="PEZ18" s="255"/>
      <c r="PFA18" s="255"/>
      <c r="PFB18" s="255"/>
      <c r="PFC18" s="255"/>
      <c r="PFD18" s="255"/>
      <c r="PFE18" s="255"/>
      <c r="PFF18" s="255"/>
      <c r="PFG18" s="255"/>
      <c r="PFH18" s="255"/>
      <c r="PFI18" s="255"/>
      <c r="PFJ18" s="255"/>
      <c r="PFK18" s="255"/>
      <c r="PFL18" s="255"/>
      <c r="PFM18" s="255"/>
      <c r="PFN18" s="255"/>
      <c r="PFO18" s="255"/>
      <c r="PFP18" s="255"/>
      <c r="PFQ18" s="255"/>
      <c r="PFR18" s="255"/>
      <c r="PFS18" s="255"/>
      <c r="PFT18" s="255"/>
      <c r="PFU18" s="255"/>
      <c r="PFV18" s="255"/>
      <c r="PFW18" s="255"/>
      <c r="PFX18" s="255"/>
      <c r="PFY18" s="255"/>
      <c r="PFZ18" s="255"/>
      <c r="PGA18" s="255"/>
      <c r="PGB18" s="255"/>
      <c r="PGC18" s="255"/>
      <c r="PGD18" s="255"/>
      <c r="PGE18" s="255"/>
      <c r="PGF18" s="255"/>
      <c r="PGG18" s="255"/>
      <c r="PGH18" s="255"/>
      <c r="PGI18" s="255"/>
      <c r="PGJ18" s="255"/>
      <c r="PGK18" s="255"/>
      <c r="PGL18" s="255"/>
      <c r="PGM18" s="255"/>
      <c r="PGN18" s="255"/>
      <c r="PGO18" s="255"/>
      <c r="PGP18" s="255"/>
      <c r="PGQ18" s="255"/>
      <c r="PGR18" s="255"/>
      <c r="PGS18" s="255"/>
      <c r="PGT18" s="255"/>
      <c r="PGU18" s="255"/>
      <c r="PGV18" s="255"/>
      <c r="PGW18" s="255"/>
      <c r="PGX18" s="255"/>
      <c r="PGY18" s="255"/>
      <c r="PGZ18" s="255"/>
      <c r="PHA18" s="255"/>
      <c r="PHB18" s="255"/>
      <c r="PHC18" s="255"/>
      <c r="PHD18" s="255"/>
      <c r="PHE18" s="255"/>
      <c r="PHF18" s="255"/>
      <c r="PHG18" s="255"/>
      <c r="PHH18" s="255"/>
      <c r="PHI18" s="255"/>
      <c r="PHJ18" s="255"/>
      <c r="PHK18" s="255"/>
      <c r="PHL18" s="255"/>
      <c r="PHM18" s="255"/>
      <c r="PHN18" s="255"/>
      <c r="PHO18" s="255"/>
      <c r="PHP18" s="255"/>
      <c r="PHQ18" s="255"/>
      <c r="PHR18" s="255"/>
      <c r="PHS18" s="255"/>
      <c r="PHT18" s="255"/>
      <c r="PHU18" s="255"/>
      <c r="PHV18" s="255"/>
      <c r="PHW18" s="255"/>
      <c r="PHX18" s="255"/>
      <c r="PHY18" s="255"/>
      <c r="PHZ18" s="255"/>
      <c r="PIA18" s="255"/>
      <c r="PIB18" s="255"/>
      <c r="PIC18" s="255"/>
      <c r="PID18" s="255"/>
      <c r="PIE18" s="255"/>
      <c r="PIF18" s="255"/>
      <c r="PIG18" s="255"/>
      <c r="PIH18" s="255"/>
      <c r="PII18" s="255"/>
      <c r="PIJ18" s="255"/>
      <c r="PIK18" s="255"/>
      <c r="PIL18" s="255"/>
      <c r="PIM18" s="255"/>
      <c r="PIN18" s="255"/>
      <c r="PIO18" s="255"/>
      <c r="PIP18" s="255"/>
      <c r="PIQ18" s="255"/>
      <c r="PIR18" s="255"/>
      <c r="PIS18" s="255"/>
      <c r="PIT18" s="255"/>
      <c r="PIU18" s="255"/>
      <c r="PIV18" s="255"/>
      <c r="PIW18" s="255"/>
      <c r="PIX18" s="255"/>
      <c r="PIY18" s="255"/>
      <c r="PIZ18" s="255"/>
      <c r="PJA18" s="255"/>
      <c r="PJB18" s="255"/>
      <c r="PJC18" s="255"/>
      <c r="PJD18" s="255"/>
      <c r="PJE18" s="255"/>
      <c r="PJF18" s="255"/>
      <c r="PJG18" s="255"/>
      <c r="PJH18" s="255"/>
      <c r="PJI18" s="255"/>
      <c r="PJJ18" s="255"/>
      <c r="PJK18" s="255"/>
      <c r="PJL18" s="255"/>
      <c r="PJM18" s="255"/>
      <c r="PJN18" s="255"/>
      <c r="PJO18" s="255"/>
      <c r="PJP18" s="255"/>
      <c r="PJQ18" s="255"/>
      <c r="PJR18" s="255"/>
      <c r="PJS18" s="255"/>
      <c r="PJT18" s="255"/>
      <c r="PJU18" s="255"/>
      <c r="PJV18" s="255"/>
      <c r="PJW18" s="255"/>
      <c r="PJX18" s="255"/>
      <c r="PJY18" s="255"/>
      <c r="PJZ18" s="255"/>
      <c r="PKA18" s="255"/>
      <c r="PKB18" s="255"/>
      <c r="PKC18" s="255"/>
      <c r="PKD18" s="255"/>
      <c r="PKE18" s="255"/>
      <c r="PKF18" s="255"/>
      <c r="PKG18" s="255"/>
      <c r="PKH18" s="255"/>
      <c r="PKI18" s="255"/>
      <c r="PKJ18" s="255"/>
      <c r="PKK18" s="255"/>
      <c r="PKL18" s="255"/>
      <c r="PKM18" s="255"/>
      <c r="PKN18" s="255"/>
      <c r="PKO18" s="255"/>
      <c r="PKP18" s="255"/>
      <c r="PKQ18" s="255"/>
      <c r="PKR18" s="255"/>
      <c r="PKS18" s="255"/>
      <c r="PKT18" s="255"/>
      <c r="PKU18" s="255"/>
      <c r="PKV18" s="255"/>
      <c r="PKW18" s="255"/>
      <c r="PKX18" s="255"/>
      <c r="PKY18" s="255"/>
      <c r="PKZ18" s="255"/>
      <c r="PLA18" s="255"/>
      <c r="PLB18" s="255"/>
      <c r="PLC18" s="255"/>
      <c r="PLD18" s="255"/>
      <c r="PLE18" s="255"/>
      <c r="PLF18" s="255"/>
      <c r="PLG18" s="255"/>
      <c r="PLH18" s="255"/>
      <c r="PLI18" s="255"/>
      <c r="PLJ18" s="255"/>
      <c r="PLK18" s="255"/>
      <c r="PLL18" s="255"/>
      <c r="PLM18" s="255"/>
      <c r="PLN18" s="255"/>
      <c r="PLO18" s="255"/>
      <c r="PLP18" s="255"/>
      <c r="PLQ18" s="255"/>
      <c r="PLR18" s="255"/>
      <c r="PLS18" s="255"/>
      <c r="PLT18" s="255"/>
      <c r="PLU18" s="255"/>
      <c r="PLV18" s="255"/>
      <c r="PLW18" s="255"/>
      <c r="PLX18" s="255"/>
      <c r="PLY18" s="255"/>
      <c r="PLZ18" s="255"/>
      <c r="PMA18" s="255"/>
      <c r="PMB18" s="255"/>
      <c r="PMC18" s="255"/>
      <c r="PMD18" s="255"/>
      <c r="PME18" s="255"/>
      <c r="PMF18" s="255"/>
      <c r="PMG18" s="255"/>
      <c r="PMH18" s="255"/>
      <c r="PMI18" s="255"/>
      <c r="PMJ18" s="255"/>
      <c r="PMK18" s="255"/>
      <c r="PML18" s="255"/>
      <c r="PMM18" s="255"/>
      <c r="PMN18" s="255"/>
      <c r="PMO18" s="255"/>
      <c r="PMP18" s="255"/>
      <c r="PMQ18" s="255"/>
      <c r="PMR18" s="255"/>
      <c r="PMS18" s="255"/>
      <c r="PMT18" s="255"/>
      <c r="PMU18" s="255"/>
      <c r="PMV18" s="255"/>
      <c r="PMW18" s="255"/>
      <c r="PMX18" s="255"/>
      <c r="PMY18" s="255"/>
      <c r="PMZ18" s="255"/>
      <c r="PNA18" s="255"/>
      <c r="PNB18" s="255"/>
      <c r="PNC18" s="255"/>
      <c r="PND18" s="255"/>
      <c r="PNE18" s="255"/>
      <c r="PNF18" s="255"/>
      <c r="PNG18" s="255"/>
      <c r="PNH18" s="255"/>
      <c r="PNI18" s="255"/>
      <c r="PNJ18" s="255"/>
      <c r="PNK18" s="255"/>
      <c r="PNL18" s="255"/>
      <c r="PNM18" s="255"/>
      <c r="PNN18" s="255"/>
      <c r="PNO18" s="255"/>
      <c r="PNP18" s="255"/>
      <c r="PNQ18" s="255"/>
      <c r="PNR18" s="255"/>
      <c r="PNS18" s="255"/>
      <c r="PNT18" s="255"/>
      <c r="PNU18" s="255"/>
      <c r="PNV18" s="255"/>
      <c r="PNW18" s="255"/>
      <c r="PNX18" s="255"/>
      <c r="PNY18" s="255"/>
      <c r="PNZ18" s="255"/>
      <c r="POA18" s="255"/>
      <c r="POB18" s="255"/>
      <c r="POC18" s="255"/>
      <c r="POD18" s="255"/>
      <c r="POE18" s="255"/>
      <c r="POF18" s="255"/>
      <c r="POG18" s="255"/>
      <c r="POH18" s="255"/>
      <c r="POI18" s="255"/>
      <c r="POJ18" s="255"/>
      <c r="POK18" s="255"/>
      <c r="POL18" s="255"/>
      <c r="POM18" s="255"/>
      <c r="PON18" s="255"/>
      <c r="POO18" s="255"/>
      <c r="POP18" s="255"/>
      <c r="POQ18" s="255"/>
      <c r="POR18" s="255"/>
      <c r="POS18" s="255"/>
      <c r="POT18" s="255"/>
      <c r="POU18" s="255"/>
      <c r="POV18" s="255"/>
      <c r="POW18" s="255"/>
      <c r="POX18" s="255"/>
      <c r="POY18" s="255"/>
      <c r="POZ18" s="255"/>
      <c r="PPA18" s="255"/>
      <c r="PPB18" s="255"/>
      <c r="PPC18" s="255"/>
      <c r="PPD18" s="255"/>
      <c r="PPE18" s="255"/>
      <c r="PPF18" s="255"/>
      <c r="PPG18" s="255"/>
      <c r="PPH18" s="255"/>
      <c r="PPI18" s="255"/>
      <c r="PPJ18" s="255"/>
      <c r="PPK18" s="255"/>
      <c r="PPL18" s="255"/>
      <c r="PPM18" s="255"/>
      <c r="PPN18" s="255"/>
      <c r="PPO18" s="255"/>
      <c r="PPP18" s="255"/>
      <c r="PPQ18" s="255"/>
      <c r="PPR18" s="255"/>
      <c r="PPS18" s="255"/>
      <c r="PPT18" s="255"/>
      <c r="PPU18" s="255"/>
      <c r="PPV18" s="255"/>
      <c r="PPW18" s="255"/>
      <c r="PPX18" s="255"/>
      <c r="PPY18" s="255"/>
      <c r="PPZ18" s="255"/>
      <c r="PQA18" s="255"/>
      <c r="PQB18" s="255"/>
      <c r="PQC18" s="255"/>
      <c r="PQD18" s="255"/>
      <c r="PQE18" s="255"/>
      <c r="PQF18" s="255"/>
      <c r="PQG18" s="255"/>
      <c r="PQH18" s="255"/>
      <c r="PQI18" s="255"/>
      <c r="PQJ18" s="255"/>
      <c r="PQK18" s="255"/>
      <c r="PQL18" s="255"/>
      <c r="PQM18" s="255"/>
      <c r="PQN18" s="255"/>
      <c r="PQO18" s="255"/>
      <c r="PQP18" s="255"/>
      <c r="PQQ18" s="255"/>
      <c r="PQR18" s="255"/>
      <c r="PQS18" s="255"/>
      <c r="PQT18" s="255"/>
      <c r="PQU18" s="255"/>
      <c r="PQV18" s="255"/>
      <c r="PQW18" s="255"/>
      <c r="PQX18" s="255"/>
      <c r="PQY18" s="255"/>
      <c r="PQZ18" s="255"/>
      <c r="PRA18" s="255"/>
      <c r="PRB18" s="255"/>
      <c r="PRC18" s="255"/>
      <c r="PRD18" s="255"/>
      <c r="PRE18" s="255"/>
      <c r="PRF18" s="255"/>
      <c r="PRG18" s="255"/>
      <c r="PRH18" s="255"/>
      <c r="PRI18" s="255"/>
      <c r="PRJ18" s="255"/>
      <c r="PRK18" s="255"/>
      <c r="PRL18" s="255"/>
      <c r="PRM18" s="255"/>
      <c r="PRN18" s="255"/>
      <c r="PRO18" s="255"/>
      <c r="PRP18" s="255"/>
      <c r="PRQ18" s="255"/>
      <c r="PRR18" s="255"/>
      <c r="PRS18" s="255"/>
      <c r="PRT18" s="255"/>
      <c r="PRU18" s="255"/>
      <c r="PRV18" s="255"/>
      <c r="PRW18" s="255"/>
      <c r="PRX18" s="255"/>
      <c r="PRY18" s="255"/>
      <c r="PRZ18" s="255"/>
      <c r="PSA18" s="255"/>
      <c r="PSB18" s="255"/>
      <c r="PSC18" s="255"/>
      <c r="PSD18" s="255"/>
      <c r="PSE18" s="255"/>
      <c r="PSF18" s="255"/>
      <c r="PSG18" s="255"/>
      <c r="PSH18" s="255"/>
      <c r="PSI18" s="255"/>
      <c r="PSJ18" s="255"/>
      <c r="PSK18" s="255"/>
      <c r="PSL18" s="255"/>
      <c r="PSM18" s="255"/>
      <c r="PSN18" s="255"/>
      <c r="PSO18" s="255"/>
      <c r="PSP18" s="255"/>
      <c r="PSQ18" s="255"/>
      <c r="PSR18" s="255"/>
      <c r="PSS18" s="255"/>
      <c r="PST18" s="255"/>
      <c r="PSU18" s="255"/>
      <c r="PSV18" s="255"/>
      <c r="PSW18" s="255"/>
      <c r="PSX18" s="255"/>
      <c r="PSY18" s="255"/>
      <c r="PSZ18" s="255"/>
      <c r="PTA18" s="255"/>
      <c r="PTB18" s="255"/>
      <c r="PTC18" s="255"/>
      <c r="PTD18" s="255"/>
      <c r="PTE18" s="255"/>
      <c r="PTF18" s="255"/>
      <c r="PTG18" s="255"/>
      <c r="PTH18" s="255"/>
      <c r="PTI18" s="255"/>
      <c r="PTJ18" s="255"/>
      <c r="PTK18" s="255"/>
      <c r="PTL18" s="255"/>
      <c r="PTM18" s="255"/>
      <c r="PTN18" s="255"/>
      <c r="PTO18" s="255"/>
      <c r="PTP18" s="255"/>
      <c r="PTQ18" s="255"/>
      <c r="PTR18" s="255"/>
      <c r="PTS18" s="255"/>
      <c r="PTT18" s="255"/>
      <c r="PTU18" s="255"/>
      <c r="PTV18" s="255"/>
      <c r="PTW18" s="255"/>
      <c r="PTX18" s="255"/>
      <c r="PTY18" s="255"/>
      <c r="PTZ18" s="255"/>
      <c r="PUA18" s="255"/>
      <c r="PUB18" s="255"/>
      <c r="PUC18" s="255"/>
      <c r="PUD18" s="255"/>
      <c r="PUE18" s="255"/>
      <c r="PUF18" s="255"/>
      <c r="PUG18" s="255"/>
      <c r="PUH18" s="255"/>
      <c r="PUI18" s="255"/>
      <c r="PUJ18" s="255"/>
      <c r="PUK18" s="255"/>
      <c r="PUL18" s="255"/>
      <c r="PUM18" s="255"/>
      <c r="PUN18" s="255"/>
      <c r="PUO18" s="255"/>
      <c r="PUP18" s="255"/>
      <c r="PUQ18" s="255"/>
      <c r="PUR18" s="255"/>
      <c r="PUS18" s="255"/>
      <c r="PUT18" s="255"/>
      <c r="PUU18" s="255"/>
      <c r="PUV18" s="255"/>
      <c r="PUW18" s="255"/>
      <c r="PUX18" s="255"/>
      <c r="PUY18" s="255"/>
      <c r="PUZ18" s="255"/>
      <c r="PVA18" s="255"/>
      <c r="PVB18" s="255"/>
      <c r="PVC18" s="255"/>
      <c r="PVD18" s="255"/>
      <c r="PVE18" s="255"/>
      <c r="PVF18" s="255"/>
      <c r="PVG18" s="255"/>
      <c r="PVH18" s="255"/>
      <c r="PVI18" s="255"/>
      <c r="PVJ18" s="255"/>
      <c r="PVK18" s="255"/>
      <c r="PVL18" s="255"/>
      <c r="PVM18" s="255"/>
      <c r="PVN18" s="255"/>
      <c r="PVO18" s="255"/>
      <c r="PVP18" s="255"/>
      <c r="PVQ18" s="255"/>
      <c r="PVR18" s="255"/>
      <c r="PVS18" s="255"/>
      <c r="PVT18" s="255"/>
      <c r="PVU18" s="255"/>
      <c r="PVV18" s="255"/>
      <c r="PVW18" s="255"/>
      <c r="PVX18" s="255"/>
      <c r="PVY18" s="255"/>
      <c r="PVZ18" s="255"/>
      <c r="PWA18" s="255"/>
      <c r="PWB18" s="255"/>
      <c r="PWC18" s="255"/>
      <c r="PWD18" s="255"/>
      <c r="PWE18" s="255"/>
      <c r="PWF18" s="255"/>
      <c r="PWG18" s="255"/>
      <c r="PWH18" s="255"/>
      <c r="PWI18" s="255"/>
      <c r="PWJ18" s="255"/>
      <c r="PWK18" s="255"/>
      <c r="PWL18" s="255"/>
      <c r="PWM18" s="255"/>
      <c r="PWN18" s="255"/>
      <c r="PWO18" s="255"/>
      <c r="PWP18" s="255"/>
      <c r="PWQ18" s="255"/>
      <c r="PWR18" s="255"/>
      <c r="PWS18" s="255"/>
      <c r="PWT18" s="255"/>
      <c r="PWU18" s="255"/>
      <c r="PWV18" s="255"/>
      <c r="PWW18" s="255"/>
      <c r="PWX18" s="255"/>
      <c r="PWY18" s="255"/>
      <c r="PWZ18" s="255"/>
      <c r="PXA18" s="255"/>
      <c r="PXB18" s="255"/>
      <c r="PXC18" s="255"/>
      <c r="PXD18" s="255"/>
      <c r="PXE18" s="255"/>
      <c r="PXF18" s="255"/>
      <c r="PXG18" s="255"/>
      <c r="PXH18" s="255"/>
      <c r="PXI18" s="255"/>
      <c r="PXJ18" s="255"/>
      <c r="PXK18" s="255"/>
      <c r="PXL18" s="255"/>
      <c r="PXM18" s="255"/>
      <c r="PXN18" s="255"/>
      <c r="PXO18" s="255"/>
      <c r="PXP18" s="255"/>
      <c r="PXQ18" s="255"/>
      <c r="PXR18" s="255"/>
      <c r="PXS18" s="255"/>
      <c r="PXT18" s="255"/>
      <c r="PXU18" s="255"/>
      <c r="PXV18" s="255"/>
      <c r="PXW18" s="255"/>
      <c r="PXX18" s="255"/>
      <c r="PXY18" s="255"/>
      <c r="PXZ18" s="255"/>
      <c r="PYA18" s="255"/>
      <c r="PYB18" s="255"/>
      <c r="PYC18" s="255"/>
      <c r="PYD18" s="255"/>
      <c r="PYE18" s="255"/>
      <c r="PYF18" s="255"/>
      <c r="PYG18" s="255"/>
      <c r="PYH18" s="255"/>
      <c r="PYI18" s="255"/>
      <c r="PYJ18" s="255"/>
      <c r="PYK18" s="255"/>
      <c r="PYL18" s="255"/>
      <c r="PYM18" s="255"/>
      <c r="PYN18" s="255"/>
      <c r="PYO18" s="255"/>
      <c r="PYP18" s="255"/>
      <c r="PYQ18" s="255"/>
      <c r="PYR18" s="255"/>
      <c r="PYS18" s="255"/>
      <c r="PYT18" s="255"/>
      <c r="PYU18" s="255"/>
      <c r="PYV18" s="255"/>
      <c r="PYW18" s="255"/>
      <c r="PYX18" s="255"/>
      <c r="PYY18" s="255"/>
      <c r="PYZ18" s="255"/>
      <c r="PZA18" s="255"/>
      <c r="PZB18" s="255"/>
      <c r="PZC18" s="255"/>
      <c r="PZD18" s="255"/>
      <c r="PZE18" s="255"/>
      <c r="PZF18" s="255"/>
      <c r="PZG18" s="255"/>
      <c r="PZH18" s="255"/>
      <c r="PZI18" s="255"/>
      <c r="PZJ18" s="255"/>
      <c r="PZK18" s="255"/>
      <c r="PZL18" s="255"/>
      <c r="PZM18" s="255"/>
      <c r="PZN18" s="255"/>
      <c r="PZO18" s="255"/>
      <c r="PZP18" s="255"/>
      <c r="PZQ18" s="255"/>
      <c r="PZR18" s="255"/>
      <c r="PZS18" s="255"/>
      <c r="PZT18" s="255"/>
      <c r="PZU18" s="255"/>
      <c r="PZV18" s="255"/>
      <c r="PZW18" s="255"/>
      <c r="PZX18" s="255"/>
      <c r="PZY18" s="255"/>
      <c r="PZZ18" s="255"/>
      <c r="QAA18" s="255"/>
      <c r="QAB18" s="255"/>
      <c r="QAC18" s="255"/>
      <c r="QAD18" s="255"/>
      <c r="QAE18" s="255"/>
      <c r="QAF18" s="255"/>
      <c r="QAG18" s="255"/>
      <c r="QAH18" s="255"/>
      <c r="QAI18" s="255"/>
      <c r="QAJ18" s="255"/>
      <c r="QAK18" s="255"/>
      <c r="QAL18" s="255"/>
      <c r="QAM18" s="255"/>
      <c r="QAN18" s="255"/>
      <c r="QAO18" s="255"/>
      <c r="QAP18" s="255"/>
      <c r="QAQ18" s="255"/>
      <c r="QAR18" s="255"/>
      <c r="QAS18" s="255"/>
      <c r="QAT18" s="255"/>
      <c r="QAU18" s="255"/>
      <c r="QAV18" s="255"/>
      <c r="QAW18" s="255"/>
      <c r="QAX18" s="255"/>
      <c r="QAY18" s="255"/>
      <c r="QAZ18" s="255"/>
      <c r="QBA18" s="255"/>
      <c r="QBB18" s="255"/>
      <c r="QBC18" s="255"/>
      <c r="QBD18" s="255"/>
      <c r="QBE18" s="255"/>
      <c r="QBF18" s="255"/>
      <c r="QBG18" s="255"/>
      <c r="QBH18" s="255"/>
      <c r="QBI18" s="255"/>
      <c r="QBJ18" s="255"/>
      <c r="QBK18" s="255"/>
      <c r="QBL18" s="255"/>
      <c r="QBM18" s="255"/>
      <c r="QBN18" s="255"/>
      <c r="QBO18" s="255"/>
      <c r="QBP18" s="255"/>
      <c r="QBQ18" s="255"/>
      <c r="QBR18" s="255"/>
      <c r="QBS18" s="255"/>
      <c r="QBT18" s="255"/>
      <c r="QBU18" s="255"/>
      <c r="QBV18" s="255"/>
      <c r="QBW18" s="255"/>
      <c r="QBX18" s="255"/>
      <c r="QBY18" s="255"/>
      <c r="QBZ18" s="255"/>
      <c r="QCA18" s="255"/>
      <c r="QCB18" s="255"/>
      <c r="QCC18" s="255"/>
      <c r="QCD18" s="255"/>
      <c r="QCE18" s="255"/>
      <c r="QCF18" s="255"/>
      <c r="QCG18" s="255"/>
      <c r="QCH18" s="255"/>
      <c r="QCI18" s="255"/>
      <c r="QCJ18" s="255"/>
      <c r="QCK18" s="255"/>
      <c r="QCL18" s="255"/>
      <c r="QCM18" s="255"/>
      <c r="QCN18" s="255"/>
      <c r="QCO18" s="255"/>
      <c r="QCP18" s="255"/>
      <c r="QCQ18" s="255"/>
      <c r="QCR18" s="255"/>
      <c r="QCS18" s="255"/>
      <c r="QCT18" s="255"/>
      <c r="QCU18" s="255"/>
      <c r="QCV18" s="255"/>
      <c r="QCW18" s="255"/>
      <c r="QCX18" s="255"/>
      <c r="QCY18" s="255"/>
      <c r="QCZ18" s="255"/>
      <c r="QDA18" s="255"/>
      <c r="QDB18" s="255"/>
      <c r="QDC18" s="255"/>
      <c r="QDD18" s="255"/>
      <c r="QDE18" s="255"/>
      <c r="QDF18" s="255"/>
      <c r="QDG18" s="255"/>
      <c r="QDH18" s="255"/>
      <c r="QDI18" s="255"/>
      <c r="QDJ18" s="255"/>
      <c r="QDK18" s="255"/>
      <c r="QDL18" s="255"/>
      <c r="QDM18" s="255"/>
      <c r="QDN18" s="255"/>
      <c r="QDO18" s="255"/>
      <c r="QDP18" s="255"/>
      <c r="QDQ18" s="255"/>
      <c r="QDR18" s="255"/>
      <c r="QDS18" s="255"/>
      <c r="QDT18" s="255"/>
      <c r="QDU18" s="255"/>
      <c r="QDV18" s="255"/>
      <c r="QDW18" s="255"/>
      <c r="QDX18" s="255"/>
      <c r="QDY18" s="255"/>
      <c r="QDZ18" s="255"/>
      <c r="QEA18" s="255"/>
      <c r="QEB18" s="255"/>
      <c r="QEC18" s="255"/>
      <c r="QED18" s="255"/>
      <c r="QEE18" s="255"/>
      <c r="QEF18" s="255"/>
      <c r="QEG18" s="255"/>
      <c r="QEH18" s="255"/>
      <c r="QEI18" s="255"/>
      <c r="QEJ18" s="255"/>
      <c r="QEK18" s="255"/>
      <c r="QEL18" s="255"/>
      <c r="QEM18" s="255"/>
      <c r="QEN18" s="255"/>
      <c r="QEO18" s="255"/>
      <c r="QEP18" s="255"/>
      <c r="QEQ18" s="255"/>
      <c r="QER18" s="255"/>
      <c r="QES18" s="255"/>
      <c r="QET18" s="255"/>
      <c r="QEU18" s="255"/>
      <c r="QEV18" s="255"/>
      <c r="QEW18" s="255"/>
      <c r="QEX18" s="255"/>
      <c r="QEY18" s="255"/>
      <c r="QEZ18" s="255"/>
      <c r="QFA18" s="255"/>
      <c r="QFB18" s="255"/>
      <c r="QFC18" s="255"/>
      <c r="QFD18" s="255"/>
      <c r="QFE18" s="255"/>
      <c r="QFF18" s="255"/>
      <c r="QFG18" s="255"/>
      <c r="QFH18" s="255"/>
      <c r="QFI18" s="255"/>
      <c r="QFJ18" s="255"/>
      <c r="QFK18" s="255"/>
      <c r="QFL18" s="255"/>
      <c r="QFM18" s="255"/>
      <c r="QFN18" s="255"/>
      <c r="QFO18" s="255"/>
      <c r="QFP18" s="255"/>
      <c r="QFQ18" s="255"/>
      <c r="QFR18" s="255"/>
      <c r="QFS18" s="255"/>
      <c r="QFT18" s="255"/>
      <c r="QFU18" s="255"/>
      <c r="QFV18" s="255"/>
      <c r="QFW18" s="255"/>
      <c r="QFX18" s="255"/>
      <c r="QFY18" s="255"/>
      <c r="QFZ18" s="255"/>
      <c r="QGA18" s="255"/>
      <c r="QGB18" s="255"/>
      <c r="QGC18" s="255"/>
      <c r="QGD18" s="255"/>
      <c r="QGE18" s="255"/>
      <c r="QGF18" s="255"/>
      <c r="QGG18" s="255"/>
      <c r="QGH18" s="255"/>
      <c r="QGI18" s="255"/>
      <c r="QGJ18" s="255"/>
      <c r="QGK18" s="255"/>
      <c r="QGL18" s="255"/>
      <c r="QGM18" s="255"/>
      <c r="QGN18" s="255"/>
      <c r="QGO18" s="255"/>
      <c r="QGP18" s="255"/>
      <c r="QGQ18" s="255"/>
      <c r="QGR18" s="255"/>
      <c r="QGS18" s="255"/>
      <c r="QGT18" s="255"/>
      <c r="QGU18" s="255"/>
      <c r="QGV18" s="255"/>
      <c r="QGW18" s="255"/>
      <c r="QGX18" s="255"/>
      <c r="QGY18" s="255"/>
      <c r="QGZ18" s="255"/>
      <c r="QHA18" s="255"/>
      <c r="QHB18" s="255"/>
      <c r="QHC18" s="255"/>
      <c r="QHD18" s="255"/>
      <c r="QHE18" s="255"/>
      <c r="QHF18" s="255"/>
      <c r="QHG18" s="255"/>
      <c r="QHH18" s="255"/>
      <c r="QHI18" s="255"/>
      <c r="QHJ18" s="255"/>
      <c r="QHK18" s="255"/>
      <c r="QHL18" s="255"/>
      <c r="QHM18" s="255"/>
      <c r="QHN18" s="255"/>
      <c r="QHO18" s="255"/>
      <c r="QHP18" s="255"/>
      <c r="QHQ18" s="255"/>
      <c r="QHR18" s="255"/>
      <c r="QHS18" s="255"/>
      <c r="QHT18" s="255"/>
      <c r="QHU18" s="255"/>
      <c r="QHV18" s="255"/>
      <c r="QHW18" s="255"/>
      <c r="QHX18" s="255"/>
      <c r="QHY18" s="255"/>
      <c r="QHZ18" s="255"/>
      <c r="QIA18" s="255"/>
      <c r="QIB18" s="255"/>
      <c r="QIC18" s="255"/>
      <c r="QID18" s="255"/>
      <c r="QIE18" s="255"/>
      <c r="QIF18" s="255"/>
      <c r="QIG18" s="255"/>
      <c r="QIH18" s="255"/>
      <c r="QII18" s="255"/>
      <c r="QIJ18" s="255"/>
      <c r="QIK18" s="255"/>
      <c r="QIL18" s="255"/>
      <c r="QIM18" s="255"/>
      <c r="QIN18" s="255"/>
      <c r="QIO18" s="255"/>
      <c r="QIP18" s="255"/>
      <c r="QIQ18" s="255"/>
      <c r="QIR18" s="255"/>
      <c r="QIS18" s="255"/>
      <c r="QIT18" s="255"/>
      <c r="QIU18" s="255"/>
      <c r="QIV18" s="255"/>
      <c r="QIW18" s="255"/>
      <c r="QIX18" s="255"/>
      <c r="QIY18" s="255"/>
      <c r="QIZ18" s="255"/>
      <c r="QJA18" s="255"/>
      <c r="QJB18" s="255"/>
      <c r="QJC18" s="255"/>
      <c r="QJD18" s="255"/>
      <c r="QJE18" s="255"/>
      <c r="QJF18" s="255"/>
      <c r="QJG18" s="255"/>
      <c r="QJH18" s="255"/>
      <c r="QJI18" s="255"/>
      <c r="QJJ18" s="255"/>
      <c r="QJK18" s="255"/>
      <c r="QJL18" s="255"/>
      <c r="QJM18" s="255"/>
      <c r="QJN18" s="255"/>
      <c r="QJO18" s="255"/>
      <c r="QJP18" s="255"/>
      <c r="QJQ18" s="255"/>
      <c r="QJR18" s="255"/>
      <c r="QJS18" s="255"/>
      <c r="QJT18" s="255"/>
      <c r="QJU18" s="255"/>
      <c r="QJV18" s="255"/>
      <c r="QJW18" s="255"/>
      <c r="QJX18" s="255"/>
      <c r="QJY18" s="255"/>
      <c r="QJZ18" s="255"/>
      <c r="QKA18" s="255"/>
      <c r="QKB18" s="255"/>
      <c r="QKC18" s="255"/>
      <c r="QKD18" s="255"/>
      <c r="QKE18" s="255"/>
      <c r="QKF18" s="255"/>
      <c r="QKG18" s="255"/>
      <c r="QKH18" s="255"/>
      <c r="QKI18" s="255"/>
      <c r="QKJ18" s="255"/>
      <c r="QKK18" s="255"/>
      <c r="QKL18" s="255"/>
      <c r="QKM18" s="255"/>
      <c r="QKN18" s="255"/>
      <c r="QKO18" s="255"/>
      <c r="QKP18" s="255"/>
      <c r="QKQ18" s="255"/>
      <c r="QKR18" s="255"/>
      <c r="QKS18" s="255"/>
      <c r="QKT18" s="255"/>
      <c r="QKU18" s="255"/>
      <c r="QKV18" s="255"/>
      <c r="QKW18" s="255"/>
      <c r="QKX18" s="255"/>
      <c r="QKY18" s="255"/>
      <c r="QKZ18" s="255"/>
      <c r="QLA18" s="255"/>
      <c r="QLB18" s="255"/>
      <c r="QLC18" s="255"/>
      <c r="QLD18" s="255"/>
      <c r="QLE18" s="255"/>
      <c r="QLF18" s="255"/>
      <c r="QLG18" s="255"/>
      <c r="QLH18" s="255"/>
      <c r="QLI18" s="255"/>
      <c r="QLJ18" s="255"/>
      <c r="QLK18" s="255"/>
      <c r="QLL18" s="255"/>
      <c r="QLM18" s="255"/>
      <c r="QLN18" s="255"/>
      <c r="QLO18" s="255"/>
      <c r="QLP18" s="255"/>
      <c r="QLQ18" s="255"/>
      <c r="QLR18" s="255"/>
      <c r="QLS18" s="255"/>
      <c r="QLT18" s="255"/>
      <c r="QLU18" s="255"/>
      <c r="QLV18" s="255"/>
      <c r="QLW18" s="255"/>
      <c r="QLX18" s="255"/>
      <c r="QLY18" s="255"/>
      <c r="QLZ18" s="255"/>
      <c r="QMA18" s="255"/>
      <c r="QMB18" s="255"/>
      <c r="QMC18" s="255"/>
      <c r="QMD18" s="255"/>
      <c r="QME18" s="255"/>
      <c r="QMF18" s="255"/>
      <c r="QMG18" s="255"/>
      <c r="QMH18" s="255"/>
      <c r="QMI18" s="255"/>
      <c r="QMJ18" s="255"/>
      <c r="QMK18" s="255"/>
      <c r="QML18" s="255"/>
      <c r="QMM18" s="255"/>
      <c r="QMN18" s="255"/>
      <c r="QMO18" s="255"/>
      <c r="QMP18" s="255"/>
      <c r="QMQ18" s="255"/>
      <c r="QMR18" s="255"/>
      <c r="QMS18" s="255"/>
      <c r="QMT18" s="255"/>
      <c r="QMU18" s="255"/>
      <c r="QMV18" s="255"/>
      <c r="QMW18" s="255"/>
      <c r="QMX18" s="255"/>
      <c r="QMY18" s="255"/>
      <c r="QMZ18" s="255"/>
      <c r="QNA18" s="255"/>
      <c r="QNB18" s="255"/>
      <c r="QNC18" s="255"/>
      <c r="QND18" s="255"/>
      <c r="QNE18" s="255"/>
      <c r="QNF18" s="255"/>
      <c r="QNG18" s="255"/>
      <c r="QNH18" s="255"/>
      <c r="QNI18" s="255"/>
      <c r="QNJ18" s="255"/>
      <c r="QNK18" s="255"/>
      <c r="QNL18" s="255"/>
      <c r="QNM18" s="255"/>
      <c r="QNN18" s="255"/>
      <c r="QNO18" s="255"/>
      <c r="QNP18" s="255"/>
      <c r="QNQ18" s="255"/>
      <c r="QNR18" s="255"/>
      <c r="QNS18" s="255"/>
      <c r="QNT18" s="255"/>
      <c r="QNU18" s="255"/>
      <c r="QNV18" s="255"/>
      <c r="QNW18" s="255"/>
      <c r="QNX18" s="255"/>
      <c r="QNY18" s="255"/>
      <c r="QNZ18" s="255"/>
      <c r="QOA18" s="255"/>
      <c r="QOB18" s="255"/>
      <c r="QOC18" s="255"/>
      <c r="QOD18" s="255"/>
      <c r="QOE18" s="255"/>
      <c r="QOF18" s="255"/>
      <c r="QOG18" s="255"/>
      <c r="QOH18" s="255"/>
      <c r="QOI18" s="255"/>
      <c r="QOJ18" s="255"/>
      <c r="QOK18" s="255"/>
      <c r="QOL18" s="255"/>
      <c r="QOM18" s="255"/>
      <c r="QON18" s="255"/>
      <c r="QOO18" s="255"/>
      <c r="QOP18" s="255"/>
      <c r="QOQ18" s="255"/>
      <c r="QOR18" s="255"/>
      <c r="QOS18" s="255"/>
      <c r="QOT18" s="255"/>
      <c r="QOU18" s="255"/>
      <c r="QOV18" s="255"/>
      <c r="QOW18" s="255"/>
      <c r="QOX18" s="255"/>
      <c r="QOY18" s="255"/>
      <c r="QOZ18" s="255"/>
      <c r="QPA18" s="255"/>
      <c r="QPB18" s="255"/>
      <c r="QPC18" s="255"/>
      <c r="QPD18" s="255"/>
      <c r="QPE18" s="255"/>
      <c r="QPF18" s="255"/>
      <c r="QPG18" s="255"/>
      <c r="QPH18" s="255"/>
      <c r="QPI18" s="255"/>
      <c r="QPJ18" s="255"/>
      <c r="QPK18" s="255"/>
      <c r="QPL18" s="255"/>
      <c r="QPM18" s="255"/>
      <c r="QPN18" s="255"/>
      <c r="QPO18" s="255"/>
      <c r="QPP18" s="255"/>
      <c r="QPQ18" s="255"/>
      <c r="QPR18" s="255"/>
      <c r="QPS18" s="255"/>
      <c r="QPT18" s="255"/>
      <c r="QPU18" s="255"/>
      <c r="QPV18" s="255"/>
      <c r="QPW18" s="255"/>
      <c r="QPX18" s="255"/>
      <c r="QPY18" s="255"/>
      <c r="QPZ18" s="255"/>
      <c r="QQA18" s="255"/>
      <c r="QQB18" s="255"/>
      <c r="QQC18" s="255"/>
      <c r="QQD18" s="255"/>
      <c r="QQE18" s="255"/>
      <c r="QQF18" s="255"/>
      <c r="QQG18" s="255"/>
      <c r="QQH18" s="255"/>
      <c r="QQI18" s="255"/>
      <c r="QQJ18" s="255"/>
      <c r="QQK18" s="255"/>
      <c r="QQL18" s="255"/>
      <c r="QQM18" s="255"/>
      <c r="QQN18" s="255"/>
      <c r="QQO18" s="255"/>
      <c r="QQP18" s="255"/>
      <c r="QQQ18" s="255"/>
      <c r="QQR18" s="255"/>
      <c r="QQS18" s="255"/>
      <c r="QQT18" s="255"/>
      <c r="QQU18" s="255"/>
      <c r="QQV18" s="255"/>
      <c r="QQW18" s="255"/>
      <c r="QQX18" s="255"/>
      <c r="QQY18" s="255"/>
      <c r="QQZ18" s="255"/>
      <c r="QRA18" s="255"/>
      <c r="QRB18" s="255"/>
      <c r="QRC18" s="255"/>
      <c r="QRD18" s="255"/>
      <c r="QRE18" s="255"/>
      <c r="QRF18" s="255"/>
      <c r="QRG18" s="255"/>
      <c r="QRH18" s="255"/>
      <c r="QRI18" s="255"/>
      <c r="QRJ18" s="255"/>
      <c r="QRK18" s="255"/>
      <c r="QRL18" s="255"/>
      <c r="QRM18" s="255"/>
      <c r="QRN18" s="255"/>
      <c r="QRO18" s="255"/>
      <c r="QRP18" s="255"/>
      <c r="QRQ18" s="255"/>
      <c r="QRR18" s="255"/>
      <c r="QRS18" s="255"/>
      <c r="QRT18" s="255"/>
      <c r="QRU18" s="255"/>
      <c r="QRV18" s="255"/>
      <c r="QRW18" s="255"/>
      <c r="QRX18" s="255"/>
      <c r="QRY18" s="255"/>
      <c r="QRZ18" s="255"/>
      <c r="QSA18" s="255"/>
      <c r="QSB18" s="255"/>
      <c r="QSC18" s="255"/>
      <c r="QSD18" s="255"/>
      <c r="QSE18" s="255"/>
      <c r="QSF18" s="255"/>
      <c r="QSG18" s="255"/>
      <c r="QSH18" s="255"/>
      <c r="QSI18" s="255"/>
      <c r="QSJ18" s="255"/>
      <c r="QSK18" s="255"/>
      <c r="QSL18" s="255"/>
      <c r="QSM18" s="255"/>
      <c r="QSN18" s="255"/>
      <c r="QSO18" s="255"/>
      <c r="QSP18" s="255"/>
      <c r="QSQ18" s="255"/>
      <c r="QSR18" s="255"/>
      <c r="QSS18" s="255"/>
      <c r="QST18" s="255"/>
      <c r="QSU18" s="255"/>
      <c r="QSV18" s="255"/>
      <c r="QSW18" s="255"/>
      <c r="QSX18" s="255"/>
      <c r="QSY18" s="255"/>
      <c r="QSZ18" s="255"/>
      <c r="QTA18" s="255"/>
      <c r="QTB18" s="255"/>
      <c r="QTC18" s="255"/>
      <c r="QTD18" s="255"/>
      <c r="QTE18" s="255"/>
      <c r="QTF18" s="255"/>
      <c r="QTG18" s="255"/>
      <c r="QTH18" s="255"/>
      <c r="QTI18" s="255"/>
      <c r="QTJ18" s="255"/>
      <c r="QTK18" s="255"/>
      <c r="QTL18" s="255"/>
      <c r="QTM18" s="255"/>
      <c r="QTN18" s="255"/>
      <c r="QTO18" s="255"/>
      <c r="QTP18" s="255"/>
      <c r="QTQ18" s="255"/>
      <c r="QTR18" s="255"/>
      <c r="QTS18" s="255"/>
      <c r="QTT18" s="255"/>
      <c r="QTU18" s="255"/>
      <c r="QTV18" s="255"/>
      <c r="QTW18" s="255"/>
      <c r="QTX18" s="255"/>
      <c r="QTY18" s="255"/>
      <c r="QTZ18" s="255"/>
      <c r="QUA18" s="255"/>
      <c r="QUB18" s="255"/>
      <c r="QUC18" s="255"/>
      <c r="QUD18" s="255"/>
      <c r="QUE18" s="255"/>
      <c r="QUF18" s="255"/>
      <c r="QUG18" s="255"/>
      <c r="QUH18" s="255"/>
      <c r="QUI18" s="255"/>
      <c r="QUJ18" s="255"/>
      <c r="QUK18" s="255"/>
      <c r="QUL18" s="255"/>
      <c r="QUM18" s="255"/>
      <c r="QUN18" s="255"/>
      <c r="QUO18" s="255"/>
      <c r="QUP18" s="255"/>
      <c r="QUQ18" s="255"/>
      <c r="QUR18" s="255"/>
      <c r="QUS18" s="255"/>
      <c r="QUT18" s="255"/>
      <c r="QUU18" s="255"/>
      <c r="QUV18" s="255"/>
      <c r="QUW18" s="255"/>
      <c r="QUX18" s="255"/>
      <c r="QUY18" s="255"/>
      <c r="QUZ18" s="255"/>
      <c r="QVA18" s="255"/>
      <c r="QVB18" s="255"/>
      <c r="QVC18" s="255"/>
      <c r="QVD18" s="255"/>
      <c r="QVE18" s="255"/>
      <c r="QVF18" s="255"/>
      <c r="QVG18" s="255"/>
      <c r="QVH18" s="255"/>
      <c r="QVI18" s="255"/>
      <c r="QVJ18" s="255"/>
      <c r="QVK18" s="255"/>
      <c r="QVL18" s="255"/>
      <c r="QVM18" s="255"/>
      <c r="QVN18" s="255"/>
      <c r="QVO18" s="255"/>
      <c r="QVP18" s="255"/>
      <c r="QVQ18" s="255"/>
      <c r="QVR18" s="255"/>
      <c r="QVS18" s="255"/>
      <c r="QVT18" s="255"/>
      <c r="QVU18" s="255"/>
      <c r="QVV18" s="255"/>
      <c r="QVW18" s="255"/>
      <c r="QVX18" s="255"/>
      <c r="QVY18" s="255"/>
      <c r="QVZ18" s="255"/>
      <c r="QWA18" s="255"/>
      <c r="QWB18" s="255"/>
      <c r="QWC18" s="255"/>
      <c r="QWD18" s="255"/>
      <c r="QWE18" s="255"/>
      <c r="QWF18" s="255"/>
      <c r="QWG18" s="255"/>
      <c r="QWH18" s="255"/>
      <c r="QWI18" s="255"/>
      <c r="QWJ18" s="255"/>
      <c r="QWK18" s="255"/>
      <c r="QWL18" s="255"/>
      <c r="QWM18" s="255"/>
      <c r="QWN18" s="255"/>
      <c r="QWO18" s="255"/>
      <c r="QWP18" s="255"/>
      <c r="QWQ18" s="255"/>
      <c r="QWR18" s="255"/>
      <c r="QWS18" s="255"/>
      <c r="QWT18" s="255"/>
      <c r="QWU18" s="255"/>
      <c r="QWV18" s="255"/>
      <c r="QWW18" s="255"/>
      <c r="QWX18" s="255"/>
      <c r="QWY18" s="255"/>
      <c r="QWZ18" s="255"/>
      <c r="QXA18" s="255"/>
      <c r="QXB18" s="255"/>
      <c r="QXC18" s="255"/>
      <c r="QXD18" s="255"/>
      <c r="QXE18" s="255"/>
      <c r="QXF18" s="255"/>
      <c r="QXG18" s="255"/>
      <c r="QXH18" s="255"/>
      <c r="QXI18" s="255"/>
      <c r="QXJ18" s="255"/>
      <c r="QXK18" s="255"/>
      <c r="QXL18" s="255"/>
      <c r="QXM18" s="255"/>
      <c r="QXN18" s="255"/>
      <c r="QXO18" s="255"/>
      <c r="QXP18" s="255"/>
      <c r="QXQ18" s="255"/>
      <c r="QXR18" s="255"/>
      <c r="QXS18" s="255"/>
      <c r="QXT18" s="255"/>
      <c r="QXU18" s="255"/>
      <c r="QXV18" s="255"/>
      <c r="QXW18" s="255"/>
      <c r="QXX18" s="255"/>
      <c r="QXY18" s="255"/>
      <c r="QXZ18" s="255"/>
      <c r="QYA18" s="255"/>
      <c r="QYB18" s="255"/>
      <c r="QYC18" s="255"/>
      <c r="QYD18" s="255"/>
      <c r="QYE18" s="255"/>
      <c r="QYF18" s="255"/>
      <c r="QYG18" s="255"/>
      <c r="QYH18" s="255"/>
      <c r="QYI18" s="255"/>
      <c r="QYJ18" s="255"/>
      <c r="QYK18" s="255"/>
      <c r="QYL18" s="255"/>
      <c r="QYM18" s="255"/>
      <c r="QYN18" s="255"/>
      <c r="QYO18" s="255"/>
      <c r="QYP18" s="255"/>
      <c r="QYQ18" s="255"/>
      <c r="QYR18" s="255"/>
      <c r="QYS18" s="255"/>
      <c r="QYT18" s="255"/>
      <c r="QYU18" s="255"/>
      <c r="QYV18" s="255"/>
      <c r="QYW18" s="255"/>
      <c r="QYX18" s="255"/>
      <c r="QYY18" s="255"/>
      <c r="QYZ18" s="255"/>
      <c r="QZA18" s="255"/>
      <c r="QZB18" s="255"/>
      <c r="QZC18" s="255"/>
      <c r="QZD18" s="255"/>
      <c r="QZE18" s="255"/>
      <c r="QZF18" s="255"/>
      <c r="QZG18" s="255"/>
      <c r="QZH18" s="255"/>
      <c r="QZI18" s="255"/>
      <c r="QZJ18" s="255"/>
      <c r="QZK18" s="255"/>
      <c r="QZL18" s="255"/>
      <c r="QZM18" s="255"/>
      <c r="QZN18" s="255"/>
      <c r="QZO18" s="255"/>
      <c r="QZP18" s="255"/>
      <c r="QZQ18" s="255"/>
      <c r="QZR18" s="255"/>
      <c r="QZS18" s="255"/>
      <c r="QZT18" s="255"/>
      <c r="QZU18" s="255"/>
      <c r="QZV18" s="255"/>
      <c r="QZW18" s="255"/>
      <c r="QZX18" s="255"/>
      <c r="QZY18" s="255"/>
      <c r="QZZ18" s="255"/>
      <c r="RAA18" s="255"/>
      <c r="RAB18" s="255"/>
      <c r="RAC18" s="255"/>
      <c r="RAD18" s="255"/>
      <c r="RAE18" s="255"/>
      <c r="RAF18" s="255"/>
      <c r="RAG18" s="255"/>
      <c r="RAH18" s="255"/>
      <c r="RAI18" s="255"/>
      <c r="RAJ18" s="255"/>
      <c r="RAK18" s="255"/>
      <c r="RAL18" s="255"/>
      <c r="RAM18" s="255"/>
      <c r="RAN18" s="255"/>
      <c r="RAO18" s="255"/>
      <c r="RAP18" s="255"/>
      <c r="RAQ18" s="255"/>
      <c r="RAR18" s="255"/>
      <c r="RAS18" s="255"/>
      <c r="RAT18" s="255"/>
      <c r="RAU18" s="255"/>
      <c r="RAV18" s="255"/>
      <c r="RAW18" s="255"/>
      <c r="RAX18" s="255"/>
      <c r="RAY18" s="255"/>
      <c r="RAZ18" s="255"/>
      <c r="RBA18" s="255"/>
      <c r="RBB18" s="255"/>
      <c r="RBC18" s="255"/>
      <c r="RBD18" s="255"/>
      <c r="RBE18" s="255"/>
      <c r="RBF18" s="255"/>
      <c r="RBG18" s="255"/>
      <c r="RBH18" s="255"/>
      <c r="RBI18" s="255"/>
      <c r="RBJ18" s="255"/>
      <c r="RBK18" s="255"/>
      <c r="RBL18" s="255"/>
      <c r="RBM18" s="255"/>
      <c r="RBN18" s="255"/>
      <c r="RBO18" s="255"/>
      <c r="RBP18" s="255"/>
      <c r="RBQ18" s="255"/>
      <c r="RBR18" s="255"/>
      <c r="RBS18" s="255"/>
      <c r="RBT18" s="255"/>
      <c r="RBU18" s="255"/>
      <c r="RBV18" s="255"/>
      <c r="RBW18" s="255"/>
      <c r="RBX18" s="255"/>
      <c r="RBY18" s="255"/>
      <c r="RBZ18" s="255"/>
      <c r="RCA18" s="255"/>
      <c r="RCB18" s="255"/>
      <c r="RCC18" s="255"/>
      <c r="RCD18" s="255"/>
      <c r="RCE18" s="255"/>
      <c r="RCF18" s="255"/>
      <c r="RCG18" s="255"/>
      <c r="RCH18" s="255"/>
      <c r="RCI18" s="255"/>
      <c r="RCJ18" s="255"/>
      <c r="RCK18" s="255"/>
      <c r="RCL18" s="255"/>
      <c r="RCM18" s="255"/>
      <c r="RCN18" s="255"/>
      <c r="RCO18" s="255"/>
      <c r="RCP18" s="255"/>
      <c r="RCQ18" s="255"/>
      <c r="RCR18" s="255"/>
      <c r="RCS18" s="255"/>
      <c r="RCT18" s="255"/>
      <c r="RCU18" s="255"/>
      <c r="RCV18" s="255"/>
      <c r="RCW18" s="255"/>
      <c r="RCX18" s="255"/>
      <c r="RCY18" s="255"/>
      <c r="RCZ18" s="255"/>
      <c r="RDA18" s="255"/>
      <c r="RDB18" s="255"/>
      <c r="RDC18" s="255"/>
      <c r="RDD18" s="255"/>
      <c r="RDE18" s="255"/>
      <c r="RDF18" s="255"/>
      <c r="RDG18" s="255"/>
      <c r="RDH18" s="255"/>
      <c r="RDI18" s="255"/>
      <c r="RDJ18" s="255"/>
      <c r="RDK18" s="255"/>
      <c r="RDL18" s="255"/>
      <c r="RDM18" s="255"/>
      <c r="RDN18" s="255"/>
      <c r="RDO18" s="255"/>
      <c r="RDP18" s="255"/>
      <c r="RDQ18" s="255"/>
      <c r="RDR18" s="255"/>
      <c r="RDS18" s="255"/>
      <c r="RDT18" s="255"/>
      <c r="RDU18" s="255"/>
      <c r="RDV18" s="255"/>
      <c r="RDW18" s="255"/>
      <c r="RDX18" s="255"/>
      <c r="RDY18" s="255"/>
      <c r="RDZ18" s="255"/>
      <c r="REA18" s="255"/>
      <c r="REB18" s="255"/>
      <c r="REC18" s="255"/>
      <c r="RED18" s="255"/>
      <c r="REE18" s="255"/>
      <c r="REF18" s="255"/>
      <c r="REG18" s="255"/>
      <c r="REH18" s="255"/>
      <c r="REI18" s="255"/>
      <c r="REJ18" s="255"/>
      <c r="REK18" s="255"/>
      <c r="REL18" s="255"/>
      <c r="REM18" s="255"/>
      <c r="REN18" s="255"/>
      <c r="REO18" s="255"/>
      <c r="REP18" s="255"/>
      <c r="REQ18" s="255"/>
      <c r="RER18" s="255"/>
      <c r="RES18" s="255"/>
      <c r="RET18" s="255"/>
      <c r="REU18" s="255"/>
      <c r="REV18" s="255"/>
      <c r="REW18" s="255"/>
      <c r="REX18" s="255"/>
      <c r="REY18" s="255"/>
      <c r="REZ18" s="255"/>
      <c r="RFA18" s="255"/>
      <c r="RFB18" s="255"/>
      <c r="RFC18" s="255"/>
      <c r="RFD18" s="255"/>
      <c r="RFE18" s="255"/>
      <c r="RFF18" s="255"/>
      <c r="RFG18" s="255"/>
      <c r="RFH18" s="255"/>
      <c r="RFI18" s="255"/>
      <c r="RFJ18" s="255"/>
      <c r="RFK18" s="255"/>
      <c r="RFL18" s="255"/>
      <c r="RFM18" s="255"/>
      <c r="RFN18" s="255"/>
      <c r="RFO18" s="255"/>
      <c r="RFP18" s="255"/>
      <c r="RFQ18" s="255"/>
      <c r="RFR18" s="255"/>
      <c r="RFS18" s="255"/>
      <c r="RFT18" s="255"/>
      <c r="RFU18" s="255"/>
      <c r="RFV18" s="255"/>
      <c r="RFW18" s="255"/>
      <c r="RFX18" s="255"/>
      <c r="RFY18" s="255"/>
      <c r="RFZ18" s="255"/>
      <c r="RGA18" s="255"/>
      <c r="RGB18" s="255"/>
      <c r="RGC18" s="255"/>
      <c r="RGD18" s="255"/>
      <c r="RGE18" s="255"/>
      <c r="RGF18" s="255"/>
      <c r="RGG18" s="255"/>
      <c r="RGH18" s="255"/>
      <c r="RGI18" s="255"/>
      <c r="RGJ18" s="255"/>
      <c r="RGK18" s="255"/>
      <c r="RGL18" s="255"/>
      <c r="RGM18" s="255"/>
      <c r="RGN18" s="255"/>
      <c r="RGO18" s="255"/>
      <c r="RGP18" s="255"/>
      <c r="RGQ18" s="255"/>
      <c r="RGR18" s="255"/>
      <c r="RGS18" s="255"/>
      <c r="RGT18" s="255"/>
      <c r="RGU18" s="255"/>
      <c r="RGV18" s="255"/>
      <c r="RGW18" s="255"/>
      <c r="RGX18" s="255"/>
      <c r="RGY18" s="255"/>
      <c r="RGZ18" s="255"/>
      <c r="RHA18" s="255"/>
      <c r="RHB18" s="255"/>
      <c r="RHC18" s="255"/>
      <c r="RHD18" s="255"/>
      <c r="RHE18" s="255"/>
      <c r="RHF18" s="255"/>
      <c r="RHG18" s="255"/>
      <c r="RHH18" s="255"/>
      <c r="RHI18" s="255"/>
      <c r="RHJ18" s="255"/>
      <c r="RHK18" s="255"/>
      <c r="RHL18" s="255"/>
      <c r="RHM18" s="255"/>
      <c r="RHN18" s="255"/>
      <c r="RHO18" s="255"/>
      <c r="RHP18" s="255"/>
      <c r="RHQ18" s="255"/>
      <c r="RHR18" s="255"/>
      <c r="RHS18" s="255"/>
      <c r="RHT18" s="255"/>
      <c r="RHU18" s="255"/>
      <c r="RHV18" s="255"/>
      <c r="RHW18" s="255"/>
      <c r="RHX18" s="255"/>
      <c r="RHY18" s="255"/>
      <c r="RHZ18" s="255"/>
      <c r="RIA18" s="255"/>
      <c r="RIB18" s="255"/>
      <c r="RIC18" s="255"/>
      <c r="RID18" s="255"/>
      <c r="RIE18" s="255"/>
      <c r="RIF18" s="255"/>
      <c r="RIG18" s="255"/>
      <c r="RIH18" s="255"/>
      <c r="RII18" s="255"/>
      <c r="RIJ18" s="255"/>
      <c r="RIK18" s="255"/>
      <c r="RIL18" s="255"/>
      <c r="RIM18" s="255"/>
      <c r="RIN18" s="255"/>
      <c r="RIO18" s="255"/>
      <c r="RIP18" s="255"/>
      <c r="RIQ18" s="255"/>
      <c r="RIR18" s="255"/>
      <c r="RIS18" s="255"/>
      <c r="RIT18" s="255"/>
      <c r="RIU18" s="255"/>
      <c r="RIV18" s="255"/>
      <c r="RIW18" s="255"/>
      <c r="RIX18" s="255"/>
      <c r="RIY18" s="255"/>
      <c r="RIZ18" s="255"/>
      <c r="RJA18" s="255"/>
      <c r="RJB18" s="255"/>
      <c r="RJC18" s="255"/>
      <c r="RJD18" s="255"/>
      <c r="RJE18" s="255"/>
      <c r="RJF18" s="255"/>
      <c r="RJG18" s="255"/>
      <c r="RJH18" s="255"/>
      <c r="RJI18" s="255"/>
      <c r="RJJ18" s="255"/>
      <c r="RJK18" s="255"/>
      <c r="RJL18" s="255"/>
      <c r="RJM18" s="255"/>
      <c r="RJN18" s="255"/>
      <c r="RJO18" s="255"/>
      <c r="RJP18" s="255"/>
      <c r="RJQ18" s="255"/>
      <c r="RJR18" s="255"/>
      <c r="RJS18" s="255"/>
      <c r="RJT18" s="255"/>
      <c r="RJU18" s="255"/>
      <c r="RJV18" s="255"/>
      <c r="RJW18" s="255"/>
      <c r="RJX18" s="255"/>
      <c r="RJY18" s="255"/>
      <c r="RJZ18" s="255"/>
      <c r="RKA18" s="255"/>
      <c r="RKB18" s="255"/>
      <c r="RKC18" s="255"/>
      <c r="RKD18" s="255"/>
      <c r="RKE18" s="255"/>
      <c r="RKF18" s="255"/>
      <c r="RKG18" s="255"/>
      <c r="RKH18" s="255"/>
      <c r="RKI18" s="255"/>
      <c r="RKJ18" s="255"/>
      <c r="RKK18" s="255"/>
      <c r="RKL18" s="255"/>
      <c r="RKM18" s="255"/>
      <c r="RKN18" s="255"/>
      <c r="RKO18" s="255"/>
      <c r="RKP18" s="255"/>
      <c r="RKQ18" s="255"/>
      <c r="RKR18" s="255"/>
      <c r="RKS18" s="255"/>
      <c r="RKT18" s="255"/>
      <c r="RKU18" s="255"/>
      <c r="RKV18" s="255"/>
      <c r="RKW18" s="255"/>
      <c r="RKX18" s="255"/>
      <c r="RKY18" s="255"/>
      <c r="RKZ18" s="255"/>
      <c r="RLA18" s="255"/>
      <c r="RLB18" s="255"/>
      <c r="RLC18" s="255"/>
      <c r="RLD18" s="255"/>
      <c r="RLE18" s="255"/>
      <c r="RLF18" s="255"/>
      <c r="RLG18" s="255"/>
      <c r="RLH18" s="255"/>
      <c r="RLI18" s="255"/>
      <c r="RLJ18" s="255"/>
      <c r="RLK18" s="255"/>
      <c r="RLL18" s="255"/>
      <c r="RLM18" s="255"/>
      <c r="RLN18" s="255"/>
      <c r="RLO18" s="255"/>
      <c r="RLP18" s="255"/>
      <c r="RLQ18" s="255"/>
      <c r="RLR18" s="255"/>
      <c r="RLS18" s="255"/>
      <c r="RLT18" s="255"/>
      <c r="RLU18" s="255"/>
      <c r="RLV18" s="255"/>
      <c r="RLW18" s="255"/>
      <c r="RLX18" s="255"/>
      <c r="RLY18" s="255"/>
      <c r="RLZ18" s="255"/>
      <c r="RMA18" s="255"/>
      <c r="RMB18" s="255"/>
      <c r="RMC18" s="255"/>
      <c r="RMD18" s="255"/>
      <c r="RME18" s="255"/>
      <c r="RMF18" s="255"/>
      <c r="RMG18" s="255"/>
      <c r="RMH18" s="255"/>
      <c r="RMI18" s="255"/>
      <c r="RMJ18" s="255"/>
      <c r="RMK18" s="255"/>
      <c r="RML18" s="255"/>
      <c r="RMM18" s="255"/>
      <c r="RMN18" s="255"/>
      <c r="RMO18" s="255"/>
      <c r="RMP18" s="255"/>
      <c r="RMQ18" s="255"/>
      <c r="RMR18" s="255"/>
      <c r="RMS18" s="255"/>
      <c r="RMT18" s="255"/>
      <c r="RMU18" s="255"/>
      <c r="RMV18" s="255"/>
      <c r="RMW18" s="255"/>
      <c r="RMX18" s="255"/>
      <c r="RMY18" s="255"/>
      <c r="RMZ18" s="255"/>
      <c r="RNA18" s="255"/>
      <c r="RNB18" s="255"/>
      <c r="RNC18" s="255"/>
      <c r="RND18" s="255"/>
      <c r="RNE18" s="255"/>
      <c r="RNF18" s="255"/>
      <c r="RNG18" s="255"/>
      <c r="RNH18" s="255"/>
      <c r="RNI18" s="255"/>
      <c r="RNJ18" s="255"/>
      <c r="RNK18" s="255"/>
      <c r="RNL18" s="255"/>
      <c r="RNM18" s="255"/>
      <c r="RNN18" s="255"/>
      <c r="RNO18" s="255"/>
      <c r="RNP18" s="255"/>
      <c r="RNQ18" s="255"/>
      <c r="RNR18" s="255"/>
      <c r="RNS18" s="255"/>
      <c r="RNT18" s="255"/>
      <c r="RNU18" s="255"/>
      <c r="RNV18" s="255"/>
      <c r="RNW18" s="255"/>
      <c r="RNX18" s="255"/>
      <c r="RNY18" s="255"/>
      <c r="RNZ18" s="255"/>
      <c r="ROA18" s="255"/>
      <c r="ROB18" s="255"/>
      <c r="ROC18" s="255"/>
      <c r="ROD18" s="255"/>
      <c r="ROE18" s="255"/>
      <c r="ROF18" s="255"/>
      <c r="ROG18" s="255"/>
      <c r="ROH18" s="255"/>
      <c r="ROI18" s="255"/>
      <c r="ROJ18" s="255"/>
      <c r="ROK18" s="255"/>
      <c r="ROL18" s="255"/>
      <c r="ROM18" s="255"/>
      <c r="RON18" s="255"/>
      <c r="ROO18" s="255"/>
      <c r="ROP18" s="255"/>
      <c r="ROQ18" s="255"/>
      <c r="ROR18" s="255"/>
      <c r="ROS18" s="255"/>
      <c r="ROT18" s="255"/>
      <c r="ROU18" s="255"/>
      <c r="ROV18" s="255"/>
      <c r="ROW18" s="255"/>
      <c r="ROX18" s="255"/>
      <c r="ROY18" s="255"/>
      <c r="ROZ18" s="255"/>
      <c r="RPA18" s="255"/>
      <c r="RPB18" s="255"/>
      <c r="RPC18" s="255"/>
      <c r="RPD18" s="255"/>
      <c r="RPE18" s="255"/>
      <c r="RPF18" s="255"/>
      <c r="RPG18" s="255"/>
      <c r="RPH18" s="255"/>
      <c r="RPI18" s="255"/>
      <c r="RPJ18" s="255"/>
      <c r="RPK18" s="255"/>
      <c r="RPL18" s="255"/>
      <c r="RPM18" s="255"/>
      <c r="RPN18" s="255"/>
      <c r="RPO18" s="255"/>
      <c r="RPP18" s="255"/>
      <c r="RPQ18" s="255"/>
      <c r="RPR18" s="255"/>
      <c r="RPS18" s="255"/>
      <c r="RPT18" s="255"/>
      <c r="RPU18" s="255"/>
      <c r="RPV18" s="255"/>
      <c r="RPW18" s="255"/>
      <c r="RPX18" s="255"/>
      <c r="RPY18" s="255"/>
      <c r="RPZ18" s="255"/>
      <c r="RQA18" s="255"/>
      <c r="RQB18" s="255"/>
      <c r="RQC18" s="255"/>
      <c r="RQD18" s="255"/>
      <c r="RQE18" s="255"/>
      <c r="RQF18" s="255"/>
      <c r="RQG18" s="255"/>
      <c r="RQH18" s="255"/>
      <c r="RQI18" s="255"/>
      <c r="RQJ18" s="255"/>
      <c r="RQK18" s="255"/>
      <c r="RQL18" s="255"/>
      <c r="RQM18" s="255"/>
      <c r="RQN18" s="255"/>
      <c r="RQO18" s="255"/>
      <c r="RQP18" s="255"/>
      <c r="RQQ18" s="255"/>
      <c r="RQR18" s="255"/>
      <c r="RQS18" s="255"/>
      <c r="RQT18" s="255"/>
      <c r="RQU18" s="255"/>
      <c r="RQV18" s="255"/>
      <c r="RQW18" s="255"/>
      <c r="RQX18" s="255"/>
      <c r="RQY18" s="255"/>
      <c r="RQZ18" s="255"/>
      <c r="RRA18" s="255"/>
      <c r="RRB18" s="255"/>
      <c r="RRC18" s="255"/>
      <c r="RRD18" s="255"/>
      <c r="RRE18" s="255"/>
      <c r="RRF18" s="255"/>
      <c r="RRG18" s="255"/>
      <c r="RRH18" s="255"/>
      <c r="RRI18" s="255"/>
      <c r="RRJ18" s="255"/>
      <c r="RRK18" s="255"/>
      <c r="RRL18" s="255"/>
      <c r="RRM18" s="255"/>
      <c r="RRN18" s="255"/>
      <c r="RRO18" s="255"/>
      <c r="RRP18" s="255"/>
      <c r="RRQ18" s="255"/>
      <c r="RRR18" s="255"/>
      <c r="RRS18" s="255"/>
      <c r="RRT18" s="255"/>
      <c r="RRU18" s="255"/>
      <c r="RRV18" s="255"/>
      <c r="RRW18" s="255"/>
      <c r="RRX18" s="255"/>
      <c r="RRY18" s="255"/>
      <c r="RRZ18" s="255"/>
      <c r="RSA18" s="255"/>
      <c r="RSB18" s="255"/>
      <c r="RSC18" s="255"/>
      <c r="RSD18" s="255"/>
      <c r="RSE18" s="255"/>
      <c r="RSF18" s="255"/>
      <c r="RSG18" s="255"/>
      <c r="RSH18" s="255"/>
      <c r="RSI18" s="255"/>
      <c r="RSJ18" s="255"/>
      <c r="RSK18" s="255"/>
      <c r="RSL18" s="255"/>
      <c r="RSM18" s="255"/>
      <c r="RSN18" s="255"/>
      <c r="RSO18" s="255"/>
      <c r="RSP18" s="255"/>
      <c r="RSQ18" s="255"/>
      <c r="RSR18" s="255"/>
      <c r="RSS18" s="255"/>
      <c r="RST18" s="255"/>
      <c r="RSU18" s="255"/>
      <c r="RSV18" s="255"/>
      <c r="RSW18" s="255"/>
      <c r="RSX18" s="255"/>
      <c r="RSY18" s="255"/>
      <c r="RSZ18" s="255"/>
      <c r="RTA18" s="255"/>
      <c r="RTB18" s="255"/>
      <c r="RTC18" s="255"/>
      <c r="RTD18" s="255"/>
      <c r="RTE18" s="255"/>
      <c r="RTF18" s="255"/>
      <c r="RTG18" s="255"/>
      <c r="RTH18" s="255"/>
      <c r="RTI18" s="255"/>
      <c r="RTJ18" s="255"/>
      <c r="RTK18" s="255"/>
      <c r="RTL18" s="255"/>
      <c r="RTM18" s="255"/>
      <c r="RTN18" s="255"/>
      <c r="RTO18" s="255"/>
      <c r="RTP18" s="255"/>
      <c r="RTQ18" s="255"/>
      <c r="RTR18" s="255"/>
      <c r="RTS18" s="255"/>
      <c r="RTT18" s="255"/>
      <c r="RTU18" s="255"/>
      <c r="RTV18" s="255"/>
      <c r="RTW18" s="255"/>
      <c r="RTX18" s="255"/>
      <c r="RTY18" s="255"/>
      <c r="RTZ18" s="255"/>
      <c r="RUA18" s="255"/>
      <c r="RUB18" s="255"/>
      <c r="RUC18" s="255"/>
      <c r="RUD18" s="255"/>
      <c r="RUE18" s="255"/>
      <c r="RUF18" s="255"/>
      <c r="RUG18" s="255"/>
      <c r="RUH18" s="255"/>
      <c r="RUI18" s="255"/>
      <c r="RUJ18" s="255"/>
      <c r="RUK18" s="255"/>
      <c r="RUL18" s="255"/>
      <c r="RUM18" s="255"/>
      <c r="RUN18" s="255"/>
      <c r="RUO18" s="255"/>
      <c r="RUP18" s="255"/>
      <c r="RUQ18" s="255"/>
      <c r="RUR18" s="255"/>
      <c r="RUS18" s="255"/>
      <c r="RUT18" s="255"/>
      <c r="RUU18" s="255"/>
      <c r="RUV18" s="255"/>
      <c r="RUW18" s="255"/>
      <c r="RUX18" s="255"/>
      <c r="RUY18" s="255"/>
      <c r="RUZ18" s="255"/>
      <c r="RVA18" s="255"/>
      <c r="RVB18" s="255"/>
      <c r="RVC18" s="255"/>
      <c r="RVD18" s="255"/>
      <c r="RVE18" s="255"/>
      <c r="RVF18" s="255"/>
      <c r="RVG18" s="255"/>
      <c r="RVH18" s="255"/>
      <c r="RVI18" s="255"/>
      <c r="RVJ18" s="255"/>
      <c r="RVK18" s="255"/>
      <c r="RVL18" s="255"/>
      <c r="RVM18" s="255"/>
      <c r="RVN18" s="255"/>
      <c r="RVO18" s="255"/>
      <c r="RVP18" s="255"/>
      <c r="RVQ18" s="255"/>
      <c r="RVR18" s="255"/>
      <c r="RVS18" s="255"/>
      <c r="RVT18" s="255"/>
      <c r="RVU18" s="255"/>
      <c r="RVV18" s="255"/>
      <c r="RVW18" s="255"/>
      <c r="RVX18" s="255"/>
      <c r="RVY18" s="255"/>
      <c r="RVZ18" s="255"/>
      <c r="RWA18" s="255"/>
      <c r="RWB18" s="255"/>
      <c r="RWC18" s="255"/>
      <c r="RWD18" s="255"/>
      <c r="RWE18" s="255"/>
      <c r="RWF18" s="255"/>
      <c r="RWG18" s="255"/>
      <c r="RWH18" s="255"/>
      <c r="RWI18" s="255"/>
      <c r="RWJ18" s="255"/>
      <c r="RWK18" s="255"/>
      <c r="RWL18" s="255"/>
      <c r="RWM18" s="255"/>
      <c r="RWN18" s="255"/>
      <c r="RWO18" s="255"/>
      <c r="RWP18" s="255"/>
      <c r="RWQ18" s="255"/>
      <c r="RWR18" s="255"/>
      <c r="RWS18" s="255"/>
      <c r="RWT18" s="255"/>
      <c r="RWU18" s="255"/>
      <c r="RWV18" s="255"/>
      <c r="RWW18" s="255"/>
      <c r="RWX18" s="255"/>
      <c r="RWY18" s="255"/>
      <c r="RWZ18" s="255"/>
      <c r="RXA18" s="255"/>
      <c r="RXB18" s="255"/>
      <c r="RXC18" s="255"/>
      <c r="RXD18" s="255"/>
      <c r="RXE18" s="255"/>
      <c r="RXF18" s="255"/>
      <c r="RXG18" s="255"/>
      <c r="RXH18" s="255"/>
      <c r="RXI18" s="255"/>
      <c r="RXJ18" s="255"/>
      <c r="RXK18" s="255"/>
      <c r="RXL18" s="255"/>
      <c r="RXM18" s="255"/>
      <c r="RXN18" s="255"/>
      <c r="RXO18" s="255"/>
      <c r="RXP18" s="255"/>
      <c r="RXQ18" s="255"/>
      <c r="RXR18" s="255"/>
      <c r="RXS18" s="255"/>
      <c r="RXT18" s="255"/>
      <c r="RXU18" s="255"/>
      <c r="RXV18" s="255"/>
      <c r="RXW18" s="255"/>
      <c r="RXX18" s="255"/>
      <c r="RXY18" s="255"/>
      <c r="RXZ18" s="255"/>
      <c r="RYA18" s="255"/>
      <c r="RYB18" s="255"/>
      <c r="RYC18" s="255"/>
      <c r="RYD18" s="255"/>
      <c r="RYE18" s="255"/>
      <c r="RYF18" s="255"/>
      <c r="RYG18" s="255"/>
      <c r="RYH18" s="255"/>
      <c r="RYI18" s="255"/>
      <c r="RYJ18" s="255"/>
      <c r="RYK18" s="255"/>
      <c r="RYL18" s="255"/>
      <c r="RYM18" s="255"/>
      <c r="RYN18" s="255"/>
      <c r="RYO18" s="255"/>
      <c r="RYP18" s="255"/>
      <c r="RYQ18" s="255"/>
      <c r="RYR18" s="255"/>
      <c r="RYS18" s="255"/>
      <c r="RYT18" s="255"/>
      <c r="RYU18" s="255"/>
      <c r="RYV18" s="255"/>
      <c r="RYW18" s="255"/>
      <c r="RYX18" s="255"/>
      <c r="RYY18" s="255"/>
      <c r="RYZ18" s="255"/>
      <c r="RZA18" s="255"/>
      <c r="RZB18" s="255"/>
      <c r="RZC18" s="255"/>
      <c r="RZD18" s="255"/>
      <c r="RZE18" s="255"/>
      <c r="RZF18" s="255"/>
      <c r="RZG18" s="255"/>
      <c r="RZH18" s="255"/>
      <c r="RZI18" s="255"/>
      <c r="RZJ18" s="255"/>
      <c r="RZK18" s="255"/>
      <c r="RZL18" s="255"/>
      <c r="RZM18" s="255"/>
      <c r="RZN18" s="255"/>
      <c r="RZO18" s="255"/>
      <c r="RZP18" s="255"/>
      <c r="RZQ18" s="255"/>
      <c r="RZR18" s="255"/>
      <c r="RZS18" s="255"/>
      <c r="RZT18" s="255"/>
      <c r="RZU18" s="255"/>
      <c r="RZV18" s="255"/>
      <c r="RZW18" s="255"/>
      <c r="RZX18" s="255"/>
      <c r="RZY18" s="255"/>
      <c r="RZZ18" s="255"/>
      <c r="SAA18" s="255"/>
      <c r="SAB18" s="255"/>
      <c r="SAC18" s="255"/>
      <c r="SAD18" s="255"/>
      <c r="SAE18" s="255"/>
      <c r="SAF18" s="255"/>
      <c r="SAG18" s="255"/>
      <c r="SAH18" s="255"/>
      <c r="SAI18" s="255"/>
      <c r="SAJ18" s="255"/>
      <c r="SAK18" s="255"/>
      <c r="SAL18" s="255"/>
      <c r="SAM18" s="255"/>
      <c r="SAN18" s="255"/>
      <c r="SAO18" s="255"/>
      <c r="SAP18" s="255"/>
      <c r="SAQ18" s="255"/>
      <c r="SAR18" s="255"/>
      <c r="SAS18" s="255"/>
      <c r="SAT18" s="255"/>
      <c r="SAU18" s="255"/>
      <c r="SAV18" s="255"/>
      <c r="SAW18" s="255"/>
      <c r="SAX18" s="255"/>
      <c r="SAY18" s="255"/>
      <c r="SAZ18" s="255"/>
      <c r="SBA18" s="255"/>
      <c r="SBB18" s="255"/>
      <c r="SBC18" s="255"/>
      <c r="SBD18" s="255"/>
      <c r="SBE18" s="255"/>
      <c r="SBF18" s="255"/>
      <c r="SBG18" s="255"/>
      <c r="SBH18" s="255"/>
      <c r="SBI18" s="255"/>
      <c r="SBJ18" s="255"/>
      <c r="SBK18" s="255"/>
      <c r="SBL18" s="255"/>
      <c r="SBM18" s="255"/>
      <c r="SBN18" s="255"/>
      <c r="SBO18" s="255"/>
      <c r="SBP18" s="255"/>
      <c r="SBQ18" s="255"/>
      <c r="SBR18" s="255"/>
      <c r="SBS18" s="255"/>
      <c r="SBT18" s="255"/>
      <c r="SBU18" s="255"/>
      <c r="SBV18" s="255"/>
      <c r="SBW18" s="255"/>
      <c r="SBX18" s="255"/>
      <c r="SBY18" s="255"/>
      <c r="SBZ18" s="255"/>
      <c r="SCA18" s="255"/>
      <c r="SCB18" s="255"/>
      <c r="SCC18" s="255"/>
      <c r="SCD18" s="255"/>
      <c r="SCE18" s="255"/>
      <c r="SCF18" s="255"/>
      <c r="SCG18" s="255"/>
      <c r="SCH18" s="255"/>
      <c r="SCI18" s="255"/>
      <c r="SCJ18" s="255"/>
      <c r="SCK18" s="255"/>
      <c r="SCL18" s="255"/>
      <c r="SCM18" s="255"/>
      <c r="SCN18" s="255"/>
      <c r="SCO18" s="255"/>
      <c r="SCP18" s="255"/>
      <c r="SCQ18" s="255"/>
      <c r="SCR18" s="255"/>
      <c r="SCS18" s="255"/>
      <c r="SCT18" s="255"/>
      <c r="SCU18" s="255"/>
      <c r="SCV18" s="255"/>
      <c r="SCW18" s="255"/>
      <c r="SCX18" s="255"/>
      <c r="SCY18" s="255"/>
      <c r="SCZ18" s="255"/>
      <c r="SDA18" s="255"/>
      <c r="SDB18" s="255"/>
      <c r="SDC18" s="255"/>
      <c r="SDD18" s="255"/>
      <c r="SDE18" s="255"/>
      <c r="SDF18" s="255"/>
      <c r="SDG18" s="255"/>
      <c r="SDH18" s="255"/>
      <c r="SDI18" s="255"/>
      <c r="SDJ18" s="255"/>
      <c r="SDK18" s="255"/>
      <c r="SDL18" s="255"/>
      <c r="SDM18" s="255"/>
      <c r="SDN18" s="255"/>
      <c r="SDO18" s="255"/>
      <c r="SDP18" s="255"/>
      <c r="SDQ18" s="255"/>
      <c r="SDR18" s="255"/>
      <c r="SDS18" s="255"/>
      <c r="SDT18" s="255"/>
      <c r="SDU18" s="255"/>
      <c r="SDV18" s="255"/>
      <c r="SDW18" s="255"/>
      <c r="SDX18" s="255"/>
      <c r="SDY18" s="255"/>
      <c r="SDZ18" s="255"/>
      <c r="SEA18" s="255"/>
      <c r="SEB18" s="255"/>
      <c r="SEC18" s="255"/>
      <c r="SED18" s="255"/>
      <c r="SEE18" s="255"/>
      <c r="SEF18" s="255"/>
      <c r="SEG18" s="255"/>
      <c r="SEH18" s="255"/>
      <c r="SEI18" s="255"/>
      <c r="SEJ18" s="255"/>
      <c r="SEK18" s="255"/>
      <c r="SEL18" s="255"/>
      <c r="SEM18" s="255"/>
      <c r="SEN18" s="255"/>
      <c r="SEO18" s="255"/>
      <c r="SEP18" s="255"/>
      <c r="SEQ18" s="255"/>
      <c r="SER18" s="255"/>
      <c r="SES18" s="255"/>
      <c r="SET18" s="255"/>
      <c r="SEU18" s="255"/>
      <c r="SEV18" s="255"/>
      <c r="SEW18" s="255"/>
      <c r="SEX18" s="255"/>
      <c r="SEY18" s="255"/>
      <c r="SEZ18" s="255"/>
      <c r="SFA18" s="255"/>
      <c r="SFB18" s="255"/>
      <c r="SFC18" s="255"/>
      <c r="SFD18" s="255"/>
      <c r="SFE18" s="255"/>
      <c r="SFF18" s="255"/>
      <c r="SFG18" s="255"/>
      <c r="SFH18" s="255"/>
      <c r="SFI18" s="255"/>
      <c r="SFJ18" s="255"/>
      <c r="SFK18" s="255"/>
      <c r="SFL18" s="255"/>
      <c r="SFM18" s="255"/>
      <c r="SFN18" s="255"/>
      <c r="SFO18" s="255"/>
      <c r="SFP18" s="255"/>
      <c r="SFQ18" s="255"/>
      <c r="SFR18" s="255"/>
      <c r="SFS18" s="255"/>
      <c r="SFT18" s="255"/>
      <c r="SFU18" s="255"/>
      <c r="SFV18" s="255"/>
      <c r="SFW18" s="255"/>
      <c r="SFX18" s="255"/>
      <c r="SFY18" s="255"/>
      <c r="SFZ18" s="255"/>
      <c r="SGA18" s="255"/>
      <c r="SGB18" s="255"/>
      <c r="SGC18" s="255"/>
      <c r="SGD18" s="255"/>
      <c r="SGE18" s="255"/>
      <c r="SGF18" s="255"/>
      <c r="SGG18" s="255"/>
      <c r="SGH18" s="255"/>
      <c r="SGI18" s="255"/>
      <c r="SGJ18" s="255"/>
      <c r="SGK18" s="255"/>
      <c r="SGL18" s="255"/>
      <c r="SGM18" s="255"/>
      <c r="SGN18" s="255"/>
      <c r="SGO18" s="255"/>
      <c r="SGP18" s="255"/>
      <c r="SGQ18" s="255"/>
      <c r="SGR18" s="255"/>
      <c r="SGS18" s="255"/>
      <c r="SGT18" s="255"/>
      <c r="SGU18" s="255"/>
      <c r="SGV18" s="255"/>
      <c r="SGW18" s="255"/>
      <c r="SGX18" s="255"/>
      <c r="SGY18" s="255"/>
      <c r="SGZ18" s="255"/>
      <c r="SHA18" s="255"/>
      <c r="SHB18" s="255"/>
      <c r="SHC18" s="255"/>
      <c r="SHD18" s="255"/>
      <c r="SHE18" s="255"/>
      <c r="SHF18" s="255"/>
      <c r="SHG18" s="255"/>
      <c r="SHH18" s="255"/>
      <c r="SHI18" s="255"/>
      <c r="SHJ18" s="255"/>
      <c r="SHK18" s="255"/>
      <c r="SHL18" s="255"/>
      <c r="SHM18" s="255"/>
      <c r="SHN18" s="255"/>
      <c r="SHO18" s="255"/>
      <c r="SHP18" s="255"/>
      <c r="SHQ18" s="255"/>
      <c r="SHR18" s="255"/>
      <c r="SHS18" s="255"/>
      <c r="SHT18" s="255"/>
      <c r="SHU18" s="255"/>
      <c r="SHV18" s="255"/>
      <c r="SHW18" s="255"/>
      <c r="SHX18" s="255"/>
      <c r="SHY18" s="255"/>
      <c r="SHZ18" s="255"/>
      <c r="SIA18" s="255"/>
      <c r="SIB18" s="255"/>
      <c r="SIC18" s="255"/>
      <c r="SID18" s="255"/>
      <c r="SIE18" s="255"/>
      <c r="SIF18" s="255"/>
      <c r="SIG18" s="255"/>
      <c r="SIH18" s="255"/>
      <c r="SII18" s="255"/>
      <c r="SIJ18" s="255"/>
      <c r="SIK18" s="255"/>
      <c r="SIL18" s="255"/>
      <c r="SIM18" s="255"/>
      <c r="SIN18" s="255"/>
      <c r="SIO18" s="255"/>
      <c r="SIP18" s="255"/>
      <c r="SIQ18" s="255"/>
      <c r="SIR18" s="255"/>
      <c r="SIS18" s="255"/>
      <c r="SIT18" s="255"/>
      <c r="SIU18" s="255"/>
      <c r="SIV18" s="255"/>
      <c r="SIW18" s="255"/>
      <c r="SIX18" s="255"/>
      <c r="SIY18" s="255"/>
      <c r="SIZ18" s="255"/>
      <c r="SJA18" s="255"/>
      <c r="SJB18" s="255"/>
      <c r="SJC18" s="255"/>
      <c r="SJD18" s="255"/>
      <c r="SJE18" s="255"/>
      <c r="SJF18" s="255"/>
      <c r="SJG18" s="255"/>
      <c r="SJH18" s="255"/>
      <c r="SJI18" s="255"/>
      <c r="SJJ18" s="255"/>
      <c r="SJK18" s="255"/>
      <c r="SJL18" s="255"/>
      <c r="SJM18" s="255"/>
      <c r="SJN18" s="255"/>
      <c r="SJO18" s="255"/>
      <c r="SJP18" s="255"/>
      <c r="SJQ18" s="255"/>
      <c r="SJR18" s="255"/>
      <c r="SJS18" s="255"/>
      <c r="SJT18" s="255"/>
      <c r="SJU18" s="255"/>
      <c r="SJV18" s="255"/>
      <c r="SJW18" s="255"/>
      <c r="SJX18" s="255"/>
      <c r="SJY18" s="255"/>
      <c r="SJZ18" s="255"/>
      <c r="SKA18" s="255"/>
      <c r="SKB18" s="255"/>
      <c r="SKC18" s="255"/>
      <c r="SKD18" s="255"/>
      <c r="SKE18" s="255"/>
      <c r="SKF18" s="255"/>
      <c r="SKG18" s="255"/>
      <c r="SKH18" s="255"/>
      <c r="SKI18" s="255"/>
      <c r="SKJ18" s="255"/>
      <c r="SKK18" s="255"/>
      <c r="SKL18" s="255"/>
      <c r="SKM18" s="255"/>
      <c r="SKN18" s="255"/>
      <c r="SKO18" s="255"/>
      <c r="SKP18" s="255"/>
      <c r="SKQ18" s="255"/>
      <c r="SKR18" s="255"/>
      <c r="SKS18" s="255"/>
      <c r="SKT18" s="255"/>
      <c r="SKU18" s="255"/>
      <c r="SKV18" s="255"/>
      <c r="SKW18" s="255"/>
      <c r="SKX18" s="255"/>
      <c r="SKY18" s="255"/>
      <c r="SKZ18" s="255"/>
      <c r="SLA18" s="255"/>
      <c r="SLB18" s="255"/>
      <c r="SLC18" s="255"/>
      <c r="SLD18" s="255"/>
      <c r="SLE18" s="255"/>
      <c r="SLF18" s="255"/>
      <c r="SLG18" s="255"/>
      <c r="SLH18" s="255"/>
      <c r="SLI18" s="255"/>
      <c r="SLJ18" s="255"/>
      <c r="SLK18" s="255"/>
      <c r="SLL18" s="255"/>
      <c r="SLM18" s="255"/>
      <c r="SLN18" s="255"/>
      <c r="SLO18" s="255"/>
      <c r="SLP18" s="255"/>
      <c r="SLQ18" s="255"/>
      <c r="SLR18" s="255"/>
      <c r="SLS18" s="255"/>
      <c r="SLT18" s="255"/>
      <c r="SLU18" s="255"/>
      <c r="SLV18" s="255"/>
      <c r="SLW18" s="255"/>
      <c r="SLX18" s="255"/>
      <c r="SLY18" s="255"/>
      <c r="SLZ18" s="255"/>
      <c r="SMA18" s="255"/>
      <c r="SMB18" s="255"/>
      <c r="SMC18" s="255"/>
      <c r="SMD18" s="255"/>
      <c r="SME18" s="255"/>
      <c r="SMF18" s="255"/>
      <c r="SMG18" s="255"/>
      <c r="SMH18" s="255"/>
      <c r="SMI18" s="255"/>
      <c r="SMJ18" s="255"/>
      <c r="SMK18" s="255"/>
      <c r="SML18" s="255"/>
      <c r="SMM18" s="255"/>
      <c r="SMN18" s="255"/>
      <c r="SMO18" s="255"/>
      <c r="SMP18" s="255"/>
      <c r="SMQ18" s="255"/>
      <c r="SMR18" s="255"/>
      <c r="SMS18" s="255"/>
      <c r="SMT18" s="255"/>
      <c r="SMU18" s="255"/>
      <c r="SMV18" s="255"/>
      <c r="SMW18" s="255"/>
      <c r="SMX18" s="255"/>
      <c r="SMY18" s="255"/>
      <c r="SMZ18" s="255"/>
      <c r="SNA18" s="255"/>
      <c r="SNB18" s="255"/>
      <c r="SNC18" s="255"/>
      <c r="SND18" s="255"/>
      <c r="SNE18" s="255"/>
      <c r="SNF18" s="255"/>
      <c r="SNG18" s="255"/>
      <c r="SNH18" s="255"/>
      <c r="SNI18" s="255"/>
      <c r="SNJ18" s="255"/>
      <c r="SNK18" s="255"/>
      <c r="SNL18" s="255"/>
      <c r="SNM18" s="255"/>
      <c r="SNN18" s="255"/>
      <c r="SNO18" s="255"/>
      <c r="SNP18" s="255"/>
      <c r="SNQ18" s="255"/>
      <c r="SNR18" s="255"/>
      <c r="SNS18" s="255"/>
      <c r="SNT18" s="255"/>
      <c r="SNU18" s="255"/>
      <c r="SNV18" s="255"/>
      <c r="SNW18" s="255"/>
      <c r="SNX18" s="255"/>
      <c r="SNY18" s="255"/>
      <c r="SNZ18" s="255"/>
      <c r="SOA18" s="255"/>
      <c r="SOB18" s="255"/>
      <c r="SOC18" s="255"/>
      <c r="SOD18" s="255"/>
      <c r="SOE18" s="255"/>
      <c r="SOF18" s="255"/>
      <c r="SOG18" s="255"/>
      <c r="SOH18" s="255"/>
      <c r="SOI18" s="255"/>
      <c r="SOJ18" s="255"/>
      <c r="SOK18" s="255"/>
      <c r="SOL18" s="255"/>
      <c r="SOM18" s="255"/>
      <c r="SON18" s="255"/>
      <c r="SOO18" s="255"/>
      <c r="SOP18" s="255"/>
      <c r="SOQ18" s="255"/>
      <c r="SOR18" s="255"/>
      <c r="SOS18" s="255"/>
      <c r="SOT18" s="255"/>
      <c r="SOU18" s="255"/>
      <c r="SOV18" s="255"/>
      <c r="SOW18" s="255"/>
      <c r="SOX18" s="255"/>
      <c r="SOY18" s="255"/>
      <c r="SOZ18" s="255"/>
      <c r="SPA18" s="255"/>
      <c r="SPB18" s="255"/>
      <c r="SPC18" s="255"/>
      <c r="SPD18" s="255"/>
      <c r="SPE18" s="255"/>
      <c r="SPF18" s="255"/>
      <c r="SPG18" s="255"/>
      <c r="SPH18" s="255"/>
      <c r="SPI18" s="255"/>
      <c r="SPJ18" s="255"/>
      <c r="SPK18" s="255"/>
      <c r="SPL18" s="255"/>
      <c r="SPM18" s="255"/>
      <c r="SPN18" s="255"/>
      <c r="SPO18" s="255"/>
      <c r="SPP18" s="255"/>
      <c r="SPQ18" s="255"/>
      <c r="SPR18" s="255"/>
      <c r="SPS18" s="255"/>
      <c r="SPT18" s="255"/>
      <c r="SPU18" s="255"/>
      <c r="SPV18" s="255"/>
      <c r="SPW18" s="255"/>
      <c r="SPX18" s="255"/>
      <c r="SPY18" s="255"/>
      <c r="SPZ18" s="255"/>
      <c r="SQA18" s="255"/>
      <c r="SQB18" s="255"/>
      <c r="SQC18" s="255"/>
      <c r="SQD18" s="255"/>
      <c r="SQE18" s="255"/>
      <c r="SQF18" s="255"/>
      <c r="SQG18" s="255"/>
      <c r="SQH18" s="255"/>
      <c r="SQI18" s="255"/>
      <c r="SQJ18" s="255"/>
      <c r="SQK18" s="255"/>
      <c r="SQL18" s="255"/>
      <c r="SQM18" s="255"/>
      <c r="SQN18" s="255"/>
      <c r="SQO18" s="255"/>
      <c r="SQP18" s="255"/>
      <c r="SQQ18" s="255"/>
      <c r="SQR18" s="255"/>
      <c r="SQS18" s="255"/>
      <c r="SQT18" s="255"/>
      <c r="SQU18" s="255"/>
      <c r="SQV18" s="255"/>
      <c r="SQW18" s="255"/>
      <c r="SQX18" s="255"/>
      <c r="SQY18" s="255"/>
      <c r="SQZ18" s="255"/>
      <c r="SRA18" s="255"/>
      <c r="SRB18" s="255"/>
      <c r="SRC18" s="255"/>
      <c r="SRD18" s="255"/>
      <c r="SRE18" s="255"/>
      <c r="SRF18" s="255"/>
      <c r="SRG18" s="255"/>
      <c r="SRH18" s="255"/>
      <c r="SRI18" s="255"/>
      <c r="SRJ18" s="255"/>
      <c r="SRK18" s="255"/>
      <c r="SRL18" s="255"/>
      <c r="SRM18" s="255"/>
      <c r="SRN18" s="255"/>
      <c r="SRO18" s="255"/>
      <c r="SRP18" s="255"/>
      <c r="SRQ18" s="255"/>
      <c r="SRR18" s="255"/>
      <c r="SRS18" s="255"/>
      <c r="SRT18" s="255"/>
      <c r="SRU18" s="255"/>
      <c r="SRV18" s="255"/>
      <c r="SRW18" s="255"/>
      <c r="SRX18" s="255"/>
      <c r="SRY18" s="255"/>
      <c r="SRZ18" s="255"/>
      <c r="SSA18" s="255"/>
      <c r="SSB18" s="255"/>
      <c r="SSC18" s="255"/>
      <c r="SSD18" s="255"/>
      <c r="SSE18" s="255"/>
      <c r="SSF18" s="255"/>
      <c r="SSG18" s="255"/>
      <c r="SSH18" s="255"/>
      <c r="SSI18" s="255"/>
      <c r="SSJ18" s="255"/>
      <c r="SSK18" s="255"/>
      <c r="SSL18" s="255"/>
      <c r="SSM18" s="255"/>
      <c r="SSN18" s="255"/>
      <c r="SSO18" s="255"/>
      <c r="SSP18" s="255"/>
      <c r="SSQ18" s="255"/>
      <c r="SSR18" s="255"/>
      <c r="SSS18" s="255"/>
      <c r="SST18" s="255"/>
      <c r="SSU18" s="255"/>
      <c r="SSV18" s="255"/>
      <c r="SSW18" s="255"/>
      <c r="SSX18" s="255"/>
      <c r="SSY18" s="255"/>
      <c r="SSZ18" s="255"/>
      <c r="STA18" s="255"/>
      <c r="STB18" s="255"/>
      <c r="STC18" s="255"/>
      <c r="STD18" s="255"/>
      <c r="STE18" s="255"/>
      <c r="STF18" s="255"/>
      <c r="STG18" s="255"/>
      <c r="STH18" s="255"/>
      <c r="STI18" s="255"/>
      <c r="STJ18" s="255"/>
      <c r="STK18" s="255"/>
      <c r="STL18" s="255"/>
      <c r="STM18" s="255"/>
      <c r="STN18" s="255"/>
      <c r="STO18" s="255"/>
      <c r="STP18" s="255"/>
      <c r="STQ18" s="255"/>
      <c r="STR18" s="255"/>
      <c r="STS18" s="255"/>
      <c r="STT18" s="255"/>
      <c r="STU18" s="255"/>
      <c r="STV18" s="255"/>
      <c r="STW18" s="255"/>
      <c r="STX18" s="255"/>
      <c r="STY18" s="255"/>
      <c r="STZ18" s="255"/>
      <c r="SUA18" s="255"/>
      <c r="SUB18" s="255"/>
      <c r="SUC18" s="255"/>
      <c r="SUD18" s="255"/>
      <c r="SUE18" s="255"/>
      <c r="SUF18" s="255"/>
      <c r="SUG18" s="255"/>
      <c r="SUH18" s="255"/>
      <c r="SUI18" s="255"/>
      <c r="SUJ18" s="255"/>
      <c r="SUK18" s="255"/>
      <c r="SUL18" s="255"/>
      <c r="SUM18" s="255"/>
      <c r="SUN18" s="255"/>
      <c r="SUO18" s="255"/>
      <c r="SUP18" s="255"/>
      <c r="SUQ18" s="255"/>
      <c r="SUR18" s="255"/>
      <c r="SUS18" s="255"/>
      <c r="SUT18" s="255"/>
      <c r="SUU18" s="255"/>
      <c r="SUV18" s="255"/>
      <c r="SUW18" s="255"/>
      <c r="SUX18" s="255"/>
      <c r="SUY18" s="255"/>
      <c r="SUZ18" s="255"/>
      <c r="SVA18" s="255"/>
      <c r="SVB18" s="255"/>
      <c r="SVC18" s="255"/>
      <c r="SVD18" s="255"/>
      <c r="SVE18" s="255"/>
      <c r="SVF18" s="255"/>
      <c r="SVG18" s="255"/>
      <c r="SVH18" s="255"/>
      <c r="SVI18" s="255"/>
      <c r="SVJ18" s="255"/>
      <c r="SVK18" s="255"/>
      <c r="SVL18" s="255"/>
      <c r="SVM18" s="255"/>
      <c r="SVN18" s="255"/>
      <c r="SVO18" s="255"/>
      <c r="SVP18" s="255"/>
      <c r="SVQ18" s="255"/>
      <c r="SVR18" s="255"/>
      <c r="SVS18" s="255"/>
      <c r="SVT18" s="255"/>
      <c r="SVU18" s="255"/>
      <c r="SVV18" s="255"/>
      <c r="SVW18" s="255"/>
      <c r="SVX18" s="255"/>
      <c r="SVY18" s="255"/>
      <c r="SVZ18" s="255"/>
      <c r="SWA18" s="255"/>
      <c r="SWB18" s="255"/>
      <c r="SWC18" s="255"/>
      <c r="SWD18" s="255"/>
      <c r="SWE18" s="255"/>
      <c r="SWF18" s="255"/>
      <c r="SWG18" s="255"/>
      <c r="SWH18" s="255"/>
      <c r="SWI18" s="255"/>
      <c r="SWJ18" s="255"/>
      <c r="SWK18" s="255"/>
      <c r="SWL18" s="255"/>
      <c r="SWM18" s="255"/>
      <c r="SWN18" s="255"/>
      <c r="SWO18" s="255"/>
      <c r="SWP18" s="255"/>
      <c r="SWQ18" s="255"/>
      <c r="SWR18" s="255"/>
      <c r="SWS18" s="255"/>
      <c r="SWT18" s="255"/>
      <c r="SWU18" s="255"/>
      <c r="SWV18" s="255"/>
      <c r="SWW18" s="255"/>
      <c r="SWX18" s="255"/>
      <c r="SWY18" s="255"/>
      <c r="SWZ18" s="255"/>
      <c r="SXA18" s="255"/>
      <c r="SXB18" s="255"/>
      <c r="SXC18" s="255"/>
      <c r="SXD18" s="255"/>
      <c r="SXE18" s="255"/>
      <c r="SXF18" s="255"/>
      <c r="SXG18" s="255"/>
      <c r="SXH18" s="255"/>
      <c r="SXI18" s="255"/>
      <c r="SXJ18" s="255"/>
      <c r="SXK18" s="255"/>
      <c r="SXL18" s="255"/>
      <c r="SXM18" s="255"/>
      <c r="SXN18" s="255"/>
      <c r="SXO18" s="255"/>
      <c r="SXP18" s="255"/>
      <c r="SXQ18" s="255"/>
      <c r="SXR18" s="255"/>
      <c r="SXS18" s="255"/>
      <c r="SXT18" s="255"/>
      <c r="SXU18" s="255"/>
      <c r="SXV18" s="255"/>
      <c r="SXW18" s="255"/>
      <c r="SXX18" s="255"/>
      <c r="SXY18" s="255"/>
      <c r="SXZ18" s="255"/>
      <c r="SYA18" s="255"/>
      <c r="SYB18" s="255"/>
      <c r="SYC18" s="255"/>
      <c r="SYD18" s="255"/>
      <c r="SYE18" s="255"/>
      <c r="SYF18" s="255"/>
      <c r="SYG18" s="255"/>
      <c r="SYH18" s="255"/>
      <c r="SYI18" s="255"/>
      <c r="SYJ18" s="255"/>
      <c r="SYK18" s="255"/>
      <c r="SYL18" s="255"/>
      <c r="SYM18" s="255"/>
      <c r="SYN18" s="255"/>
      <c r="SYO18" s="255"/>
      <c r="SYP18" s="255"/>
      <c r="SYQ18" s="255"/>
      <c r="SYR18" s="255"/>
      <c r="SYS18" s="255"/>
      <c r="SYT18" s="255"/>
      <c r="SYU18" s="255"/>
      <c r="SYV18" s="255"/>
      <c r="SYW18" s="255"/>
      <c r="SYX18" s="255"/>
      <c r="SYY18" s="255"/>
      <c r="SYZ18" s="255"/>
      <c r="SZA18" s="255"/>
      <c r="SZB18" s="255"/>
      <c r="SZC18" s="255"/>
      <c r="SZD18" s="255"/>
      <c r="SZE18" s="255"/>
      <c r="SZF18" s="255"/>
      <c r="SZG18" s="255"/>
      <c r="SZH18" s="255"/>
      <c r="SZI18" s="255"/>
      <c r="SZJ18" s="255"/>
      <c r="SZK18" s="255"/>
      <c r="SZL18" s="255"/>
      <c r="SZM18" s="255"/>
      <c r="SZN18" s="255"/>
      <c r="SZO18" s="255"/>
      <c r="SZP18" s="255"/>
      <c r="SZQ18" s="255"/>
      <c r="SZR18" s="255"/>
      <c r="SZS18" s="255"/>
      <c r="SZT18" s="255"/>
      <c r="SZU18" s="255"/>
      <c r="SZV18" s="255"/>
      <c r="SZW18" s="255"/>
      <c r="SZX18" s="255"/>
      <c r="SZY18" s="255"/>
      <c r="SZZ18" s="255"/>
      <c r="TAA18" s="255"/>
      <c r="TAB18" s="255"/>
      <c r="TAC18" s="255"/>
      <c r="TAD18" s="255"/>
      <c r="TAE18" s="255"/>
      <c r="TAF18" s="255"/>
      <c r="TAG18" s="255"/>
      <c r="TAH18" s="255"/>
      <c r="TAI18" s="255"/>
      <c r="TAJ18" s="255"/>
      <c r="TAK18" s="255"/>
      <c r="TAL18" s="255"/>
      <c r="TAM18" s="255"/>
      <c r="TAN18" s="255"/>
      <c r="TAO18" s="255"/>
      <c r="TAP18" s="255"/>
      <c r="TAQ18" s="255"/>
      <c r="TAR18" s="255"/>
      <c r="TAS18" s="255"/>
      <c r="TAT18" s="255"/>
      <c r="TAU18" s="255"/>
      <c r="TAV18" s="255"/>
      <c r="TAW18" s="255"/>
      <c r="TAX18" s="255"/>
      <c r="TAY18" s="255"/>
      <c r="TAZ18" s="255"/>
      <c r="TBA18" s="255"/>
      <c r="TBB18" s="255"/>
      <c r="TBC18" s="255"/>
      <c r="TBD18" s="255"/>
      <c r="TBE18" s="255"/>
      <c r="TBF18" s="255"/>
      <c r="TBG18" s="255"/>
      <c r="TBH18" s="255"/>
      <c r="TBI18" s="255"/>
      <c r="TBJ18" s="255"/>
      <c r="TBK18" s="255"/>
      <c r="TBL18" s="255"/>
      <c r="TBM18" s="255"/>
      <c r="TBN18" s="255"/>
      <c r="TBO18" s="255"/>
      <c r="TBP18" s="255"/>
      <c r="TBQ18" s="255"/>
      <c r="TBR18" s="255"/>
      <c r="TBS18" s="255"/>
      <c r="TBT18" s="255"/>
      <c r="TBU18" s="255"/>
      <c r="TBV18" s="255"/>
      <c r="TBW18" s="255"/>
      <c r="TBX18" s="255"/>
      <c r="TBY18" s="255"/>
      <c r="TBZ18" s="255"/>
      <c r="TCA18" s="255"/>
      <c r="TCB18" s="255"/>
      <c r="TCC18" s="255"/>
      <c r="TCD18" s="255"/>
      <c r="TCE18" s="255"/>
      <c r="TCF18" s="255"/>
      <c r="TCG18" s="255"/>
      <c r="TCH18" s="255"/>
      <c r="TCI18" s="255"/>
      <c r="TCJ18" s="255"/>
      <c r="TCK18" s="255"/>
      <c r="TCL18" s="255"/>
      <c r="TCM18" s="255"/>
      <c r="TCN18" s="255"/>
      <c r="TCO18" s="255"/>
      <c r="TCP18" s="255"/>
      <c r="TCQ18" s="255"/>
      <c r="TCR18" s="255"/>
      <c r="TCS18" s="255"/>
      <c r="TCT18" s="255"/>
      <c r="TCU18" s="255"/>
      <c r="TCV18" s="255"/>
      <c r="TCW18" s="255"/>
      <c r="TCX18" s="255"/>
      <c r="TCY18" s="255"/>
      <c r="TCZ18" s="255"/>
      <c r="TDA18" s="255"/>
      <c r="TDB18" s="255"/>
      <c r="TDC18" s="255"/>
      <c r="TDD18" s="255"/>
      <c r="TDE18" s="255"/>
      <c r="TDF18" s="255"/>
      <c r="TDG18" s="255"/>
      <c r="TDH18" s="255"/>
      <c r="TDI18" s="255"/>
      <c r="TDJ18" s="255"/>
      <c r="TDK18" s="255"/>
      <c r="TDL18" s="255"/>
      <c r="TDM18" s="255"/>
      <c r="TDN18" s="255"/>
      <c r="TDO18" s="255"/>
      <c r="TDP18" s="255"/>
      <c r="TDQ18" s="255"/>
      <c r="TDR18" s="255"/>
      <c r="TDS18" s="255"/>
      <c r="TDT18" s="255"/>
      <c r="TDU18" s="255"/>
      <c r="TDV18" s="255"/>
      <c r="TDW18" s="255"/>
      <c r="TDX18" s="255"/>
      <c r="TDY18" s="255"/>
      <c r="TDZ18" s="255"/>
      <c r="TEA18" s="255"/>
      <c r="TEB18" s="255"/>
      <c r="TEC18" s="255"/>
      <c r="TED18" s="255"/>
      <c r="TEE18" s="255"/>
      <c r="TEF18" s="255"/>
      <c r="TEG18" s="255"/>
      <c r="TEH18" s="255"/>
      <c r="TEI18" s="255"/>
      <c r="TEJ18" s="255"/>
      <c r="TEK18" s="255"/>
      <c r="TEL18" s="255"/>
      <c r="TEM18" s="255"/>
      <c r="TEN18" s="255"/>
      <c r="TEO18" s="255"/>
      <c r="TEP18" s="255"/>
      <c r="TEQ18" s="255"/>
      <c r="TER18" s="255"/>
      <c r="TES18" s="255"/>
      <c r="TET18" s="255"/>
      <c r="TEU18" s="255"/>
      <c r="TEV18" s="255"/>
      <c r="TEW18" s="255"/>
      <c r="TEX18" s="255"/>
      <c r="TEY18" s="255"/>
      <c r="TEZ18" s="255"/>
      <c r="TFA18" s="255"/>
      <c r="TFB18" s="255"/>
      <c r="TFC18" s="255"/>
      <c r="TFD18" s="255"/>
      <c r="TFE18" s="255"/>
      <c r="TFF18" s="255"/>
      <c r="TFG18" s="255"/>
      <c r="TFH18" s="255"/>
      <c r="TFI18" s="255"/>
      <c r="TFJ18" s="255"/>
      <c r="TFK18" s="255"/>
      <c r="TFL18" s="255"/>
      <c r="TFM18" s="255"/>
      <c r="TFN18" s="255"/>
      <c r="TFO18" s="255"/>
      <c r="TFP18" s="255"/>
      <c r="TFQ18" s="255"/>
      <c r="TFR18" s="255"/>
      <c r="TFS18" s="255"/>
      <c r="TFT18" s="255"/>
      <c r="TFU18" s="255"/>
      <c r="TFV18" s="255"/>
      <c r="TFW18" s="255"/>
      <c r="TFX18" s="255"/>
      <c r="TFY18" s="255"/>
      <c r="TFZ18" s="255"/>
      <c r="TGA18" s="255"/>
      <c r="TGB18" s="255"/>
      <c r="TGC18" s="255"/>
      <c r="TGD18" s="255"/>
      <c r="TGE18" s="255"/>
      <c r="TGF18" s="255"/>
      <c r="TGG18" s="255"/>
      <c r="TGH18" s="255"/>
      <c r="TGI18" s="255"/>
      <c r="TGJ18" s="255"/>
      <c r="TGK18" s="255"/>
      <c r="TGL18" s="255"/>
      <c r="TGM18" s="255"/>
      <c r="TGN18" s="255"/>
      <c r="TGO18" s="255"/>
      <c r="TGP18" s="255"/>
      <c r="TGQ18" s="255"/>
      <c r="TGR18" s="255"/>
      <c r="TGS18" s="255"/>
      <c r="TGT18" s="255"/>
      <c r="TGU18" s="255"/>
      <c r="TGV18" s="255"/>
      <c r="TGW18" s="255"/>
      <c r="TGX18" s="255"/>
      <c r="TGY18" s="255"/>
      <c r="TGZ18" s="255"/>
      <c r="THA18" s="255"/>
      <c r="THB18" s="255"/>
      <c r="THC18" s="255"/>
      <c r="THD18" s="255"/>
      <c r="THE18" s="255"/>
      <c r="THF18" s="255"/>
      <c r="THG18" s="255"/>
      <c r="THH18" s="255"/>
      <c r="THI18" s="255"/>
      <c r="THJ18" s="255"/>
      <c r="THK18" s="255"/>
      <c r="THL18" s="255"/>
      <c r="THM18" s="255"/>
      <c r="THN18" s="255"/>
      <c r="THO18" s="255"/>
      <c r="THP18" s="255"/>
      <c r="THQ18" s="255"/>
      <c r="THR18" s="255"/>
      <c r="THS18" s="255"/>
      <c r="THT18" s="255"/>
      <c r="THU18" s="255"/>
      <c r="THV18" s="255"/>
      <c r="THW18" s="255"/>
      <c r="THX18" s="255"/>
      <c r="THY18" s="255"/>
      <c r="THZ18" s="255"/>
      <c r="TIA18" s="255"/>
      <c r="TIB18" s="255"/>
      <c r="TIC18" s="255"/>
      <c r="TID18" s="255"/>
      <c r="TIE18" s="255"/>
      <c r="TIF18" s="255"/>
      <c r="TIG18" s="255"/>
      <c r="TIH18" s="255"/>
      <c r="TII18" s="255"/>
      <c r="TIJ18" s="255"/>
      <c r="TIK18" s="255"/>
      <c r="TIL18" s="255"/>
      <c r="TIM18" s="255"/>
      <c r="TIN18" s="255"/>
      <c r="TIO18" s="255"/>
      <c r="TIP18" s="255"/>
      <c r="TIQ18" s="255"/>
      <c r="TIR18" s="255"/>
      <c r="TIS18" s="255"/>
      <c r="TIT18" s="255"/>
      <c r="TIU18" s="255"/>
      <c r="TIV18" s="255"/>
      <c r="TIW18" s="255"/>
      <c r="TIX18" s="255"/>
      <c r="TIY18" s="255"/>
      <c r="TIZ18" s="255"/>
      <c r="TJA18" s="255"/>
      <c r="TJB18" s="255"/>
      <c r="TJC18" s="255"/>
      <c r="TJD18" s="255"/>
      <c r="TJE18" s="255"/>
      <c r="TJF18" s="255"/>
      <c r="TJG18" s="255"/>
      <c r="TJH18" s="255"/>
      <c r="TJI18" s="255"/>
      <c r="TJJ18" s="255"/>
      <c r="TJK18" s="255"/>
      <c r="TJL18" s="255"/>
      <c r="TJM18" s="255"/>
      <c r="TJN18" s="255"/>
      <c r="TJO18" s="255"/>
      <c r="TJP18" s="255"/>
      <c r="TJQ18" s="255"/>
      <c r="TJR18" s="255"/>
      <c r="TJS18" s="255"/>
      <c r="TJT18" s="255"/>
      <c r="TJU18" s="255"/>
      <c r="TJV18" s="255"/>
      <c r="TJW18" s="255"/>
      <c r="TJX18" s="255"/>
      <c r="TJY18" s="255"/>
      <c r="TJZ18" s="255"/>
      <c r="TKA18" s="255"/>
      <c r="TKB18" s="255"/>
      <c r="TKC18" s="255"/>
      <c r="TKD18" s="255"/>
      <c r="TKE18" s="255"/>
      <c r="TKF18" s="255"/>
      <c r="TKG18" s="255"/>
      <c r="TKH18" s="255"/>
      <c r="TKI18" s="255"/>
      <c r="TKJ18" s="255"/>
      <c r="TKK18" s="255"/>
      <c r="TKL18" s="255"/>
      <c r="TKM18" s="255"/>
      <c r="TKN18" s="255"/>
      <c r="TKO18" s="255"/>
      <c r="TKP18" s="255"/>
      <c r="TKQ18" s="255"/>
      <c r="TKR18" s="255"/>
      <c r="TKS18" s="255"/>
      <c r="TKT18" s="255"/>
      <c r="TKU18" s="255"/>
      <c r="TKV18" s="255"/>
      <c r="TKW18" s="255"/>
      <c r="TKX18" s="255"/>
      <c r="TKY18" s="255"/>
      <c r="TKZ18" s="255"/>
      <c r="TLA18" s="255"/>
      <c r="TLB18" s="255"/>
      <c r="TLC18" s="255"/>
      <c r="TLD18" s="255"/>
      <c r="TLE18" s="255"/>
      <c r="TLF18" s="255"/>
      <c r="TLG18" s="255"/>
      <c r="TLH18" s="255"/>
      <c r="TLI18" s="255"/>
      <c r="TLJ18" s="255"/>
      <c r="TLK18" s="255"/>
      <c r="TLL18" s="255"/>
      <c r="TLM18" s="255"/>
      <c r="TLN18" s="255"/>
      <c r="TLO18" s="255"/>
      <c r="TLP18" s="255"/>
      <c r="TLQ18" s="255"/>
      <c r="TLR18" s="255"/>
      <c r="TLS18" s="255"/>
      <c r="TLT18" s="255"/>
      <c r="TLU18" s="255"/>
      <c r="TLV18" s="255"/>
      <c r="TLW18" s="255"/>
      <c r="TLX18" s="255"/>
      <c r="TLY18" s="255"/>
      <c r="TLZ18" s="255"/>
      <c r="TMA18" s="255"/>
      <c r="TMB18" s="255"/>
      <c r="TMC18" s="255"/>
      <c r="TMD18" s="255"/>
      <c r="TME18" s="255"/>
      <c r="TMF18" s="255"/>
      <c r="TMG18" s="255"/>
      <c r="TMH18" s="255"/>
      <c r="TMI18" s="255"/>
      <c r="TMJ18" s="255"/>
      <c r="TMK18" s="255"/>
      <c r="TML18" s="255"/>
      <c r="TMM18" s="255"/>
      <c r="TMN18" s="255"/>
      <c r="TMO18" s="255"/>
      <c r="TMP18" s="255"/>
      <c r="TMQ18" s="255"/>
      <c r="TMR18" s="255"/>
      <c r="TMS18" s="255"/>
      <c r="TMT18" s="255"/>
      <c r="TMU18" s="255"/>
      <c r="TMV18" s="255"/>
      <c r="TMW18" s="255"/>
      <c r="TMX18" s="255"/>
      <c r="TMY18" s="255"/>
      <c r="TMZ18" s="255"/>
      <c r="TNA18" s="255"/>
      <c r="TNB18" s="255"/>
      <c r="TNC18" s="255"/>
      <c r="TND18" s="255"/>
      <c r="TNE18" s="255"/>
      <c r="TNF18" s="255"/>
      <c r="TNG18" s="255"/>
      <c r="TNH18" s="255"/>
      <c r="TNI18" s="255"/>
      <c r="TNJ18" s="255"/>
      <c r="TNK18" s="255"/>
      <c r="TNL18" s="255"/>
      <c r="TNM18" s="255"/>
      <c r="TNN18" s="255"/>
      <c r="TNO18" s="255"/>
      <c r="TNP18" s="255"/>
      <c r="TNQ18" s="255"/>
      <c r="TNR18" s="255"/>
      <c r="TNS18" s="255"/>
      <c r="TNT18" s="255"/>
      <c r="TNU18" s="255"/>
      <c r="TNV18" s="255"/>
      <c r="TNW18" s="255"/>
      <c r="TNX18" s="255"/>
      <c r="TNY18" s="255"/>
      <c r="TNZ18" s="255"/>
      <c r="TOA18" s="255"/>
      <c r="TOB18" s="255"/>
      <c r="TOC18" s="255"/>
      <c r="TOD18" s="255"/>
      <c r="TOE18" s="255"/>
      <c r="TOF18" s="255"/>
      <c r="TOG18" s="255"/>
      <c r="TOH18" s="255"/>
      <c r="TOI18" s="255"/>
      <c r="TOJ18" s="255"/>
      <c r="TOK18" s="255"/>
      <c r="TOL18" s="255"/>
      <c r="TOM18" s="255"/>
      <c r="TON18" s="255"/>
      <c r="TOO18" s="255"/>
      <c r="TOP18" s="255"/>
      <c r="TOQ18" s="255"/>
      <c r="TOR18" s="255"/>
      <c r="TOS18" s="255"/>
      <c r="TOT18" s="255"/>
      <c r="TOU18" s="255"/>
      <c r="TOV18" s="255"/>
      <c r="TOW18" s="255"/>
      <c r="TOX18" s="255"/>
      <c r="TOY18" s="255"/>
      <c r="TOZ18" s="255"/>
      <c r="TPA18" s="255"/>
      <c r="TPB18" s="255"/>
      <c r="TPC18" s="255"/>
      <c r="TPD18" s="255"/>
      <c r="TPE18" s="255"/>
      <c r="TPF18" s="255"/>
      <c r="TPG18" s="255"/>
      <c r="TPH18" s="255"/>
      <c r="TPI18" s="255"/>
      <c r="TPJ18" s="255"/>
      <c r="TPK18" s="255"/>
      <c r="TPL18" s="255"/>
      <c r="TPM18" s="255"/>
      <c r="TPN18" s="255"/>
      <c r="TPO18" s="255"/>
      <c r="TPP18" s="255"/>
      <c r="TPQ18" s="255"/>
      <c r="TPR18" s="255"/>
      <c r="TPS18" s="255"/>
      <c r="TPT18" s="255"/>
      <c r="TPU18" s="255"/>
      <c r="TPV18" s="255"/>
      <c r="TPW18" s="255"/>
      <c r="TPX18" s="255"/>
      <c r="TPY18" s="255"/>
      <c r="TPZ18" s="255"/>
      <c r="TQA18" s="255"/>
      <c r="TQB18" s="255"/>
      <c r="TQC18" s="255"/>
      <c r="TQD18" s="255"/>
      <c r="TQE18" s="255"/>
      <c r="TQF18" s="255"/>
      <c r="TQG18" s="255"/>
      <c r="TQH18" s="255"/>
      <c r="TQI18" s="255"/>
      <c r="TQJ18" s="255"/>
      <c r="TQK18" s="255"/>
      <c r="TQL18" s="255"/>
      <c r="TQM18" s="255"/>
      <c r="TQN18" s="255"/>
      <c r="TQO18" s="255"/>
      <c r="TQP18" s="255"/>
      <c r="TQQ18" s="255"/>
      <c r="TQR18" s="255"/>
      <c r="TQS18" s="255"/>
      <c r="TQT18" s="255"/>
      <c r="TQU18" s="255"/>
      <c r="TQV18" s="255"/>
      <c r="TQW18" s="255"/>
      <c r="TQX18" s="255"/>
      <c r="TQY18" s="255"/>
      <c r="TQZ18" s="255"/>
      <c r="TRA18" s="255"/>
      <c r="TRB18" s="255"/>
      <c r="TRC18" s="255"/>
      <c r="TRD18" s="255"/>
      <c r="TRE18" s="255"/>
      <c r="TRF18" s="255"/>
      <c r="TRG18" s="255"/>
      <c r="TRH18" s="255"/>
      <c r="TRI18" s="255"/>
      <c r="TRJ18" s="255"/>
      <c r="TRK18" s="255"/>
      <c r="TRL18" s="255"/>
      <c r="TRM18" s="255"/>
      <c r="TRN18" s="255"/>
      <c r="TRO18" s="255"/>
      <c r="TRP18" s="255"/>
      <c r="TRQ18" s="255"/>
      <c r="TRR18" s="255"/>
      <c r="TRS18" s="255"/>
      <c r="TRT18" s="255"/>
      <c r="TRU18" s="255"/>
      <c r="TRV18" s="255"/>
      <c r="TRW18" s="255"/>
      <c r="TRX18" s="255"/>
      <c r="TRY18" s="255"/>
      <c r="TRZ18" s="255"/>
      <c r="TSA18" s="255"/>
      <c r="TSB18" s="255"/>
      <c r="TSC18" s="255"/>
      <c r="TSD18" s="255"/>
      <c r="TSE18" s="255"/>
      <c r="TSF18" s="255"/>
      <c r="TSG18" s="255"/>
      <c r="TSH18" s="255"/>
      <c r="TSI18" s="255"/>
      <c r="TSJ18" s="255"/>
      <c r="TSK18" s="255"/>
      <c r="TSL18" s="255"/>
      <c r="TSM18" s="255"/>
      <c r="TSN18" s="255"/>
      <c r="TSO18" s="255"/>
      <c r="TSP18" s="255"/>
      <c r="TSQ18" s="255"/>
      <c r="TSR18" s="255"/>
      <c r="TSS18" s="255"/>
      <c r="TST18" s="255"/>
      <c r="TSU18" s="255"/>
      <c r="TSV18" s="255"/>
      <c r="TSW18" s="255"/>
      <c r="TSX18" s="255"/>
      <c r="TSY18" s="255"/>
      <c r="TSZ18" s="255"/>
      <c r="TTA18" s="255"/>
      <c r="TTB18" s="255"/>
      <c r="TTC18" s="255"/>
      <c r="TTD18" s="255"/>
      <c r="TTE18" s="255"/>
      <c r="TTF18" s="255"/>
      <c r="TTG18" s="255"/>
      <c r="TTH18" s="255"/>
      <c r="TTI18" s="255"/>
      <c r="TTJ18" s="255"/>
      <c r="TTK18" s="255"/>
      <c r="TTL18" s="255"/>
      <c r="TTM18" s="255"/>
      <c r="TTN18" s="255"/>
      <c r="TTO18" s="255"/>
      <c r="TTP18" s="255"/>
      <c r="TTQ18" s="255"/>
      <c r="TTR18" s="255"/>
      <c r="TTS18" s="255"/>
      <c r="TTT18" s="255"/>
      <c r="TTU18" s="255"/>
      <c r="TTV18" s="255"/>
      <c r="TTW18" s="255"/>
      <c r="TTX18" s="255"/>
      <c r="TTY18" s="255"/>
      <c r="TTZ18" s="255"/>
      <c r="TUA18" s="255"/>
      <c r="TUB18" s="255"/>
      <c r="TUC18" s="255"/>
      <c r="TUD18" s="255"/>
      <c r="TUE18" s="255"/>
      <c r="TUF18" s="255"/>
      <c r="TUG18" s="255"/>
      <c r="TUH18" s="255"/>
      <c r="TUI18" s="255"/>
      <c r="TUJ18" s="255"/>
      <c r="TUK18" s="255"/>
      <c r="TUL18" s="255"/>
      <c r="TUM18" s="255"/>
      <c r="TUN18" s="255"/>
      <c r="TUO18" s="255"/>
      <c r="TUP18" s="255"/>
      <c r="TUQ18" s="255"/>
      <c r="TUR18" s="255"/>
      <c r="TUS18" s="255"/>
      <c r="TUT18" s="255"/>
      <c r="TUU18" s="255"/>
      <c r="TUV18" s="255"/>
      <c r="TUW18" s="255"/>
      <c r="TUX18" s="255"/>
      <c r="TUY18" s="255"/>
      <c r="TUZ18" s="255"/>
      <c r="TVA18" s="255"/>
      <c r="TVB18" s="255"/>
      <c r="TVC18" s="255"/>
      <c r="TVD18" s="255"/>
      <c r="TVE18" s="255"/>
      <c r="TVF18" s="255"/>
      <c r="TVG18" s="255"/>
      <c r="TVH18" s="255"/>
      <c r="TVI18" s="255"/>
      <c r="TVJ18" s="255"/>
      <c r="TVK18" s="255"/>
      <c r="TVL18" s="255"/>
      <c r="TVM18" s="255"/>
      <c r="TVN18" s="255"/>
      <c r="TVO18" s="255"/>
      <c r="TVP18" s="255"/>
      <c r="TVQ18" s="255"/>
      <c r="TVR18" s="255"/>
      <c r="TVS18" s="255"/>
      <c r="TVT18" s="255"/>
      <c r="TVU18" s="255"/>
      <c r="TVV18" s="255"/>
      <c r="TVW18" s="255"/>
      <c r="TVX18" s="255"/>
      <c r="TVY18" s="255"/>
      <c r="TVZ18" s="255"/>
      <c r="TWA18" s="255"/>
      <c r="TWB18" s="255"/>
      <c r="TWC18" s="255"/>
      <c r="TWD18" s="255"/>
      <c r="TWE18" s="255"/>
      <c r="TWF18" s="255"/>
      <c r="TWG18" s="255"/>
      <c r="TWH18" s="255"/>
      <c r="TWI18" s="255"/>
      <c r="TWJ18" s="255"/>
      <c r="TWK18" s="255"/>
      <c r="TWL18" s="255"/>
      <c r="TWM18" s="255"/>
      <c r="TWN18" s="255"/>
      <c r="TWO18" s="255"/>
      <c r="TWP18" s="255"/>
      <c r="TWQ18" s="255"/>
      <c r="TWR18" s="255"/>
      <c r="TWS18" s="255"/>
      <c r="TWT18" s="255"/>
      <c r="TWU18" s="255"/>
      <c r="TWV18" s="255"/>
      <c r="TWW18" s="255"/>
      <c r="TWX18" s="255"/>
      <c r="TWY18" s="255"/>
      <c r="TWZ18" s="255"/>
      <c r="TXA18" s="255"/>
      <c r="TXB18" s="255"/>
      <c r="TXC18" s="255"/>
      <c r="TXD18" s="255"/>
      <c r="TXE18" s="255"/>
      <c r="TXF18" s="255"/>
      <c r="TXG18" s="255"/>
      <c r="TXH18" s="255"/>
      <c r="TXI18" s="255"/>
      <c r="TXJ18" s="255"/>
      <c r="TXK18" s="255"/>
      <c r="TXL18" s="255"/>
      <c r="TXM18" s="255"/>
      <c r="TXN18" s="255"/>
      <c r="TXO18" s="255"/>
      <c r="TXP18" s="255"/>
      <c r="TXQ18" s="255"/>
      <c r="TXR18" s="255"/>
      <c r="TXS18" s="255"/>
      <c r="TXT18" s="255"/>
      <c r="TXU18" s="255"/>
      <c r="TXV18" s="255"/>
      <c r="TXW18" s="255"/>
      <c r="TXX18" s="255"/>
      <c r="TXY18" s="255"/>
      <c r="TXZ18" s="255"/>
      <c r="TYA18" s="255"/>
      <c r="TYB18" s="255"/>
      <c r="TYC18" s="255"/>
      <c r="TYD18" s="255"/>
      <c r="TYE18" s="255"/>
      <c r="TYF18" s="255"/>
      <c r="TYG18" s="255"/>
      <c r="TYH18" s="255"/>
      <c r="TYI18" s="255"/>
      <c r="TYJ18" s="255"/>
      <c r="TYK18" s="255"/>
      <c r="TYL18" s="255"/>
      <c r="TYM18" s="255"/>
      <c r="TYN18" s="255"/>
      <c r="TYO18" s="255"/>
      <c r="TYP18" s="255"/>
      <c r="TYQ18" s="255"/>
      <c r="TYR18" s="255"/>
      <c r="TYS18" s="255"/>
      <c r="TYT18" s="255"/>
      <c r="TYU18" s="255"/>
      <c r="TYV18" s="255"/>
      <c r="TYW18" s="255"/>
      <c r="TYX18" s="255"/>
      <c r="TYY18" s="255"/>
      <c r="TYZ18" s="255"/>
      <c r="TZA18" s="255"/>
      <c r="TZB18" s="255"/>
      <c r="TZC18" s="255"/>
      <c r="TZD18" s="255"/>
      <c r="TZE18" s="255"/>
      <c r="TZF18" s="255"/>
      <c r="TZG18" s="255"/>
      <c r="TZH18" s="255"/>
      <c r="TZI18" s="255"/>
      <c r="TZJ18" s="255"/>
      <c r="TZK18" s="255"/>
      <c r="TZL18" s="255"/>
      <c r="TZM18" s="255"/>
      <c r="TZN18" s="255"/>
      <c r="TZO18" s="255"/>
      <c r="TZP18" s="255"/>
      <c r="TZQ18" s="255"/>
      <c r="TZR18" s="255"/>
      <c r="TZS18" s="255"/>
      <c r="TZT18" s="255"/>
      <c r="TZU18" s="255"/>
      <c r="TZV18" s="255"/>
      <c r="TZW18" s="255"/>
      <c r="TZX18" s="255"/>
      <c r="TZY18" s="255"/>
      <c r="TZZ18" s="255"/>
      <c r="UAA18" s="255"/>
      <c r="UAB18" s="255"/>
      <c r="UAC18" s="255"/>
      <c r="UAD18" s="255"/>
      <c r="UAE18" s="255"/>
      <c r="UAF18" s="255"/>
      <c r="UAG18" s="255"/>
      <c r="UAH18" s="255"/>
      <c r="UAI18" s="255"/>
      <c r="UAJ18" s="255"/>
      <c r="UAK18" s="255"/>
      <c r="UAL18" s="255"/>
      <c r="UAM18" s="255"/>
      <c r="UAN18" s="255"/>
      <c r="UAO18" s="255"/>
      <c r="UAP18" s="255"/>
      <c r="UAQ18" s="255"/>
      <c r="UAR18" s="255"/>
      <c r="UAS18" s="255"/>
      <c r="UAT18" s="255"/>
      <c r="UAU18" s="255"/>
      <c r="UAV18" s="255"/>
      <c r="UAW18" s="255"/>
      <c r="UAX18" s="255"/>
      <c r="UAY18" s="255"/>
      <c r="UAZ18" s="255"/>
      <c r="UBA18" s="255"/>
      <c r="UBB18" s="255"/>
      <c r="UBC18" s="255"/>
      <c r="UBD18" s="255"/>
      <c r="UBE18" s="255"/>
      <c r="UBF18" s="255"/>
      <c r="UBG18" s="255"/>
      <c r="UBH18" s="255"/>
      <c r="UBI18" s="255"/>
      <c r="UBJ18" s="255"/>
      <c r="UBK18" s="255"/>
      <c r="UBL18" s="255"/>
      <c r="UBM18" s="255"/>
      <c r="UBN18" s="255"/>
      <c r="UBO18" s="255"/>
      <c r="UBP18" s="255"/>
      <c r="UBQ18" s="255"/>
      <c r="UBR18" s="255"/>
      <c r="UBS18" s="255"/>
      <c r="UBT18" s="255"/>
      <c r="UBU18" s="255"/>
      <c r="UBV18" s="255"/>
      <c r="UBW18" s="255"/>
      <c r="UBX18" s="255"/>
      <c r="UBY18" s="255"/>
      <c r="UBZ18" s="255"/>
      <c r="UCA18" s="255"/>
      <c r="UCB18" s="255"/>
      <c r="UCC18" s="255"/>
      <c r="UCD18" s="255"/>
      <c r="UCE18" s="255"/>
      <c r="UCF18" s="255"/>
      <c r="UCG18" s="255"/>
      <c r="UCH18" s="255"/>
      <c r="UCI18" s="255"/>
      <c r="UCJ18" s="255"/>
      <c r="UCK18" s="255"/>
      <c r="UCL18" s="255"/>
      <c r="UCM18" s="255"/>
      <c r="UCN18" s="255"/>
      <c r="UCO18" s="255"/>
      <c r="UCP18" s="255"/>
      <c r="UCQ18" s="255"/>
      <c r="UCR18" s="255"/>
      <c r="UCS18" s="255"/>
      <c r="UCT18" s="255"/>
      <c r="UCU18" s="255"/>
      <c r="UCV18" s="255"/>
      <c r="UCW18" s="255"/>
      <c r="UCX18" s="255"/>
      <c r="UCY18" s="255"/>
      <c r="UCZ18" s="255"/>
      <c r="UDA18" s="255"/>
      <c r="UDB18" s="255"/>
      <c r="UDC18" s="255"/>
      <c r="UDD18" s="255"/>
      <c r="UDE18" s="255"/>
      <c r="UDF18" s="255"/>
      <c r="UDG18" s="255"/>
      <c r="UDH18" s="255"/>
      <c r="UDI18" s="255"/>
      <c r="UDJ18" s="255"/>
      <c r="UDK18" s="255"/>
      <c r="UDL18" s="255"/>
      <c r="UDM18" s="255"/>
      <c r="UDN18" s="255"/>
      <c r="UDO18" s="255"/>
      <c r="UDP18" s="255"/>
      <c r="UDQ18" s="255"/>
      <c r="UDR18" s="255"/>
      <c r="UDS18" s="255"/>
      <c r="UDT18" s="255"/>
      <c r="UDU18" s="255"/>
      <c r="UDV18" s="255"/>
      <c r="UDW18" s="255"/>
      <c r="UDX18" s="255"/>
      <c r="UDY18" s="255"/>
      <c r="UDZ18" s="255"/>
      <c r="UEA18" s="255"/>
      <c r="UEB18" s="255"/>
      <c r="UEC18" s="255"/>
      <c r="UED18" s="255"/>
      <c r="UEE18" s="255"/>
      <c r="UEF18" s="255"/>
      <c r="UEG18" s="255"/>
      <c r="UEH18" s="255"/>
      <c r="UEI18" s="255"/>
      <c r="UEJ18" s="255"/>
      <c r="UEK18" s="255"/>
      <c r="UEL18" s="255"/>
      <c r="UEM18" s="255"/>
      <c r="UEN18" s="255"/>
      <c r="UEO18" s="255"/>
      <c r="UEP18" s="255"/>
      <c r="UEQ18" s="255"/>
      <c r="UER18" s="255"/>
      <c r="UES18" s="255"/>
      <c r="UET18" s="255"/>
      <c r="UEU18" s="255"/>
      <c r="UEV18" s="255"/>
      <c r="UEW18" s="255"/>
      <c r="UEX18" s="255"/>
      <c r="UEY18" s="255"/>
      <c r="UEZ18" s="255"/>
      <c r="UFA18" s="255"/>
      <c r="UFB18" s="255"/>
      <c r="UFC18" s="255"/>
      <c r="UFD18" s="255"/>
      <c r="UFE18" s="255"/>
      <c r="UFF18" s="255"/>
      <c r="UFG18" s="255"/>
      <c r="UFH18" s="255"/>
      <c r="UFI18" s="255"/>
      <c r="UFJ18" s="255"/>
      <c r="UFK18" s="255"/>
      <c r="UFL18" s="255"/>
      <c r="UFM18" s="255"/>
      <c r="UFN18" s="255"/>
      <c r="UFO18" s="255"/>
      <c r="UFP18" s="255"/>
      <c r="UFQ18" s="255"/>
      <c r="UFR18" s="255"/>
      <c r="UFS18" s="255"/>
      <c r="UFT18" s="255"/>
      <c r="UFU18" s="255"/>
      <c r="UFV18" s="255"/>
      <c r="UFW18" s="255"/>
      <c r="UFX18" s="255"/>
      <c r="UFY18" s="255"/>
      <c r="UFZ18" s="255"/>
      <c r="UGA18" s="255"/>
      <c r="UGB18" s="255"/>
      <c r="UGC18" s="255"/>
      <c r="UGD18" s="255"/>
      <c r="UGE18" s="255"/>
      <c r="UGF18" s="255"/>
      <c r="UGG18" s="255"/>
      <c r="UGH18" s="255"/>
      <c r="UGI18" s="255"/>
      <c r="UGJ18" s="255"/>
      <c r="UGK18" s="255"/>
      <c r="UGL18" s="255"/>
      <c r="UGM18" s="255"/>
      <c r="UGN18" s="255"/>
      <c r="UGO18" s="255"/>
      <c r="UGP18" s="255"/>
      <c r="UGQ18" s="255"/>
      <c r="UGR18" s="255"/>
      <c r="UGS18" s="255"/>
      <c r="UGT18" s="255"/>
      <c r="UGU18" s="255"/>
      <c r="UGV18" s="255"/>
      <c r="UGW18" s="255"/>
      <c r="UGX18" s="255"/>
      <c r="UGY18" s="255"/>
      <c r="UGZ18" s="255"/>
      <c r="UHA18" s="255"/>
      <c r="UHB18" s="255"/>
      <c r="UHC18" s="255"/>
      <c r="UHD18" s="255"/>
      <c r="UHE18" s="255"/>
      <c r="UHF18" s="255"/>
      <c r="UHG18" s="255"/>
      <c r="UHH18" s="255"/>
      <c r="UHI18" s="255"/>
      <c r="UHJ18" s="255"/>
      <c r="UHK18" s="255"/>
      <c r="UHL18" s="255"/>
      <c r="UHM18" s="255"/>
      <c r="UHN18" s="255"/>
      <c r="UHO18" s="255"/>
      <c r="UHP18" s="255"/>
      <c r="UHQ18" s="255"/>
      <c r="UHR18" s="255"/>
      <c r="UHS18" s="255"/>
      <c r="UHT18" s="255"/>
      <c r="UHU18" s="255"/>
      <c r="UHV18" s="255"/>
      <c r="UHW18" s="255"/>
      <c r="UHX18" s="255"/>
      <c r="UHY18" s="255"/>
      <c r="UHZ18" s="255"/>
      <c r="UIA18" s="255"/>
      <c r="UIB18" s="255"/>
      <c r="UIC18" s="255"/>
      <c r="UID18" s="255"/>
      <c r="UIE18" s="255"/>
      <c r="UIF18" s="255"/>
      <c r="UIG18" s="255"/>
      <c r="UIH18" s="255"/>
      <c r="UII18" s="255"/>
      <c r="UIJ18" s="255"/>
      <c r="UIK18" s="255"/>
      <c r="UIL18" s="255"/>
      <c r="UIM18" s="255"/>
      <c r="UIN18" s="255"/>
      <c r="UIO18" s="255"/>
      <c r="UIP18" s="255"/>
      <c r="UIQ18" s="255"/>
      <c r="UIR18" s="255"/>
      <c r="UIS18" s="255"/>
      <c r="UIT18" s="255"/>
      <c r="UIU18" s="255"/>
      <c r="UIV18" s="255"/>
      <c r="UIW18" s="255"/>
      <c r="UIX18" s="255"/>
      <c r="UIY18" s="255"/>
      <c r="UIZ18" s="255"/>
      <c r="UJA18" s="255"/>
      <c r="UJB18" s="255"/>
      <c r="UJC18" s="255"/>
      <c r="UJD18" s="255"/>
      <c r="UJE18" s="255"/>
      <c r="UJF18" s="255"/>
      <c r="UJG18" s="255"/>
      <c r="UJH18" s="255"/>
      <c r="UJI18" s="255"/>
      <c r="UJJ18" s="255"/>
      <c r="UJK18" s="255"/>
      <c r="UJL18" s="255"/>
      <c r="UJM18" s="255"/>
      <c r="UJN18" s="255"/>
      <c r="UJO18" s="255"/>
      <c r="UJP18" s="255"/>
      <c r="UJQ18" s="255"/>
      <c r="UJR18" s="255"/>
      <c r="UJS18" s="255"/>
      <c r="UJT18" s="255"/>
      <c r="UJU18" s="255"/>
      <c r="UJV18" s="255"/>
      <c r="UJW18" s="255"/>
      <c r="UJX18" s="255"/>
      <c r="UJY18" s="255"/>
      <c r="UJZ18" s="255"/>
      <c r="UKA18" s="255"/>
      <c r="UKB18" s="255"/>
      <c r="UKC18" s="255"/>
      <c r="UKD18" s="255"/>
      <c r="UKE18" s="255"/>
      <c r="UKF18" s="255"/>
      <c r="UKG18" s="255"/>
      <c r="UKH18" s="255"/>
      <c r="UKI18" s="255"/>
      <c r="UKJ18" s="255"/>
      <c r="UKK18" s="255"/>
      <c r="UKL18" s="255"/>
      <c r="UKM18" s="255"/>
      <c r="UKN18" s="255"/>
      <c r="UKO18" s="255"/>
      <c r="UKP18" s="255"/>
      <c r="UKQ18" s="255"/>
      <c r="UKR18" s="255"/>
      <c r="UKS18" s="255"/>
      <c r="UKT18" s="255"/>
      <c r="UKU18" s="255"/>
      <c r="UKV18" s="255"/>
      <c r="UKW18" s="255"/>
      <c r="UKX18" s="255"/>
      <c r="UKY18" s="255"/>
      <c r="UKZ18" s="255"/>
      <c r="ULA18" s="255"/>
      <c r="ULB18" s="255"/>
      <c r="ULC18" s="255"/>
      <c r="ULD18" s="255"/>
      <c r="ULE18" s="255"/>
      <c r="ULF18" s="255"/>
      <c r="ULG18" s="255"/>
      <c r="ULH18" s="255"/>
      <c r="ULI18" s="255"/>
      <c r="ULJ18" s="255"/>
      <c r="ULK18" s="255"/>
      <c r="ULL18" s="255"/>
      <c r="ULM18" s="255"/>
      <c r="ULN18" s="255"/>
      <c r="ULO18" s="255"/>
      <c r="ULP18" s="255"/>
      <c r="ULQ18" s="255"/>
      <c r="ULR18" s="255"/>
      <c r="ULS18" s="255"/>
      <c r="ULT18" s="255"/>
      <c r="ULU18" s="255"/>
      <c r="ULV18" s="255"/>
      <c r="ULW18" s="255"/>
      <c r="ULX18" s="255"/>
      <c r="ULY18" s="255"/>
      <c r="ULZ18" s="255"/>
      <c r="UMA18" s="255"/>
      <c r="UMB18" s="255"/>
      <c r="UMC18" s="255"/>
      <c r="UMD18" s="255"/>
      <c r="UME18" s="255"/>
      <c r="UMF18" s="255"/>
      <c r="UMG18" s="255"/>
      <c r="UMH18" s="255"/>
      <c r="UMI18" s="255"/>
      <c r="UMJ18" s="255"/>
      <c r="UMK18" s="255"/>
      <c r="UML18" s="255"/>
      <c r="UMM18" s="255"/>
      <c r="UMN18" s="255"/>
      <c r="UMO18" s="255"/>
      <c r="UMP18" s="255"/>
      <c r="UMQ18" s="255"/>
      <c r="UMR18" s="255"/>
      <c r="UMS18" s="255"/>
      <c r="UMT18" s="255"/>
      <c r="UMU18" s="255"/>
      <c r="UMV18" s="255"/>
      <c r="UMW18" s="255"/>
      <c r="UMX18" s="255"/>
      <c r="UMY18" s="255"/>
      <c r="UMZ18" s="255"/>
      <c r="UNA18" s="255"/>
      <c r="UNB18" s="255"/>
      <c r="UNC18" s="255"/>
      <c r="UND18" s="255"/>
      <c r="UNE18" s="255"/>
      <c r="UNF18" s="255"/>
      <c r="UNG18" s="255"/>
      <c r="UNH18" s="255"/>
      <c r="UNI18" s="255"/>
      <c r="UNJ18" s="255"/>
      <c r="UNK18" s="255"/>
      <c r="UNL18" s="255"/>
      <c r="UNM18" s="255"/>
      <c r="UNN18" s="255"/>
      <c r="UNO18" s="255"/>
      <c r="UNP18" s="255"/>
      <c r="UNQ18" s="255"/>
      <c r="UNR18" s="255"/>
      <c r="UNS18" s="255"/>
      <c r="UNT18" s="255"/>
      <c r="UNU18" s="255"/>
      <c r="UNV18" s="255"/>
      <c r="UNW18" s="255"/>
      <c r="UNX18" s="255"/>
      <c r="UNY18" s="255"/>
      <c r="UNZ18" s="255"/>
      <c r="UOA18" s="255"/>
      <c r="UOB18" s="255"/>
      <c r="UOC18" s="255"/>
      <c r="UOD18" s="255"/>
      <c r="UOE18" s="255"/>
      <c r="UOF18" s="255"/>
      <c r="UOG18" s="255"/>
      <c r="UOH18" s="255"/>
      <c r="UOI18" s="255"/>
      <c r="UOJ18" s="255"/>
      <c r="UOK18" s="255"/>
      <c r="UOL18" s="255"/>
      <c r="UOM18" s="255"/>
      <c r="UON18" s="255"/>
      <c r="UOO18" s="255"/>
      <c r="UOP18" s="255"/>
      <c r="UOQ18" s="255"/>
      <c r="UOR18" s="255"/>
      <c r="UOS18" s="255"/>
      <c r="UOT18" s="255"/>
      <c r="UOU18" s="255"/>
      <c r="UOV18" s="255"/>
      <c r="UOW18" s="255"/>
      <c r="UOX18" s="255"/>
      <c r="UOY18" s="255"/>
      <c r="UOZ18" s="255"/>
      <c r="UPA18" s="255"/>
      <c r="UPB18" s="255"/>
      <c r="UPC18" s="255"/>
      <c r="UPD18" s="255"/>
      <c r="UPE18" s="255"/>
      <c r="UPF18" s="255"/>
      <c r="UPG18" s="255"/>
      <c r="UPH18" s="255"/>
      <c r="UPI18" s="255"/>
      <c r="UPJ18" s="255"/>
      <c r="UPK18" s="255"/>
      <c r="UPL18" s="255"/>
      <c r="UPM18" s="255"/>
      <c r="UPN18" s="255"/>
      <c r="UPO18" s="255"/>
      <c r="UPP18" s="255"/>
      <c r="UPQ18" s="255"/>
      <c r="UPR18" s="255"/>
      <c r="UPS18" s="255"/>
      <c r="UPT18" s="255"/>
      <c r="UPU18" s="255"/>
      <c r="UPV18" s="255"/>
      <c r="UPW18" s="255"/>
      <c r="UPX18" s="255"/>
      <c r="UPY18" s="255"/>
      <c r="UPZ18" s="255"/>
      <c r="UQA18" s="255"/>
      <c r="UQB18" s="255"/>
      <c r="UQC18" s="255"/>
      <c r="UQD18" s="255"/>
      <c r="UQE18" s="255"/>
      <c r="UQF18" s="255"/>
      <c r="UQG18" s="255"/>
      <c r="UQH18" s="255"/>
      <c r="UQI18" s="255"/>
      <c r="UQJ18" s="255"/>
      <c r="UQK18" s="255"/>
      <c r="UQL18" s="255"/>
      <c r="UQM18" s="255"/>
      <c r="UQN18" s="255"/>
      <c r="UQO18" s="255"/>
      <c r="UQP18" s="255"/>
      <c r="UQQ18" s="255"/>
      <c r="UQR18" s="255"/>
      <c r="UQS18" s="255"/>
      <c r="UQT18" s="255"/>
      <c r="UQU18" s="255"/>
      <c r="UQV18" s="255"/>
      <c r="UQW18" s="255"/>
      <c r="UQX18" s="255"/>
      <c r="UQY18" s="255"/>
      <c r="UQZ18" s="255"/>
      <c r="URA18" s="255"/>
      <c r="URB18" s="255"/>
      <c r="URC18" s="255"/>
      <c r="URD18" s="255"/>
      <c r="URE18" s="255"/>
      <c r="URF18" s="255"/>
      <c r="URG18" s="255"/>
      <c r="URH18" s="255"/>
      <c r="URI18" s="255"/>
      <c r="URJ18" s="255"/>
      <c r="URK18" s="255"/>
      <c r="URL18" s="255"/>
      <c r="URM18" s="255"/>
      <c r="URN18" s="255"/>
      <c r="URO18" s="255"/>
      <c r="URP18" s="255"/>
      <c r="URQ18" s="255"/>
      <c r="URR18" s="255"/>
      <c r="URS18" s="255"/>
      <c r="URT18" s="255"/>
      <c r="URU18" s="255"/>
      <c r="URV18" s="255"/>
      <c r="URW18" s="255"/>
      <c r="URX18" s="255"/>
      <c r="URY18" s="255"/>
      <c r="URZ18" s="255"/>
      <c r="USA18" s="255"/>
      <c r="USB18" s="255"/>
      <c r="USC18" s="255"/>
      <c r="USD18" s="255"/>
      <c r="USE18" s="255"/>
      <c r="USF18" s="255"/>
      <c r="USG18" s="255"/>
      <c r="USH18" s="255"/>
      <c r="USI18" s="255"/>
      <c r="USJ18" s="255"/>
      <c r="USK18" s="255"/>
      <c r="USL18" s="255"/>
      <c r="USM18" s="255"/>
      <c r="USN18" s="255"/>
      <c r="USO18" s="255"/>
      <c r="USP18" s="255"/>
      <c r="USQ18" s="255"/>
      <c r="USR18" s="255"/>
      <c r="USS18" s="255"/>
      <c r="UST18" s="255"/>
      <c r="USU18" s="255"/>
      <c r="USV18" s="255"/>
      <c r="USW18" s="255"/>
      <c r="USX18" s="255"/>
      <c r="USY18" s="255"/>
      <c r="USZ18" s="255"/>
      <c r="UTA18" s="255"/>
      <c r="UTB18" s="255"/>
      <c r="UTC18" s="255"/>
      <c r="UTD18" s="255"/>
      <c r="UTE18" s="255"/>
      <c r="UTF18" s="255"/>
      <c r="UTG18" s="255"/>
      <c r="UTH18" s="255"/>
      <c r="UTI18" s="255"/>
      <c r="UTJ18" s="255"/>
      <c r="UTK18" s="255"/>
      <c r="UTL18" s="255"/>
      <c r="UTM18" s="255"/>
      <c r="UTN18" s="255"/>
      <c r="UTO18" s="255"/>
      <c r="UTP18" s="255"/>
      <c r="UTQ18" s="255"/>
      <c r="UTR18" s="255"/>
      <c r="UTS18" s="255"/>
      <c r="UTT18" s="255"/>
      <c r="UTU18" s="255"/>
      <c r="UTV18" s="255"/>
      <c r="UTW18" s="255"/>
      <c r="UTX18" s="255"/>
      <c r="UTY18" s="255"/>
      <c r="UTZ18" s="255"/>
      <c r="UUA18" s="255"/>
      <c r="UUB18" s="255"/>
      <c r="UUC18" s="255"/>
      <c r="UUD18" s="255"/>
      <c r="UUE18" s="255"/>
      <c r="UUF18" s="255"/>
      <c r="UUG18" s="255"/>
      <c r="UUH18" s="255"/>
      <c r="UUI18" s="255"/>
      <c r="UUJ18" s="255"/>
      <c r="UUK18" s="255"/>
      <c r="UUL18" s="255"/>
      <c r="UUM18" s="255"/>
      <c r="UUN18" s="255"/>
      <c r="UUO18" s="255"/>
      <c r="UUP18" s="255"/>
      <c r="UUQ18" s="255"/>
      <c r="UUR18" s="255"/>
      <c r="UUS18" s="255"/>
      <c r="UUT18" s="255"/>
      <c r="UUU18" s="255"/>
      <c r="UUV18" s="255"/>
      <c r="UUW18" s="255"/>
      <c r="UUX18" s="255"/>
      <c r="UUY18" s="255"/>
      <c r="UUZ18" s="255"/>
      <c r="UVA18" s="255"/>
      <c r="UVB18" s="255"/>
      <c r="UVC18" s="255"/>
      <c r="UVD18" s="255"/>
      <c r="UVE18" s="255"/>
      <c r="UVF18" s="255"/>
      <c r="UVG18" s="255"/>
      <c r="UVH18" s="255"/>
      <c r="UVI18" s="255"/>
      <c r="UVJ18" s="255"/>
      <c r="UVK18" s="255"/>
      <c r="UVL18" s="255"/>
      <c r="UVM18" s="255"/>
      <c r="UVN18" s="255"/>
      <c r="UVO18" s="255"/>
      <c r="UVP18" s="255"/>
      <c r="UVQ18" s="255"/>
      <c r="UVR18" s="255"/>
      <c r="UVS18" s="255"/>
      <c r="UVT18" s="255"/>
      <c r="UVU18" s="255"/>
      <c r="UVV18" s="255"/>
      <c r="UVW18" s="255"/>
      <c r="UVX18" s="255"/>
      <c r="UVY18" s="255"/>
      <c r="UVZ18" s="255"/>
      <c r="UWA18" s="255"/>
      <c r="UWB18" s="255"/>
      <c r="UWC18" s="255"/>
      <c r="UWD18" s="255"/>
      <c r="UWE18" s="255"/>
      <c r="UWF18" s="255"/>
      <c r="UWG18" s="255"/>
      <c r="UWH18" s="255"/>
      <c r="UWI18" s="255"/>
      <c r="UWJ18" s="255"/>
      <c r="UWK18" s="255"/>
      <c r="UWL18" s="255"/>
      <c r="UWM18" s="255"/>
      <c r="UWN18" s="255"/>
      <c r="UWO18" s="255"/>
      <c r="UWP18" s="255"/>
      <c r="UWQ18" s="255"/>
      <c r="UWR18" s="255"/>
      <c r="UWS18" s="255"/>
      <c r="UWT18" s="255"/>
      <c r="UWU18" s="255"/>
      <c r="UWV18" s="255"/>
      <c r="UWW18" s="255"/>
      <c r="UWX18" s="255"/>
      <c r="UWY18" s="255"/>
      <c r="UWZ18" s="255"/>
      <c r="UXA18" s="255"/>
      <c r="UXB18" s="255"/>
      <c r="UXC18" s="255"/>
      <c r="UXD18" s="255"/>
      <c r="UXE18" s="255"/>
      <c r="UXF18" s="255"/>
      <c r="UXG18" s="255"/>
      <c r="UXH18" s="255"/>
      <c r="UXI18" s="255"/>
      <c r="UXJ18" s="255"/>
      <c r="UXK18" s="255"/>
      <c r="UXL18" s="255"/>
      <c r="UXM18" s="255"/>
      <c r="UXN18" s="255"/>
      <c r="UXO18" s="255"/>
      <c r="UXP18" s="255"/>
      <c r="UXQ18" s="255"/>
      <c r="UXR18" s="255"/>
      <c r="UXS18" s="255"/>
      <c r="UXT18" s="255"/>
      <c r="UXU18" s="255"/>
      <c r="UXV18" s="255"/>
      <c r="UXW18" s="255"/>
      <c r="UXX18" s="255"/>
      <c r="UXY18" s="255"/>
      <c r="UXZ18" s="255"/>
      <c r="UYA18" s="255"/>
      <c r="UYB18" s="255"/>
      <c r="UYC18" s="255"/>
      <c r="UYD18" s="255"/>
      <c r="UYE18" s="255"/>
      <c r="UYF18" s="255"/>
      <c r="UYG18" s="255"/>
      <c r="UYH18" s="255"/>
      <c r="UYI18" s="255"/>
      <c r="UYJ18" s="255"/>
      <c r="UYK18" s="255"/>
      <c r="UYL18" s="255"/>
      <c r="UYM18" s="255"/>
      <c r="UYN18" s="255"/>
      <c r="UYO18" s="255"/>
      <c r="UYP18" s="255"/>
      <c r="UYQ18" s="255"/>
      <c r="UYR18" s="255"/>
      <c r="UYS18" s="255"/>
      <c r="UYT18" s="255"/>
      <c r="UYU18" s="255"/>
      <c r="UYV18" s="255"/>
      <c r="UYW18" s="255"/>
      <c r="UYX18" s="255"/>
      <c r="UYY18" s="255"/>
      <c r="UYZ18" s="255"/>
      <c r="UZA18" s="255"/>
      <c r="UZB18" s="255"/>
      <c r="UZC18" s="255"/>
      <c r="UZD18" s="255"/>
      <c r="UZE18" s="255"/>
      <c r="UZF18" s="255"/>
      <c r="UZG18" s="255"/>
      <c r="UZH18" s="255"/>
      <c r="UZI18" s="255"/>
      <c r="UZJ18" s="255"/>
      <c r="UZK18" s="255"/>
      <c r="UZL18" s="255"/>
      <c r="UZM18" s="255"/>
      <c r="UZN18" s="255"/>
      <c r="UZO18" s="255"/>
      <c r="UZP18" s="255"/>
      <c r="UZQ18" s="255"/>
      <c r="UZR18" s="255"/>
      <c r="UZS18" s="255"/>
      <c r="UZT18" s="255"/>
      <c r="UZU18" s="255"/>
      <c r="UZV18" s="255"/>
      <c r="UZW18" s="255"/>
      <c r="UZX18" s="255"/>
      <c r="UZY18" s="255"/>
      <c r="UZZ18" s="255"/>
      <c r="VAA18" s="255"/>
      <c r="VAB18" s="255"/>
      <c r="VAC18" s="255"/>
      <c r="VAD18" s="255"/>
      <c r="VAE18" s="255"/>
      <c r="VAF18" s="255"/>
      <c r="VAG18" s="255"/>
      <c r="VAH18" s="255"/>
      <c r="VAI18" s="255"/>
      <c r="VAJ18" s="255"/>
      <c r="VAK18" s="255"/>
      <c r="VAL18" s="255"/>
      <c r="VAM18" s="255"/>
      <c r="VAN18" s="255"/>
      <c r="VAO18" s="255"/>
      <c r="VAP18" s="255"/>
      <c r="VAQ18" s="255"/>
      <c r="VAR18" s="255"/>
      <c r="VAS18" s="255"/>
      <c r="VAT18" s="255"/>
      <c r="VAU18" s="255"/>
      <c r="VAV18" s="255"/>
      <c r="VAW18" s="255"/>
      <c r="VAX18" s="255"/>
      <c r="VAY18" s="255"/>
      <c r="VAZ18" s="255"/>
      <c r="VBA18" s="255"/>
      <c r="VBB18" s="255"/>
      <c r="VBC18" s="255"/>
      <c r="VBD18" s="255"/>
      <c r="VBE18" s="255"/>
      <c r="VBF18" s="255"/>
      <c r="VBG18" s="255"/>
      <c r="VBH18" s="255"/>
      <c r="VBI18" s="255"/>
      <c r="VBJ18" s="255"/>
      <c r="VBK18" s="255"/>
      <c r="VBL18" s="255"/>
      <c r="VBM18" s="255"/>
      <c r="VBN18" s="255"/>
      <c r="VBO18" s="255"/>
      <c r="VBP18" s="255"/>
      <c r="VBQ18" s="255"/>
      <c r="VBR18" s="255"/>
      <c r="VBS18" s="255"/>
      <c r="VBT18" s="255"/>
      <c r="VBU18" s="255"/>
      <c r="VBV18" s="255"/>
      <c r="VBW18" s="255"/>
      <c r="VBX18" s="255"/>
      <c r="VBY18" s="255"/>
      <c r="VBZ18" s="255"/>
      <c r="VCA18" s="255"/>
      <c r="VCB18" s="255"/>
      <c r="VCC18" s="255"/>
      <c r="VCD18" s="255"/>
      <c r="VCE18" s="255"/>
      <c r="VCF18" s="255"/>
      <c r="VCG18" s="255"/>
      <c r="VCH18" s="255"/>
      <c r="VCI18" s="255"/>
      <c r="VCJ18" s="255"/>
      <c r="VCK18" s="255"/>
      <c r="VCL18" s="255"/>
      <c r="VCM18" s="255"/>
      <c r="VCN18" s="255"/>
      <c r="VCO18" s="255"/>
      <c r="VCP18" s="255"/>
      <c r="VCQ18" s="255"/>
      <c r="VCR18" s="255"/>
      <c r="VCS18" s="255"/>
      <c r="VCT18" s="255"/>
      <c r="VCU18" s="255"/>
      <c r="VCV18" s="255"/>
      <c r="VCW18" s="255"/>
      <c r="VCX18" s="255"/>
      <c r="VCY18" s="255"/>
      <c r="VCZ18" s="255"/>
      <c r="VDA18" s="255"/>
      <c r="VDB18" s="255"/>
      <c r="VDC18" s="255"/>
      <c r="VDD18" s="255"/>
      <c r="VDE18" s="255"/>
      <c r="VDF18" s="255"/>
      <c r="VDG18" s="255"/>
      <c r="VDH18" s="255"/>
      <c r="VDI18" s="255"/>
      <c r="VDJ18" s="255"/>
      <c r="VDK18" s="255"/>
      <c r="VDL18" s="255"/>
      <c r="VDM18" s="255"/>
      <c r="VDN18" s="255"/>
      <c r="VDO18" s="255"/>
      <c r="VDP18" s="255"/>
      <c r="VDQ18" s="255"/>
      <c r="VDR18" s="255"/>
      <c r="VDS18" s="255"/>
      <c r="VDT18" s="255"/>
      <c r="VDU18" s="255"/>
      <c r="VDV18" s="255"/>
      <c r="VDW18" s="255"/>
      <c r="VDX18" s="255"/>
      <c r="VDY18" s="255"/>
      <c r="VDZ18" s="255"/>
      <c r="VEA18" s="255"/>
      <c r="VEB18" s="255"/>
      <c r="VEC18" s="255"/>
      <c r="VED18" s="255"/>
      <c r="VEE18" s="255"/>
      <c r="VEF18" s="255"/>
      <c r="VEG18" s="255"/>
      <c r="VEH18" s="255"/>
      <c r="VEI18" s="255"/>
      <c r="VEJ18" s="255"/>
      <c r="VEK18" s="255"/>
      <c r="VEL18" s="255"/>
      <c r="VEM18" s="255"/>
      <c r="VEN18" s="255"/>
      <c r="VEO18" s="255"/>
      <c r="VEP18" s="255"/>
      <c r="VEQ18" s="255"/>
      <c r="VER18" s="255"/>
      <c r="VES18" s="255"/>
      <c r="VET18" s="255"/>
      <c r="VEU18" s="255"/>
      <c r="VEV18" s="255"/>
      <c r="VEW18" s="255"/>
      <c r="VEX18" s="255"/>
      <c r="VEY18" s="255"/>
      <c r="VEZ18" s="255"/>
      <c r="VFA18" s="255"/>
      <c r="VFB18" s="255"/>
      <c r="VFC18" s="255"/>
      <c r="VFD18" s="255"/>
      <c r="VFE18" s="255"/>
      <c r="VFF18" s="255"/>
      <c r="VFG18" s="255"/>
      <c r="VFH18" s="255"/>
      <c r="VFI18" s="255"/>
      <c r="VFJ18" s="255"/>
      <c r="VFK18" s="255"/>
      <c r="VFL18" s="255"/>
      <c r="VFM18" s="255"/>
      <c r="VFN18" s="255"/>
      <c r="VFO18" s="255"/>
      <c r="VFP18" s="255"/>
      <c r="VFQ18" s="255"/>
      <c r="VFR18" s="255"/>
      <c r="VFS18" s="255"/>
      <c r="VFT18" s="255"/>
      <c r="VFU18" s="255"/>
      <c r="VFV18" s="255"/>
      <c r="VFW18" s="255"/>
      <c r="VFX18" s="255"/>
      <c r="VFY18" s="255"/>
      <c r="VFZ18" s="255"/>
      <c r="VGA18" s="255"/>
      <c r="VGB18" s="255"/>
      <c r="VGC18" s="255"/>
      <c r="VGD18" s="255"/>
      <c r="VGE18" s="255"/>
      <c r="VGF18" s="255"/>
      <c r="VGG18" s="255"/>
      <c r="VGH18" s="255"/>
      <c r="VGI18" s="255"/>
      <c r="VGJ18" s="255"/>
      <c r="VGK18" s="255"/>
      <c r="VGL18" s="255"/>
      <c r="VGM18" s="255"/>
      <c r="VGN18" s="255"/>
      <c r="VGO18" s="255"/>
      <c r="VGP18" s="255"/>
      <c r="VGQ18" s="255"/>
      <c r="VGR18" s="255"/>
      <c r="VGS18" s="255"/>
      <c r="VGT18" s="255"/>
      <c r="VGU18" s="255"/>
      <c r="VGV18" s="255"/>
      <c r="VGW18" s="255"/>
      <c r="VGX18" s="255"/>
      <c r="VGY18" s="255"/>
      <c r="VGZ18" s="255"/>
      <c r="VHA18" s="255"/>
      <c r="VHB18" s="255"/>
      <c r="VHC18" s="255"/>
      <c r="VHD18" s="255"/>
      <c r="VHE18" s="255"/>
      <c r="VHF18" s="255"/>
      <c r="VHG18" s="255"/>
      <c r="VHH18" s="255"/>
      <c r="VHI18" s="255"/>
      <c r="VHJ18" s="255"/>
      <c r="VHK18" s="255"/>
      <c r="VHL18" s="255"/>
      <c r="VHM18" s="255"/>
      <c r="VHN18" s="255"/>
      <c r="VHO18" s="255"/>
      <c r="VHP18" s="255"/>
      <c r="VHQ18" s="255"/>
      <c r="VHR18" s="255"/>
      <c r="VHS18" s="255"/>
      <c r="VHT18" s="255"/>
      <c r="VHU18" s="255"/>
      <c r="VHV18" s="255"/>
      <c r="VHW18" s="255"/>
      <c r="VHX18" s="255"/>
      <c r="VHY18" s="255"/>
      <c r="VHZ18" s="255"/>
      <c r="VIA18" s="255"/>
      <c r="VIB18" s="255"/>
      <c r="VIC18" s="255"/>
      <c r="VID18" s="255"/>
      <c r="VIE18" s="255"/>
      <c r="VIF18" s="255"/>
      <c r="VIG18" s="255"/>
      <c r="VIH18" s="255"/>
      <c r="VII18" s="255"/>
      <c r="VIJ18" s="255"/>
      <c r="VIK18" s="255"/>
      <c r="VIL18" s="255"/>
      <c r="VIM18" s="255"/>
      <c r="VIN18" s="255"/>
      <c r="VIO18" s="255"/>
      <c r="VIP18" s="255"/>
      <c r="VIQ18" s="255"/>
      <c r="VIR18" s="255"/>
      <c r="VIS18" s="255"/>
      <c r="VIT18" s="255"/>
      <c r="VIU18" s="255"/>
      <c r="VIV18" s="255"/>
      <c r="VIW18" s="255"/>
      <c r="VIX18" s="255"/>
      <c r="VIY18" s="255"/>
      <c r="VIZ18" s="255"/>
      <c r="VJA18" s="255"/>
      <c r="VJB18" s="255"/>
      <c r="VJC18" s="255"/>
      <c r="VJD18" s="255"/>
      <c r="VJE18" s="255"/>
      <c r="VJF18" s="255"/>
      <c r="VJG18" s="255"/>
      <c r="VJH18" s="255"/>
      <c r="VJI18" s="255"/>
      <c r="VJJ18" s="255"/>
      <c r="VJK18" s="255"/>
      <c r="VJL18" s="255"/>
      <c r="VJM18" s="255"/>
      <c r="VJN18" s="255"/>
      <c r="VJO18" s="255"/>
      <c r="VJP18" s="255"/>
      <c r="VJQ18" s="255"/>
      <c r="VJR18" s="255"/>
      <c r="VJS18" s="255"/>
      <c r="VJT18" s="255"/>
      <c r="VJU18" s="255"/>
      <c r="VJV18" s="255"/>
      <c r="VJW18" s="255"/>
      <c r="VJX18" s="255"/>
      <c r="VJY18" s="255"/>
      <c r="VJZ18" s="255"/>
      <c r="VKA18" s="255"/>
      <c r="VKB18" s="255"/>
      <c r="VKC18" s="255"/>
      <c r="VKD18" s="255"/>
      <c r="VKE18" s="255"/>
      <c r="VKF18" s="255"/>
      <c r="VKG18" s="255"/>
      <c r="VKH18" s="255"/>
      <c r="VKI18" s="255"/>
      <c r="VKJ18" s="255"/>
      <c r="VKK18" s="255"/>
      <c r="VKL18" s="255"/>
      <c r="VKM18" s="255"/>
      <c r="VKN18" s="255"/>
      <c r="VKO18" s="255"/>
      <c r="VKP18" s="255"/>
      <c r="VKQ18" s="255"/>
      <c r="VKR18" s="255"/>
      <c r="VKS18" s="255"/>
      <c r="VKT18" s="255"/>
      <c r="VKU18" s="255"/>
      <c r="VKV18" s="255"/>
      <c r="VKW18" s="255"/>
      <c r="VKX18" s="255"/>
      <c r="VKY18" s="255"/>
      <c r="VKZ18" s="255"/>
      <c r="VLA18" s="255"/>
      <c r="VLB18" s="255"/>
      <c r="VLC18" s="255"/>
      <c r="VLD18" s="255"/>
      <c r="VLE18" s="255"/>
      <c r="VLF18" s="255"/>
      <c r="VLG18" s="255"/>
      <c r="VLH18" s="255"/>
      <c r="VLI18" s="255"/>
      <c r="VLJ18" s="255"/>
      <c r="VLK18" s="255"/>
      <c r="VLL18" s="255"/>
      <c r="VLM18" s="255"/>
      <c r="VLN18" s="255"/>
      <c r="VLO18" s="255"/>
      <c r="VLP18" s="255"/>
      <c r="VLQ18" s="255"/>
      <c r="VLR18" s="255"/>
      <c r="VLS18" s="255"/>
      <c r="VLT18" s="255"/>
      <c r="VLU18" s="255"/>
      <c r="VLV18" s="255"/>
      <c r="VLW18" s="255"/>
      <c r="VLX18" s="255"/>
      <c r="VLY18" s="255"/>
      <c r="VLZ18" s="255"/>
      <c r="VMA18" s="255"/>
      <c r="VMB18" s="255"/>
      <c r="VMC18" s="255"/>
      <c r="VMD18" s="255"/>
      <c r="VME18" s="255"/>
      <c r="VMF18" s="255"/>
      <c r="VMG18" s="255"/>
      <c r="VMH18" s="255"/>
      <c r="VMI18" s="255"/>
      <c r="VMJ18" s="255"/>
      <c r="VMK18" s="255"/>
      <c r="VML18" s="255"/>
      <c r="VMM18" s="255"/>
      <c r="VMN18" s="255"/>
      <c r="VMO18" s="255"/>
      <c r="VMP18" s="255"/>
      <c r="VMQ18" s="255"/>
      <c r="VMR18" s="255"/>
      <c r="VMS18" s="255"/>
      <c r="VMT18" s="255"/>
      <c r="VMU18" s="255"/>
      <c r="VMV18" s="255"/>
      <c r="VMW18" s="255"/>
      <c r="VMX18" s="255"/>
      <c r="VMY18" s="255"/>
      <c r="VMZ18" s="255"/>
      <c r="VNA18" s="255"/>
      <c r="VNB18" s="255"/>
      <c r="VNC18" s="255"/>
      <c r="VND18" s="255"/>
      <c r="VNE18" s="255"/>
      <c r="VNF18" s="255"/>
      <c r="VNG18" s="255"/>
      <c r="VNH18" s="255"/>
      <c r="VNI18" s="255"/>
      <c r="VNJ18" s="255"/>
      <c r="VNK18" s="255"/>
      <c r="VNL18" s="255"/>
      <c r="VNM18" s="255"/>
      <c r="VNN18" s="255"/>
      <c r="VNO18" s="255"/>
      <c r="VNP18" s="255"/>
      <c r="VNQ18" s="255"/>
      <c r="VNR18" s="255"/>
      <c r="VNS18" s="255"/>
      <c r="VNT18" s="255"/>
      <c r="VNU18" s="255"/>
      <c r="VNV18" s="255"/>
      <c r="VNW18" s="255"/>
      <c r="VNX18" s="255"/>
      <c r="VNY18" s="255"/>
      <c r="VNZ18" s="255"/>
      <c r="VOA18" s="255"/>
      <c r="VOB18" s="255"/>
      <c r="VOC18" s="255"/>
      <c r="VOD18" s="255"/>
      <c r="VOE18" s="255"/>
      <c r="VOF18" s="255"/>
      <c r="VOG18" s="255"/>
      <c r="VOH18" s="255"/>
      <c r="VOI18" s="255"/>
      <c r="VOJ18" s="255"/>
      <c r="VOK18" s="255"/>
      <c r="VOL18" s="255"/>
      <c r="VOM18" s="255"/>
      <c r="VON18" s="255"/>
      <c r="VOO18" s="255"/>
      <c r="VOP18" s="255"/>
      <c r="VOQ18" s="255"/>
      <c r="VOR18" s="255"/>
      <c r="VOS18" s="255"/>
      <c r="VOT18" s="255"/>
      <c r="VOU18" s="255"/>
      <c r="VOV18" s="255"/>
      <c r="VOW18" s="255"/>
      <c r="VOX18" s="255"/>
      <c r="VOY18" s="255"/>
      <c r="VOZ18" s="255"/>
      <c r="VPA18" s="255"/>
      <c r="VPB18" s="255"/>
      <c r="VPC18" s="255"/>
      <c r="VPD18" s="255"/>
      <c r="VPE18" s="255"/>
      <c r="VPF18" s="255"/>
      <c r="VPG18" s="255"/>
      <c r="VPH18" s="255"/>
      <c r="VPI18" s="255"/>
      <c r="VPJ18" s="255"/>
      <c r="VPK18" s="255"/>
      <c r="VPL18" s="255"/>
      <c r="VPM18" s="255"/>
      <c r="VPN18" s="255"/>
      <c r="VPO18" s="255"/>
      <c r="VPP18" s="255"/>
      <c r="VPQ18" s="255"/>
      <c r="VPR18" s="255"/>
      <c r="VPS18" s="255"/>
      <c r="VPT18" s="255"/>
      <c r="VPU18" s="255"/>
      <c r="VPV18" s="255"/>
      <c r="VPW18" s="255"/>
      <c r="VPX18" s="255"/>
      <c r="VPY18" s="255"/>
      <c r="VPZ18" s="255"/>
      <c r="VQA18" s="255"/>
      <c r="VQB18" s="255"/>
      <c r="VQC18" s="255"/>
      <c r="VQD18" s="255"/>
      <c r="VQE18" s="255"/>
      <c r="VQF18" s="255"/>
      <c r="VQG18" s="255"/>
      <c r="VQH18" s="255"/>
      <c r="VQI18" s="255"/>
      <c r="VQJ18" s="255"/>
      <c r="VQK18" s="255"/>
      <c r="VQL18" s="255"/>
      <c r="VQM18" s="255"/>
      <c r="VQN18" s="255"/>
      <c r="VQO18" s="255"/>
      <c r="VQP18" s="255"/>
      <c r="VQQ18" s="255"/>
      <c r="VQR18" s="255"/>
      <c r="VQS18" s="255"/>
      <c r="VQT18" s="255"/>
      <c r="VQU18" s="255"/>
      <c r="VQV18" s="255"/>
      <c r="VQW18" s="255"/>
      <c r="VQX18" s="255"/>
      <c r="VQY18" s="255"/>
      <c r="VQZ18" s="255"/>
      <c r="VRA18" s="255"/>
      <c r="VRB18" s="255"/>
      <c r="VRC18" s="255"/>
      <c r="VRD18" s="255"/>
      <c r="VRE18" s="255"/>
      <c r="VRF18" s="255"/>
      <c r="VRG18" s="255"/>
      <c r="VRH18" s="255"/>
      <c r="VRI18" s="255"/>
      <c r="VRJ18" s="255"/>
      <c r="VRK18" s="255"/>
      <c r="VRL18" s="255"/>
      <c r="VRM18" s="255"/>
      <c r="VRN18" s="255"/>
      <c r="VRO18" s="255"/>
      <c r="VRP18" s="255"/>
      <c r="VRQ18" s="255"/>
      <c r="VRR18" s="255"/>
      <c r="VRS18" s="255"/>
      <c r="VRT18" s="255"/>
      <c r="VRU18" s="255"/>
      <c r="VRV18" s="255"/>
      <c r="VRW18" s="255"/>
      <c r="VRX18" s="255"/>
      <c r="VRY18" s="255"/>
      <c r="VRZ18" s="255"/>
      <c r="VSA18" s="255"/>
      <c r="VSB18" s="255"/>
      <c r="VSC18" s="255"/>
      <c r="VSD18" s="255"/>
      <c r="VSE18" s="255"/>
      <c r="VSF18" s="255"/>
      <c r="VSG18" s="255"/>
      <c r="VSH18" s="255"/>
      <c r="VSI18" s="255"/>
      <c r="VSJ18" s="255"/>
      <c r="VSK18" s="255"/>
      <c r="VSL18" s="255"/>
      <c r="VSM18" s="255"/>
      <c r="VSN18" s="255"/>
      <c r="VSO18" s="255"/>
      <c r="VSP18" s="255"/>
      <c r="VSQ18" s="255"/>
      <c r="VSR18" s="255"/>
      <c r="VSS18" s="255"/>
      <c r="VST18" s="255"/>
      <c r="VSU18" s="255"/>
      <c r="VSV18" s="255"/>
      <c r="VSW18" s="255"/>
      <c r="VSX18" s="255"/>
      <c r="VSY18" s="255"/>
      <c r="VSZ18" s="255"/>
      <c r="VTA18" s="255"/>
      <c r="VTB18" s="255"/>
      <c r="VTC18" s="255"/>
      <c r="VTD18" s="255"/>
      <c r="VTE18" s="255"/>
      <c r="VTF18" s="255"/>
      <c r="VTG18" s="255"/>
      <c r="VTH18" s="255"/>
      <c r="VTI18" s="255"/>
      <c r="VTJ18" s="255"/>
      <c r="VTK18" s="255"/>
      <c r="VTL18" s="255"/>
      <c r="VTM18" s="255"/>
      <c r="VTN18" s="255"/>
      <c r="VTO18" s="255"/>
      <c r="VTP18" s="255"/>
      <c r="VTQ18" s="255"/>
      <c r="VTR18" s="255"/>
      <c r="VTS18" s="255"/>
      <c r="VTT18" s="255"/>
      <c r="VTU18" s="255"/>
      <c r="VTV18" s="255"/>
      <c r="VTW18" s="255"/>
      <c r="VTX18" s="255"/>
      <c r="VTY18" s="255"/>
      <c r="VTZ18" s="255"/>
      <c r="VUA18" s="255"/>
      <c r="VUB18" s="255"/>
      <c r="VUC18" s="255"/>
      <c r="VUD18" s="255"/>
      <c r="VUE18" s="255"/>
      <c r="VUF18" s="255"/>
      <c r="VUG18" s="255"/>
      <c r="VUH18" s="255"/>
      <c r="VUI18" s="255"/>
      <c r="VUJ18" s="255"/>
      <c r="VUK18" s="255"/>
      <c r="VUL18" s="255"/>
      <c r="VUM18" s="255"/>
      <c r="VUN18" s="255"/>
      <c r="VUO18" s="255"/>
      <c r="VUP18" s="255"/>
      <c r="VUQ18" s="255"/>
      <c r="VUR18" s="255"/>
      <c r="VUS18" s="255"/>
      <c r="VUT18" s="255"/>
      <c r="VUU18" s="255"/>
      <c r="VUV18" s="255"/>
      <c r="VUW18" s="255"/>
      <c r="VUX18" s="255"/>
      <c r="VUY18" s="255"/>
      <c r="VUZ18" s="255"/>
      <c r="VVA18" s="255"/>
      <c r="VVB18" s="255"/>
      <c r="VVC18" s="255"/>
      <c r="VVD18" s="255"/>
      <c r="VVE18" s="255"/>
      <c r="VVF18" s="255"/>
      <c r="VVG18" s="255"/>
      <c r="VVH18" s="255"/>
      <c r="VVI18" s="255"/>
      <c r="VVJ18" s="255"/>
      <c r="VVK18" s="255"/>
      <c r="VVL18" s="255"/>
      <c r="VVM18" s="255"/>
      <c r="VVN18" s="255"/>
      <c r="VVO18" s="255"/>
      <c r="VVP18" s="255"/>
      <c r="VVQ18" s="255"/>
      <c r="VVR18" s="255"/>
      <c r="VVS18" s="255"/>
      <c r="VVT18" s="255"/>
      <c r="VVU18" s="255"/>
      <c r="VVV18" s="255"/>
      <c r="VVW18" s="255"/>
      <c r="VVX18" s="255"/>
      <c r="VVY18" s="255"/>
      <c r="VVZ18" s="255"/>
      <c r="VWA18" s="255"/>
      <c r="VWB18" s="255"/>
      <c r="VWC18" s="255"/>
      <c r="VWD18" s="255"/>
      <c r="VWE18" s="255"/>
      <c r="VWF18" s="255"/>
      <c r="VWG18" s="255"/>
      <c r="VWH18" s="255"/>
      <c r="VWI18" s="255"/>
      <c r="VWJ18" s="255"/>
      <c r="VWK18" s="255"/>
      <c r="VWL18" s="255"/>
      <c r="VWM18" s="255"/>
      <c r="VWN18" s="255"/>
      <c r="VWO18" s="255"/>
      <c r="VWP18" s="255"/>
      <c r="VWQ18" s="255"/>
      <c r="VWR18" s="255"/>
      <c r="VWS18" s="255"/>
      <c r="VWT18" s="255"/>
      <c r="VWU18" s="255"/>
      <c r="VWV18" s="255"/>
      <c r="VWW18" s="255"/>
      <c r="VWX18" s="255"/>
      <c r="VWY18" s="255"/>
      <c r="VWZ18" s="255"/>
      <c r="VXA18" s="255"/>
      <c r="VXB18" s="255"/>
      <c r="VXC18" s="255"/>
      <c r="VXD18" s="255"/>
      <c r="VXE18" s="255"/>
      <c r="VXF18" s="255"/>
      <c r="VXG18" s="255"/>
      <c r="VXH18" s="255"/>
      <c r="VXI18" s="255"/>
      <c r="VXJ18" s="255"/>
      <c r="VXK18" s="255"/>
      <c r="VXL18" s="255"/>
      <c r="VXM18" s="255"/>
      <c r="VXN18" s="255"/>
      <c r="VXO18" s="255"/>
      <c r="VXP18" s="255"/>
      <c r="VXQ18" s="255"/>
      <c r="VXR18" s="255"/>
      <c r="VXS18" s="255"/>
      <c r="VXT18" s="255"/>
      <c r="VXU18" s="255"/>
      <c r="VXV18" s="255"/>
      <c r="VXW18" s="255"/>
      <c r="VXX18" s="255"/>
      <c r="VXY18" s="255"/>
      <c r="VXZ18" s="255"/>
      <c r="VYA18" s="255"/>
      <c r="VYB18" s="255"/>
      <c r="VYC18" s="255"/>
      <c r="VYD18" s="255"/>
      <c r="VYE18" s="255"/>
      <c r="VYF18" s="255"/>
      <c r="VYG18" s="255"/>
      <c r="VYH18" s="255"/>
      <c r="VYI18" s="255"/>
      <c r="VYJ18" s="255"/>
      <c r="VYK18" s="255"/>
      <c r="VYL18" s="255"/>
      <c r="VYM18" s="255"/>
      <c r="VYN18" s="255"/>
      <c r="VYO18" s="255"/>
      <c r="VYP18" s="255"/>
      <c r="VYQ18" s="255"/>
      <c r="VYR18" s="255"/>
      <c r="VYS18" s="255"/>
      <c r="VYT18" s="255"/>
      <c r="VYU18" s="255"/>
      <c r="VYV18" s="255"/>
      <c r="VYW18" s="255"/>
      <c r="VYX18" s="255"/>
      <c r="VYY18" s="255"/>
      <c r="VYZ18" s="255"/>
      <c r="VZA18" s="255"/>
      <c r="VZB18" s="255"/>
      <c r="VZC18" s="255"/>
      <c r="VZD18" s="255"/>
      <c r="VZE18" s="255"/>
      <c r="VZF18" s="255"/>
      <c r="VZG18" s="255"/>
      <c r="VZH18" s="255"/>
      <c r="VZI18" s="255"/>
      <c r="VZJ18" s="255"/>
      <c r="VZK18" s="255"/>
      <c r="VZL18" s="255"/>
      <c r="VZM18" s="255"/>
      <c r="VZN18" s="255"/>
      <c r="VZO18" s="255"/>
      <c r="VZP18" s="255"/>
      <c r="VZQ18" s="255"/>
      <c r="VZR18" s="255"/>
      <c r="VZS18" s="255"/>
      <c r="VZT18" s="255"/>
      <c r="VZU18" s="255"/>
      <c r="VZV18" s="255"/>
      <c r="VZW18" s="255"/>
      <c r="VZX18" s="255"/>
      <c r="VZY18" s="255"/>
      <c r="VZZ18" s="255"/>
      <c r="WAA18" s="255"/>
      <c r="WAB18" s="255"/>
      <c r="WAC18" s="255"/>
      <c r="WAD18" s="255"/>
      <c r="WAE18" s="255"/>
      <c r="WAF18" s="255"/>
      <c r="WAG18" s="255"/>
      <c r="WAH18" s="255"/>
      <c r="WAI18" s="255"/>
      <c r="WAJ18" s="255"/>
      <c r="WAK18" s="255"/>
      <c r="WAL18" s="255"/>
      <c r="WAM18" s="255"/>
      <c r="WAN18" s="255"/>
      <c r="WAO18" s="255"/>
      <c r="WAP18" s="255"/>
      <c r="WAQ18" s="255"/>
      <c r="WAR18" s="255"/>
      <c r="WAS18" s="255"/>
      <c r="WAT18" s="255"/>
      <c r="WAU18" s="255"/>
      <c r="WAV18" s="255"/>
      <c r="WAW18" s="255"/>
      <c r="WAX18" s="255"/>
      <c r="WAY18" s="255"/>
      <c r="WAZ18" s="255"/>
      <c r="WBA18" s="255"/>
      <c r="WBB18" s="255"/>
      <c r="WBC18" s="255"/>
      <c r="WBD18" s="255"/>
      <c r="WBE18" s="255"/>
      <c r="WBF18" s="255"/>
      <c r="WBG18" s="255"/>
      <c r="WBH18" s="255"/>
      <c r="WBI18" s="255"/>
      <c r="WBJ18" s="255"/>
      <c r="WBK18" s="255"/>
      <c r="WBL18" s="255"/>
      <c r="WBM18" s="255"/>
      <c r="WBN18" s="255"/>
      <c r="WBO18" s="255"/>
      <c r="WBP18" s="255"/>
      <c r="WBQ18" s="255"/>
      <c r="WBR18" s="255"/>
      <c r="WBS18" s="255"/>
      <c r="WBT18" s="255"/>
      <c r="WBU18" s="255"/>
      <c r="WBV18" s="255"/>
      <c r="WBW18" s="255"/>
      <c r="WBX18" s="255"/>
      <c r="WBY18" s="255"/>
      <c r="WBZ18" s="255"/>
      <c r="WCA18" s="255"/>
      <c r="WCB18" s="255"/>
      <c r="WCC18" s="255"/>
      <c r="WCD18" s="255"/>
      <c r="WCE18" s="255"/>
      <c r="WCF18" s="255"/>
      <c r="WCG18" s="255"/>
      <c r="WCH18" s="255"/>
      <c r="WCI18" s="255"/>
      <c r="WCJ18" s="255"/>
      <c r="WCK18" s="255"/>
      <c r="WCL18" s="255"/>
      <c r="WCM18" s="255"/>
      <c r="WCN18" s="255"/>
      <c r="WCO18" s="255"/>
      <c r="WCP18" s="255"/>
      <c r="WCQ18" s="255"/>
      <c r="WCR18" s="255"/>
      <c r="WCS18" s="255"/>
      <c r="WCT18" s="255"/>
      <c r="WCU18" s="255"/>
      <c r="WCV18" s="255"/>
      <c r="WCW18" s="255"/>
      <c r="WCX18" s="255"/>
      <c r="WCY18" s="255"/>
      <c r="WCZ18" s="255"/>
      <c r="WDA18" s="255"/>
      <c r="WDB18" s="255"/>
      <c r="WDC18" s="255"/>
      <c r="WDD18" s="255"/>
      <c r="WDE18" s="255"/>
      <c r="WDF18" s="255"/>
      <c r="WDG18" s="255"/>
      <c r="WDH18" s="255"/>
      <c r="WDI18" s="255"/>
      <c r="WDJ18" s="255"/>
      <c r="WDK18" s="255"/>
      <c r="WDL18" s="255"/>
      <c r="WDM18" s="255"/>
      <c r="WDN18" s="255"/>
      <c r="WDO18" s="255"/>
      <c r="WDP18" s="255"/>
      <c r="WDQ18" s="255"/>
      <c r="WDR18" s="255"/>
      <c r="WDS18" s="255"/>
      <c r="WDT18" s="255"/>
      <c r="WDU18" s="255"/>
      <c r="WDV18" s="255"/>
      <c r="WDW18" s="255"/>
      <c r="WDX18" s="255"/>
      <c r="WDY18" s="255"/>
      <c r="WDZ18" s="255"/>
      <c r="WEA18" s="255"/>
      <c r="WEB18" s="255"/>
      <c r="WEC18" s="255"/>
      <c r="WED18" s="255"/>
      <c r="WEE18" s="255"/>
      <c r="WEF18" s="255"/>
      <c r="WEG18" s="255"/>
      <c r="WEH18" s="255"/>
      <c r="WEI18" s="255"/>
      <c r="WEJ18" s="255"/>
      <c r="WEK18" s="255"/>
      <c r="WEL18" s="255"/>
      <c r="WEM18" s="255"/>
      <c r="WEN18" s="255"/>
      <c r="WEO18" s="255"/>
      <c r="WEP18" s="255"/>
      <c r="WEQ18" s="255"/>
      <c r="WER18" s="255"/>
      <c r="WES18" s="255"/>
      <c r="WET18" s="255"/>
      <c r="WEU18" s="255"/>
      <c r="WEV18" s="255"/>
      <c r="WEW18" s="255"/>
      <c r="WEX18" s="255"/>
      <c r="WEY18" s="255"/>
      <c r="WEZ18" s="255"/>
      <c r="WFA18" s="255"/>
      <c r="WFB18" s="255"/>
      <c r="WFC18" s="255"/>
      <c r="WFD18" s="255"/>
      <c r="WFE18" s="255"/>
      <c r="WFF18" s="255"/>
      <c r="WFG18" s="255"/>
      <c r="WFH18" s="255"/>
      <c r="WFI18" s="255"/>
      <c r="WFJ18" s="255"/>
      <c r="WFK18" s="255"/>
      <c r="WFL18" s="255"/>
      <c r="WFM18" s="255"/>
      <c r="WFN18" s="255"/>
      <c r="WFO18" s="255"/>
      <c r="WFP18" s="255"/>
      <c r="WFQ18" s="255"/>
      <c r="WFR18" s="255"/>
      <c r="WFS18" s="255"/>
      <c r="WFT18" s="255"/>
      <c r="WFU18" s="255"/>
      <c r="WFV18" s="255"/>
      <c r="WFW18" s="255"/>
      <c r="WFX18" s="255"/>
      <c r="WFY18" s="255"/>
      <c r="WFZ18" s="255"/>
      <c r="WGA18" s="255"/>
      <c r="WGB18" s="255"/>
      <c r="WGC18" s="255"/>
      <c r="WGD18" s="255"/>
      <c r="WGE18" s="255"/>
      <c r="WGF18" s="255"/>
      <c r="WGG18" s="255"/>
      <c r="WGH18" s="255"/>
      <c r="WGI18" s="255"/>
      <c r="WGJ18" s="255"/>
      <c r="WGK18" s="255"/>
      <c r="WGL18" s="255"/>
      <c r="WGM18" s="255"/>
      <c r="WGN18" s="255"/>
      <c r="WGO18" s="255"/>
      <c r="WGP18" s="255"/>
      <c r="WGQ18" s="255"/>
      <c r="WGR18" s="255"/>
      <c r="WGS18" s="255"/>
      <c r="WGT18" s="255"/>
      <c r="WGU18" s="255"/>
      <c r="WGV18" s="255"/>
      <c r="WGW18" s="255"/>
      <c r="WGX18" s="255"/>
      <c r="WGY18" s="255"/>
      <c r="WGZ18" s="255"/>
      <c r="WHA18" s="255"/>
      <c r="WHB18" s="255"/>
      <c r="WHC18" s="255"/>
      <c r="WHD18" s="255"/>
      <c r="WHE18" s="255"/>
      <c r="WHF18" s="255"/>
      <c r="WHG18" s="255"/>
      <c r="WHH18" s="255"/>
      <c r="WHI18" s="255"/>
      <c r="WHJ18" s="255"/>
      <c r="WHK18" s="255"/>
      <c r="WHL18" s="255"/>
      <c r="WHM18" s="255"/>
      <c r="WHN18" s="255"/>
      <c r="WHO18" s="255"/>
      <c r="WHP18" s="255"/>
      <c r="WHQ18" s="255"/>
      <c r="WHR18" s="255"/>
      <c r="WHS18" s="255"/>
      <c r="WHT18" s="255"/>
      <c r="WHU18" s="255"/>
      <c r="WHV18" s="255"/>
      <c r="WHW18" s="255"/>
      <c r="WHX18" s="255"/>
      <c r="WHY18" s="255"/>
      <c r="WHZ18" s="255"/>
      <c r="WIA18" s="255"/>
      <c r="WIB18" s="255"/>
      <c r="WIC18" s="255"/>
      <c r="WID18" s="255"/>
      <c r="WIE18" s="255"/>
      <c r="WIF18" s="255"/>
      <c r="WIG18" s="255"/>
      <c r="WIH18" s="255"/>
      <c r="WII18" s="255"/>
      <c r="WIJ18" s="255"/>
      <c r="WIK18" s="255"/>
      <c r="WIL18" s="255"/>
      <c r="WIM18" s="255"/>
      <c r="WIN18" s="255"/>
      <c r="WIO18" s="255"/>
      <c r="WIP18" s="255"/>
      <c r="WIQ18" s="255"/>
      <c r="WIR18" s="255"/>
      <c r="WIS18" s="255"/>
      <c r="WIT18" s="255"/>
      <c r="WIU18" s="255"/>
      <c r="WIV18" s="255"/>
      <c r="WIW18" s="255"/>
      <c r="WIX18" s="255"/>
      <c r="WIY18" s="255"/>
      <c r="WIZ18" s="255"/>
      <c r="WJA18" s="255"/>
      <c r="WJB18" s="255"/>
      <c r="WJC18" s="255"/>
      <c r="WJD18" s="255"/>
      <c r="WJE18" s="255"/>
      <c r="WJF18" s="255"/>
      <c r="WJG18" s="255"/>
      <c r="WJH18" s="255"/>
      <c r="WJI18" s="255"/>
      <c r="WJJ18" s="255"/>
      <c r="WJK18" s="255"/>
      <c r="WJL18" s="255"/>
      <c r="WJM18" s="255"/>
      <c r="WJN18" s="255"/>
      <c r="WJO18" s="255"/>
      <c r="WJP18" s="255"/>
      <c r="WJQ18" s="255"/>
      <c r="WJR18" s="255"/>
      <c r="WJS18" s="255"/>
      <c r="WJT18" s="255"/>
      <c r="WJU18" s="255"/>
      <c r="WJV18" s="255"/>
      <c r="WJW18" s="255"/>
      <c r="WJX18" s="255"/>
      <c r="WJY18" s="255"/>
      <c r="WJZ18" s="255"/>
      <c r="WKA18" s="255"/>
      <c r="WKB18" s="255"/>
      <c r="WKC18" s="255"/>
      <c r="WKD18" s="255"/>
      <c r="WKE18" s="255"/>
      <c r="WKF18" s="255"/>
      <c r="WKG18" s="255"/>
      <c r="WKH18" s="255"/>
      <c r="WKI18" s="255"/>
      <c r="WKJ18" s="255"/>
      <c r="WKK18" s="255"/>
      <c r="WKL18" s="255"/>
      <c r="WKM18" s="255"/>
      <c r="WKN18" s="255"/>
      <c r="WKO18" s="255"/>
      <c r="WKP18" s="255"/>
      <c r="WKQ18" s="255"/>
      <c r="WKR18" s="255"/>
      <c r="WKS18" s="255"/>
      <c r="WKT18" s="255"/>
      <c r="WKU18" s="255"/>
      <c r="WKV18" s="255"/>
      <c r="WKW18" s="255"/>
      <c r="WKX18" s="255"/>
      <c r="WKY18" s="255"/>
      <c r="WKZ18" s="255"/>
      <c r="WLA18" s="255"/>
      <c r="WLB18" s="255"/>
      <c r="WLC18" s="255"/>
      <c r="WLD18" s="255"/>
      <c r="WLE18" s="255"/>
      <c r="WLF18" s="255"/>
      <c r="WLG18" s="255"/>
      <c r="WLH18" s="255"/>
      <c r="WLI18" s="255"/>
      <c r="WLJ18" s="255"/>
      <c r="WLK18" s="255"/>
      <c r="WLL18" s="255"/>
      <c r="WLM18" s="255"/>
      <c r="WLN18" s="255"/>
      <c r="WLO18" s="255"/>
      <c r="WLP18" s="255"/>
      <c r="WLQ18" s="255"/>
      <c r="WLR18" s="255"/>
      <c r="WLS18" s="255"/>
      <c r="WLT18" s="255"/>
      <c r="WLU18" s="255"/>
      <c r="WLV18" s="255"/>
      <c r="WLW18" s="255"/>
      <c r="WLX18" s="255"/>
      <c r="WLY18" s="255"/>
      <c r="WLZ18" s="255"/>
      <c r="WMA18" s="255"/>
      <c r="WMB18" s="255"/>
      <c r="WMC18" s="255"/>
      <c r="WMD18" s="255"/>
      <c r="WME18" s="255"/>
      <c r="WMF18" s="255"/>
      <c r="WMG18" s="255"/>
      <c r="WMH18" s="255"/>
      <c r="WMI18" s="255"/>
      <c r="WMJ18" s="255"/>
      <c r="WMK18" s="255"/>
      <c r="WML18" s="255"/>
      <c r="WMM18" s="255"/>
      <c r="WMN18" s="255"/>
      <c r="WMO18" s="255"/>
      <c r="WMP18" s="255"/>
      <c r="WMQ18" s="255"/>
      <c r="WMR18" s="255"/>
      <c r="WMS18" s="255"/>
      <c r="WMT18" s="255"/>
      <c r="WMU18" s="255"/>
      <c r="WMV18" s="255"/>
      <c r="WMW18" s="255"/>
      <c r="WMX18" s="255"/>
      <c r="WMY18" s="255"/>
      <c r="WMZ18" s="255"/>
      <c r="WNA18" s="255"/>
      <c r="WNB18" s="255"/>
      <c r="WNC18" s="255"/>
      <c r="WND18" s="255"/>
      <c r="WNE18" s="255"/>
      <c r="WNF18" s="255"/>
      <c r="WNG18" s="255"/>
      <c r="WNH18" s="255"/>
      <c r="WNI18" s="255"/>
      <c r="WNJ18" s="255"/>
      <c r="WNK18" s="255"/>
      <c r="WNL18" s="255"/>
      <c r="WNM18" s="255"/>
      <c r="WNN18" s="255"/>
      <c r="WNO18" s="255"/>
      <c r="WNP18" s="255"/>
      <c r="WNQ18" s="255"/>
      <c r="WNR18" s="255"/>
      <c r="WNS18" s="255"/>
      <c r="WNT18" s="255"/>
      <c r="WNU18" s="255"/>
      <c r="WNV18" s="255"/>
      <c r="WNW18" s="255"/>
      <c r="WNX18" s="255"/>
      <c r="WNY18" s="255"/>
      <c r="WNZ18" s="255"/>
      <c r="WOA18" s="255"/>
      <c r="WOB18" s="255"/>
      <c r="WOC18" s="255"/>
      <c r="WOD18" s="255"/>
      <c r="WOE18" s="255"/>
      <c r="WOF18" s="255"/>
      <c r="WOG18" s="255"/>
      <c r="WOH18" s="255"/>
      <c r="WOI18" s="255"/>
      <c r="WOJ18" s="255"/>
      <c r="WOK18" s="255"/>
      <c r="WOL18" s="255"/>
      <c r="WOM18" s="255"/>
      <c r="WON18" s="255"/>
      <c r="WOO18" s="255"/>
      <c r="WOP18" s="255"/>
      <c r="WOQ18" s="255"/>
      <c r="WOR18" s="255"/>
      <c r="WOS18" s="255"/>
      <c r="WOT18" s="255"/>
      <c r="WOU18" s="255"/>
      <c r="WOV18" s="255"/>
      <c r="WOW18" s="255"/>
      <c r="WOX18" s="255"/>
      <c r="WOY18" s="255"/>
      <c r="WOZ18" s="255"/>
      <c r="WPA18" s="255"/>
      <c r="WPB18" s="255"/>
      <c r="WPC18" s="255"/>
      <c r="WPD18" s="255"/>
      <c r="WPE18" s="255"/>
      <c r="WPF18" s="255"/>
      <c r="WPG18" s="255"/>
      <c r="WPH18" s="255"/>
      <c r="WPI18" s="255"/>
      <c r="WPJ18" s="255"/>
      <c r="WPK18" s="255"/>
      <c r="WPL18" s="255"/>
      <c r="WPM18" s="255"/>
      <c r="WPN18" s="255"/>
      <c r="WPO18" s="255"/>
      <c r="WPP18" s="255"/>
      <c r="WPQ18" s="255"/>
      <c r="WPR18" s="255"/>
      <c r="WPS18" s="255"/>
      <c r="WPT18" s="255"/>
      <c r="WPU18" s="255"/>
      <c r="WPV18" s="255"/>
      <c r="WPW18" s="255"/>
      <c r="WPX18" s="255"/>
      <c r="WPY18" s="255"/>
      <c r="WPZ18" s="255"/>
      <c r="WQA18" s="255"/>
      <c r="WQB18" s="255"/>
      <c r="WQC18" s="255"/>
      <c r="WQD18" s="255"/>
      <c r="WQE18" s="255"/>
      <c r="WQF18" s="255"/>
      <c r="WQG18" s="255"/>
      <c r="WQH18" s="255"/>
      <c r="WQI18" s="255"/>
      <c r="WQJ18" s="255"/>
      <c r="WQK18" s="255"/>
      <c r="WQL18" s="255"/>
      <c r="WQM18" s="255"/>
      <c r="WQN18" s="255"/>
      <c r="WQO18" s="255"/>
      <c r="WQP18" s="255"/>
      <c r="WQQ18" s="255"/>
      <c r="WQR18" s="255"/>
      <c r="WQS18" s="255"/>
      <c r="WQT18" s="255"/>
      <c r="WQU18" s="255"/>
      <c r="WQV18" s="255"/>
      <c r="WQW18" s="255"/>
      <c r="WQX18" s="255"/>
      <c r="WQY18" s="255"/>
      <c r="WQZ18" s="255"/>
      <c r="WRA18" s="255"/>
      <c r="WRB18" s="255"/>
      <c r="WRC18" s="255"/>
      <c r="WRD18" s="255"/>
      <c r="WRE18" s="255"/>
      <c r="WRF18" s="255"/>
      <c r="WRG18" s="255"/>
      <c r="WRH18" s="255"/>
      <c r="WRI18" s="255"/>
      <c r="WRJ18" s="255"/>
      <c r="WRK18" s="255"/>
      <c r="WRL18" s="255"/>
      <c r="WRM18" s="255"/>
      <c r="WRN18" s="255"/>
      <c r="WRO18" s="255"/>
      <c r="WRP18" s="255"/>
      <c r="WRQ18" s="255"/>
      <c r="WRR18" s="255"/>
      <c r="WRS18" s="255"/>
      <c r="WRT18" s="255"/>
      <c r="WRU18" s="255"/>
      <c r="WRV18" s="255"/>
      <c r="WRW18" s="255"/>
      <c r="WRX18" s="255"/>
      <c r="WRY18" s="255"/>
      <c r="WRZ18" s="255"/>
      <c r="WSA18" s="255"/>
      <c r="WSB18" s="255"/>
      <c r="WSC18" s="255"/>
      <c r="WSD18" s="255"/>
      <c r="WSE18" s="255"/>
      <c r="WSF18" s="255"/>
      <c r="WSG18" s="255"/>
      <c r="WSH18" s="255"/>
      <c r="WSI18" s="255"/>
      <c r="WSJ18" s="255"/>
      <c r="WSK18" s="255"/>
      <c r="WSL18" s="255"/>
      <c r="WSM18" s="255"/>
      <c r="WSN18" s="255"/>
      <c r="WSO18" s="255"/>
      <c r="WSP18" s="255"/>
      <c r="WSQ18" s="255"/>
      <c r="WSR18" s="255"/>
      <c r="WSS18" s="255"/>
      <c r="WST18" s="255"/>
      <c r="WSU18" s="255"/>
      <c r="WSV18" s="255"/>
      <c r="WSW18" s="255"/>
      <c r="WSX18" s="255"/>
      <c r="WSY18" s="255"/>
      <c r="WSZ18" s="255"/>
      <c r="WTA18" s="255"/>
      <c r="WTB18" s="255"/>
      <c r="WTC18" s="255"/>
      <c r="WTD18" s="255"/>
      <c r="WTE18" s="255"/>
      <c r="WTF18" s="255"/>
      <c r="WTG18" s="255"/>
      <c r="WTH18" s="255"/>
      <c r="WTI18" s="255"/>
      <c r="WTJ18" s="255"/>
      <c r="WTK18" s="255"/>
      <c r="WTL18" s="255"/>
      <c r="WTM18" s="255"/>
      <c r="WTN18" s="255"/>
      <c r="WTO18" s="255"/>
      <c r="WTP18" s="255"/>
      <c r="WTQ18" s="255"/>
      <c r="WTR18" s="255"/>
      <c r="WTS18" s="255"/>
      <c r="WTT18" s="255"/>
      <c r="WTU18" s="255"/>
      <c r="WTV18" s="255"/>
      <c r="WTW18" s="255"/>
      <c r="WTX18" s="255"/>
      <c r="WTY18" s="255"/>
      <c r="WTZ18" s="255"/>
      <c r="WUA18" s="255"/>
      <c r="WUB18" s="255"/>
      <c r="WUC18" s="255"/>
      <c r="WUD18" s="255"/>
      <c r="WUE18" s="255"/>
      <c r="WUF18" s="255"/>
      <c r="WUG18" s="255"/>
      <c r="WUH18" s="255"/>
      <c r="WUI18" s="255"/>
      <c r="WUJ18" s="255"/>
      <c r="WUK18" s="255"/>
      <c r="WUL18" s="255"/>
      <c r="WUM18" s="255"/>
      <c r="WUN18" s="255"/>
      <c r="WUO18" s="255"/>
      <c r="WUP18" s="255"/>
      <c r="WUQ18" s="255"/>
      <c r="WUR18" s="255"/>
      <c r="WUS18" s="255"/>
      <c r="WUT18" s="255"/>
      <c r="WUU18" s="255"/>
      <c r="WUV18" s="255"/>
      <c r="WUW18" s="255"/>
      <c r="WUX18" s="255"/>
      <c r="WUY18" s="255"/>
      <c r="WUZ18" s="255"/>
      <c r="WVA18" s="255"/>
      <c r="WVB18" s="255"/>
      <c r="WVC18" s="255"/>
      <c r="WVD18" s="255"/>
      <c r="WVE18" s="255"/>
      <c r="WVF18" s="255"/>
      <c r="WVG18" s="255"/>
      <c r="WVH18" s="255"/>
      <c r="WVI18" s="255"/>
      <c r="WVJ18" s="255"/>
      <c r="WVK18" s="255"/>
      <c r="WVL18" s="255"/>
      <c r="WVM18" s="255"/>
      <c r="WVN18" s="255"/>
      <c r="WVO18" s="255"/>
      <c r="WVP18" s="255"/>
      <c r="WVQ18" s="255"/>
      <c r="WVR18" s="255"/>
      <c r="WVS18" s="255"/>
      <c r="WVT18" s="255"/>
      <c r="WVU18" s="255"/>
      <c r="WVV18" s="255"/>
      <c r="WVW18" s="255"/>
      <c r="WVX18" s="255"/>
      <c r="WVY18" s="255"/>
      <c r="WVZ18" s="255"/>
      <c r="WWA18" s="255"/>
      <c r="WWB18" s="255"/>
      <c r="WWC18" s="255"/>
      <c r="WWD18" s="255"/>
      <c r="WWE18" s="255"/>
      <c r="WWF18" s="255"/>
      <c r="WWG18" s="255"/>
      <c r="WWH18" s="255"/>
      <c r="WWI18" s="255"/>
      <c r="WWJ18" s="255"/>
      <c r="WWK18" s="255"/>
      <c r="WWL18" s="255"/>
      <c r="WWM18" s="255"/>
      <c r="WWN18" s="255"/>
      <c r="WWO18" s="255"/>
      <c r="WWP18" s="255"/>
      <c r="WWQ18" s="255"/>
      <c r="WWR18" s="255"/>
      <c r="WWS18" s="255"/>
      <c r="WWT18" s="255"/>
      <c r="WWU18" s="255"/>
      <c r="WWV18" s="255"/>
      <c r="WWW18" s="255"/>
      <c r="WWX18" s="255"/>
      <c r="WWY18" s="255"/>
      <c r="WWZ18" s="255"/>
      <c r="WXA18" s="255"/>
      <c r="WXB18" s="255"/>
      <c r="WXC18" s="255"/>
      <c r="WXD18" s="255"/>
      <c r="WXE18" s="255"/>
      <c r="WXF18" s="255"/>
      <c r="WXG18" s="255"/>
      <c r="WXH18" s="255"/>
      <c r="WXI18" s="255"/>
      <c r="WXJ18" s="255"/>
      <c r="WXK18" s="255"/>
      <c r="WXL18" s="255"/>
      <c r="WXM18" s="255"/>
      <c r="WXN18" s="255"/>
      <c r="WXO18" s="255"/>
      <c r="WXP18" s="255"/>
      <c r="WXQ18" s="255"/>
      <c r="WXR18" s="255"/>
      <c r="WXS18" s="255"/>
      <c r="WXT18" s="255"/>
      <c r="WXU18" s="255"/>
      <c r="WXV18" s="255"/>
      <c r="WXW18" s="255"/>
      <c r="WXX18" s="255"/>
      <c r="WXY18" s="255"/>
      <c r="WXZ18" s="255"/>
      <c r="WYA18" s="255"/>
      <c r="WYB18" s="255"/>
      <c r="WYC18" s="255"/>
      <c r="WYD18" s="255"/>
      <c r="WYE18" s="255"/>
      <c r="WYF18" s="255"/>
      <c r="WYG18" s="255"/>
      <c r="WYH18" s="255"/>
      <c r="WYI18" s="255"/>
      <c r="WYJ18" s="255"/>
      <c r="WYK18" s="255"/>
      <c r="WYL18" s="255"/>
      <c r="WYM18" s="255"/>
      <c r="WYN18" s="255"/>
      <c r="WYO18" s="255"/>
      <c r="WYP18" s="255"/>
      <c r="WYQ18" s="255"/>
      <c r="WYR18" s="255"/>
      <c r="WYS18" s="255"/>
      <c r="WYT18" s="255"/>
      <c r="WYU18" s="255"/>
      <c r="WYV18" s="255"/>
      <c r="WYW18" s="255"/>
      <c r="WYX18" s="255"/>
      <c r="WYY18" s="255"/>
      <c r="WYZ18" s="255"/>
      <c r="WZA18" s="255"/>
      <c r="WZB18" s="255"/>
      <c r="WZC18" s="255"/>
      <c r="WZD18" s="255"/>
      <c r="WZE18" s="255"/>
      <c r="WZF18" s="255"/>
      <c r="WZG18" s="255"/>
      <c r="WZH18" s="255"/>
      <c r="WZI18" s="255"/>
      <c r="WZJ18" s="255"/>
      <c r="WZK18" s="255"/>
      <c r="WZL18" s="255"/>
      <c r="WZM18" s="255"/>
      <c r="WZN18" s="255"/>
      <c r="WZO18" s="255"/>
      <c r="WZP18" s="255"/>
      <c r="WZQ18" s="255"/>
      <c r="WZR18" s="255"/>
      <c r="WZS18" s="255"/>
      <c r="WZT18" s="255"/>
      <c r="WZU18" s="255"/>
      <c r="WZV18" s="255"/>
      <c r="WZW18" s="255"/>
      <c r="WZX18" s="255"/>
      <c r="WZY18" s="255"/>
      <c r="WZZ18" s="255"/>
      <c r="XAA18" s="255"/>
      <c r="XAB18" s="255"/>
      <c r="XAC18" s="255"/>
      <c r="XAD18" s="255"/>
      <c r="XAE18" s="255"/>
      <c r="XAF18" s="255"/>
      <c r="XAG18" s="255"/>
      <c r="XAH18" s="255"/>
      <c r="XAI18" s="255"/>
      <c r="XAJ18" s="255"/>
      <c r="XAK18" s="255"/>
      <c r="XAL18" s="255"/>
      <c r="XAM18" s="255"/>
      <c r="XAN18" s="255"/>
      <c r="XAO18" s="255"/>
      <c r="XAP18" s="255"/>
      <c r="XAQ18" s="255"/>
      <c r="XAR18" s="255"/>
      <c r="XAS18" s="255"/>
      <c r="XAT18" s="255"/>
      <c r="XAU18" s="255"/>
      <c r="XAV18" s="255"/>
      <c r="XAW18" s="255"/>
      <c r="XAX18" s="255"/>
      <c r="XAY18" s="255"/>
      <c r="XAZ18" s="255"/>
      <c r="XBA18" s="255"/>
      <c r="XBB18" s="255"/>
      <c r="XBC18" s="255"/>
      <c r="XBD18" s="255"/>
      <c r="XBE18" s="255"/>
      <c r="XBF18" s="255"/>
      <c r="XBG18" s="255"/>
      <c r="XBH18" s="255"/>
      <c r="XBI18" s="255"/>
      <c r="XBJ18" s="255"/>
      <c r="XBK18" s="255"/>
      <c r="XBL18" s="255"/>
      <c r="XBM18" s="255"/>
      <c r="XBN18" s="255"/>
      <c r="XBO18" s="255"/>
      <c r="XBP18" s="255"/>
      <c r="XBQ18" s="255"/>
      <c r="XBR18" s="255"/>
      <c r="XBS18" s="255"/>
      <c r="XBT18" s="255"/>
      <c r="XBU18" s="255"/>
      <c r="XBV18" s="255"/>
      <c r="XBW18" s="255"/>
      <c r="XBX18" s="255"/>
      <c r="XBY18" s="255"/>
      <c r="XBZ18" s="255"/>
      <c r="XCA18" s="255"/>
      <c r="XCB18" s="255"/>
      <c r="XCC18" s="255"/>
      <c r="XCD18" s="255"/>
      <c r="XCE18" s="255"/>
      <c r="XCF18" s="255"/>
      <c r="XCG18" s="255"/>
      <c r="XCH18" s="255"/>
      <c r="XCI18" s="255"/>
      <c r="XCJ18" s="255"/>
      <c r="XCK18" s="255"/>
      <c r="XCL18" s="255"/>
      <c r="XCM18" s="255"/>
      <c r="XCN18" s="255"/>
      <c r="XCO18" s="255"/>
      <c r="XCP18" s="255"/>
      <c r="XCQ18" s="255"/>
      <c r="XCR18" s="255"/>
      <c r="XCS18" s="255"/>
      <c r="XCT18" s="255"/>
      <c r="XCU18" s="255"/>
      <c r="XCV18" s="255"/>
      <c r="XCW18" s="255"/>
      <c r="XCX18" s="255"/>
      <c r="XCY18" s="255"/>
      <c r="XCZ18" s="255"/>
      <c r="XDA18" s="255"/>
      <c r="XDB18" s="255"/>
      <c r="XDC18" s="255"/>
      <c r="XDD18" s="255"/>
      <c r="XDE18" s="255"/>
      <c r="XDF18" s="255"/>
      <c r="XDG18" s="255"/>
      <c r="XDH18" s="255"/>
      <c r="XDI18" s="255"/>
      <c r="XDJ18" s="255"/>
      <c r="XDK18" s="255"/>
      <c r="XDL18" s="255"/>
      <c r="XDM18" s="255"/>
      <c r="XDN18" s="255"/>
      <c r="XDO18" s="255"/>
      <c r="XDP18" s="255"/>
      <c r="XDQ18" s="255"/>
      <c r="XDR18" s="255"/>
      <c r="XDS18" s="255"/>
      <c r="XDT18" s="255"/>
      <c r="XDU18" s="255"/>
      <c r="XDV18" s="255"/>
      <c r="XDW18" s="255"/>
      <c r="XDX18" s="255"/>
      <c r="XDY18" s="255"/>
      <c r="XDZ18" s="255"/>
      <c r="XEA18" s="255"/>
      <c r="XEB18" s="255"/>
      <c r="XEC18" s="255"/>
      <c r="XED18" s="255"/>
      <c r="XEE18" s="255"/>
      <c r="XEF18" s="255"/>
      <c r="XEG18" s="255"/>
      <c r="XEH18" s="255"/>
    </row>
    <row r="19" s="252" customFormat="1" ht="30.95" customHeight="1" spans="1:1024 1025:16362">
      <c r="A19" s="289" t="s">
        <v>229</v>
      </c>
      <c r="B19" s="289"/>
      <c r="C19" s="289"/>
      <c r="D19" s="289"/>
      <c r="E19" s="290"/>
      <c r="F19" s="290"/>
    </row>
    <row r="20" s="252" customFormat="1" ht="30.95" customHeight="1" spans="1:1024 1025:16362">
      <c r="A20" s="291" t="s">
        <v>230</v>
      </c>
      <c r="B20" s="292"/>
      <c r="C20" s="292"/>
      <c r="D20" s="175"/>
      <c r="E20" s="293"/>
      <c r="F20" s="294"/>
    </row>
    <row r="21" s="252" customFormat="1" ht="34" customHeight="1" spans="1:1024 1025:16362">
      <c r="A21" s="125" t="s">
        <v>42</v>
      </c>
      <c r="B21" s="125" t="s">
        <v>231</v>
      </c>
      <c r="C21" s="125" t="s">
        <v>232</v>
      </c>
      <c r="D21" s="125" t="s">
        <v>233</v>
      </c>
      <c r="E21" s="126" t="s">
        <v>234</v>
      </c>
      <c r="F21" s="127" t="s">
        <v>235</v>
      </c>
    </row>
    <row r="22" s="252" customFormat="1" ht="24.95" customHeight="1" spans="1:1024 1025:16362">
      <c r="A22" s="187" t="s">
        <v>16</v>
      </c>
      <c r="B22" s="187" t="s">
        <v>66</v>
      </c>
      <c r="C22" s="187" t="s">
        <v>236</v>
      </c>
      <c r="D22" s="187" t="s">
        <v>237</v>
      </c>
      <c r="E22" s="132">
        <v>2800</v>
      </c>
      <c r="F22" s="132" t="s">
        <v>238</v>
      </c>
    </row>
    <row r="23" s="252" customFormat="1" ht="24.95" customHeight="1" spans="1:1024 1025:16362">
      <c r="A23" s="187" t="s">
        <v>16</v>
      </c>
      <c r="B23" s="187" t="s">
        <v>146</v>
      </c>
      <c r="C23" s="187" t="s">
        <v>239</v>
      </c>
      <c r="D23" s="187" t="s">
        <v>240</v>
      </c>
      <c r="E23" s="132">
        <v>41</v>
      </c>
      <c r="F23" s="132" t="s">
        <v>241</v>
      </c>
    </row>
    <row r="24" s="252" customFormat="1" ht="24.95" customHeight="1" spans="1:1024 1025:16362">
      <c r="A24" s="125" t="s">
        <v>242</v>
      </c>
      <c r="B24" s="125"/>
      <c r="C24" s="125"/>
      <c r="D24" s="125"/>
      <c r="E24" s="127">
        <f>SUM(E22:E23)</f>
        <v>2841</v>
      </c>
      <c r="F24" s="127"/>
    </row>
    <row r="25" s="252" customFormat="1" ht="24.95" customHeight="1" spans="1:1024 1025:16362">
      <c r="A25" s="185" t="s">
        <v>243</v>
      </c>
      <c r="B25" s="185"/>
      <c r="C25" s="185"/>
      <c r="D25" s="185"/>
      <c r="E25" s="186"/>
      <c r="F25" s="186"/>
    </row>
    <row r="26" s="252" customFormat="1" ht="24.95" customHeight="1" spans="1:1024 1025:16362">
      <c r="A26" s="125" t="s">
        <v>42</v>
      </c>
      <c r="B26" s="125" t="s">
        <v>231</v>
      </c>
      <c r="C26" s="125" t="s">
        <v>232</v>
      </c>
      <c r="D26" s="125" t="s">
        <v>233</v>
      </c>
      <c r="E26" s="126" t="s">
        <v>234</v>
      </c>
      <c r="F26" s="127" t="s">
        <v>235</v>
      </c>
    </row>
    <row r="27" s="252" customFormat="1" customHeight="1" spans="1:1024 1025:16362">
      <c r="A27" s="187" t="s">
        <v>16</v>
      </c>
      <c r="B27" s="187" t="s">
        <v>66</v>
      </c>
      <c r="C27" s="187" t="s">
        <v>244</v>
      </c>
      <c r="D27" s="187" t="s">
        <v>245</v>
      </c>
      <c r="E27" s="132">
        <v>1500</v>
      </c>
      <c r="F27" s="132" t="s">
        <v>246</v>
      </c>
    </row>
    <row r="28" s="252" customFormat="1" customHeight="1" spans="1:1024 1025:16362">
      <c r="A28" s="187" t="s">
        <v>16</v>
      </c>
      <c r="B28" s="187" t="s">
        <v>66</v>
      </c>
      <c r="C28" s="187" t="s">
        <v>244</v>
      </c>
      <c r="D28" s="187" t="s">
        <v>247</v>
      </c>
      <c r="E28" s="132">
        <v>1000</v>
      </c>
      <c r="F28" s="132" t="s">
        <v>248</v>
      </c>
    </row>
    <row r="29" s="252" customFormat="1" ht="27" customHeight="1" spans="1:1024 1025:16362">
      <c r="A29" s="187" t="s">
        <v>16</v>
      </c>
      <c r="B29" s="187" t="s">
        <v>66</v>
      </c>
      <c r="C29" s="187" t="s">
        <v>236</v>
      </c>
      <c r="D29" s="187" t="s">
        <v>249</v>
      </c>
      <c r="E29" s="132">
        <v>1800</v>
      </c>
      <c r="F29" s="132" t="s">
        <v>250</v>
      </c>
    </row>
    <row r="30" s="252" customFormat="1" ht="31" customHeight="1" spans="1:1024 1025:16362">
      <c r="A30" s="187" t="s">
        <v>16</v>
      </c>
      <c r="B30" s="187" t="s">
        <v>66</v>
      </c>
      <c r="C30" s="187" t="s">
        <v>236</v>
      </c>
      <c r="D30" s="187" t="s">
        <v>251</v>
      </c>
      <c r="E30" s="132">
        <v>230</v>
      </c>
      <c r="F30" s="132" t="s">
        <v>252</v>
      </c>
    </row>
    <row r="31" s="252" customFormat="1" ht="24.95" customHeight="1" spans="1:1024 1025:16362">
      <c r="A31" s="125" t="s">
        <v>242</v>
      </c>
      <c r="B31" s="125"/>
      <c r="C31" s="125"/>
      <c r="D31" s="125"/>
      <c r="E31" s="127">
        <f>SUM(E27:E30)</f>
        <v>4530</v>
      </c>
      <c r="F31" s="127"/>
    </row>
    <row r="32" customFormat="1" customHeight="1" spans="1:1024 1025:16362">
      <c r="A32" s="185" t="s">
        <v>253</v>
      </c>
      <c r="B32" s="185"/>
      <c r="C32" s="185"/>
      <c r="D32" s="185"/>
      <c r="E32" s="186"/>
      <c r="F32" s="186"/>
      <c r="G32" s="252"/>
      <c r="H32" s="252"/>
      <c r="I32" s="252"/>
      <c r="J32" s="252"/>
      <c r="K32" s="252"/>
      <c r="L32" s="252"/>
      <c r="M32" s="252"/>
      <c r="N32" s="252"/>
      <c r="O32" s="252"/>
    </row>
    <row r="33" customFormat="1" customHeight="1" spans="1:15">
      <c r="A33" s="125" t="s">
        <v>42</v>
      </c>
      <c r="B33" s="125" t="s">
        <v>231</v>
      </c>
      <c r="C33" s="125" t="s">
        <v>232</v>
      </c>
      <c r="D33" s="125" t="s">
        <v>233</v>
      </c>
      <c r="E33" s="126" t="s">
        <v>234</v>
      </c>
      <c r="F33" s="127" t="s">
        <v>235</v>
      </c>
      <c r="G33" s="252"/>
      <c r="H33" s="252"/>
      <c r="I33" s="252"/>
      <c r="J33" s="252"/>
      <c r="K33" s="252"/>
      <c r="L33" s="252"/>
      <c r="M33" s="252"/>
      <c r="N33" s="252"/>
      <c r="O33" s="252"/>
    </row>
    <row r="34" customFormat="1" customHeight="1" spans="1:15">
      <c r="A34" s="187" t="s">
        <v>16</v>
      </c>
      <c r="B34" s="187" t="s">
        <v>66</v>
      </c>
      <c r="C34" s="187" t="s">
        <v>254</v>
      </c>
      <c r="D34" s="130" t="s">
        <v>255</v>
      </c>
      <c r="E34" s="132">
        <v>4000</v>
      </c>
      <c r="F34" s="132" t="s">
        <v>256</v>
      </c>
      <c r="G34" s="252"/>
      <c r="H34" s="252"/>
      <c r="I34" s="252"/>
      <c r="J34" s="252"/>
      <c r="K34" s="252"/>
      <c r="L34" s="252"/>
      <c r="M34" s="252"/>
      <c r="N34" s="252"/>
      <c r="O34" s="252"/>
    </row>
    <row r="35" customFormat="1" customHeight="1" spans="1:15">
      <c r="A35" s="187"/>
      <c r="B35" s="187"/>
      <c r="C35" s="187"/>
      <c r="D35" s="130"/>
      <c r="E35" s="132"/>
      <c r="F35" s="132"/>
      <c r="G35" s="252"/>
      <c r="H35" s="252"/>
      <c r="I35" s="252"/>
      <c r="J35" s="252"/>
      <c r="K35" s="252"/>
      <c r="L35" s="252"/>
      <c r="M35" s="252"/>
      <c r="N35" s="252"/>
      <c r="O35" s="252"/>
    </row>
    <row r="36" customHeight="1" spans="1:15">
      <c r="A36" s="125" t="s">
        <v>242</v>
      </c>
      <c r="B36" s="125"/>
      <c r="C36" s="125"/>
      <c r="D36" s="125"/>
      <c r="E36" s="127">
        <f>SUM(E34:E35)</f>
        <v>4000</v>
      </c>
      <c r="F36" s="127"/>
    </row>
    <row r="37" s="252" customFormat="1" customHeight="1" spans="1:15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285"/>
      <c r="O37" s="285"/>
    </row>
    <row r="38" s="252" customFormat="1" customHeight="1" spans="1:15">
      <c r="A38" s="182" t="s">
        <v>257</v>
      </c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284"/>
      <c r="O38" s="284"/>
    </row>
    <row r="39" s="252" customFormat="1" customHeight="1" spans="1:15">
      <c r="A39" s="286" t="s">
        <v>213</v>
      </c>
      <c r="B39" s="286" t="s">
        <v>214</v>
      </c>
      <c r="C39" s="286" t="s">
        <v>227</v>
      </c>
      <c r="D39" s="287" t="s">
        <v>258</v>
      </c>
      <c r="E39" s="287" t="s">
        <v>259</v>
      </c>
      <c r="F39" s="287" t="s">
        <v>260</v>
      </c>
      <c r="G39" s="287" t="s">
        <v>261</v>
      </c>
      <c r="H39" s="287" t="s">
        <v>262</v>
      </c>
      <c r="I39" s="287" t="s">
        <v>263</v>
      </c>
      <c r="J39" s="287" t="s">
        <v>264</v>
      </c>
      <c r="K39" s="287" t="s">
        <v>228</v>
      </c>
      <c r="L39" s="287" t="s">
        <v>265</v>
      </c>
      <c r="M39" s="287" t="s">
        <v>266</v>
      </c>
    </row>
    <row r="40" s="252" customFormat="1" customHeight="1" spans="1:15">
      <c r="A40" s="295" t="s">
        <v>16</v>
      </c>
      <c r="B40" s="295" t="s">
        <v>66</v>
      </c>
      <c r="C40" s="295" t="s">
        <v>31</v>
      </c>
      <c r="D40" s="46">
        <v>272.84</v>
      </c>
      <c r="E40" s="46">
        <v>17509.13</v>
      </c>
      <c r="F40" s="46">
        <v>18691.6</v>
      </c>
      <c r="G40" s="46">
        <v>6432.32</v>
      </c>
      <c r="H40" s="46">
        <v>98</v>
      </c>
      <c r="I40" s="46"/>
      <c r="J40" s="46">
        <v>6797.86</v>
      </c>
      <c r="K40" s="47">
        <v>49801.75</v>
      </c>
      <c r="L40" s="296">
        <f>K41/(G3*10000)</f>
        <v>0.0119178081746702</v>
      </c>
      <c r="M40" s="296" t="s">
        <v>11</v>
      </c>
    </row>
    <row r="41" s="252" customFormat="1" customHeight="1" spans="1:15">
      <c r="A41" s="295"/>
      <c r="B41" s="295"/>
      <c r="C41" s="295" t="s">
        <v>267</v>
      </c>
      <c r="D41" s="46">
        <v>1519</v>
      </c>
      <c r="E41" s="46">
        <v>77243.81</v>
      </c>
      <c r="F41" s="46">
        <v>20540.6</v>
      </c>
      <c r="G41" s="46">
        <v>40512.25</v>
      </c>
      <c r="H41" s="46">
        <v>109</v>
      </c>
      <c r="I41" s="46"/>
      <c r="J41" s="46">
        <v>6797.86</v>
      </c>
      <c r="K41" s="47">
        <v>146722.52</v>
      </c>
      <c r="L41" s="296"/>
      <c r="M41" s="296"/>
    </row>
    <row r="42" s="252" customFormat="1" customHeight="1" spans="1:15">
      <c r="A42" s="295" t="s">
        <v>16</v>
      </c>
      <c r="B42" s="295" t="s">
        <v>146</v>
      </c>
      <c r="C42" s="295" t="s">
        <v>31</v>
      </c>
      <c r="D42" s="46">
        <v>160.52</v>
      </c>
      <c r="E42" s="46">
        <v>1809.59</v>
      </c>
      <c r="F42" s="46">
        <v>733.64</v>
      </c>
      <c r="G42" s="46"/>
      <c r="H42" s="46"/>
      <c r="I42" s="46"/>
      <c r="J42" s="46">
        <v>37.83</v>
      </c>
      <c r="K42" s="47">
        <v>2741.58</v>
      </c>
      <c r="L42" s="296">
        <f>K43/(G4*10000)</f>
        <v>0.00804368562767139</v>
      </c>
      <c r="M42" s="296" t="s">
        <v>11</v>
      </c>
    </row>
    <row r="43" s="252" customFormat="1" customHeight="1" spans="1:15">
      <c r="A43" s="295"/>
      <c r="B43" s="295"/>
      <c r="C43" s="295" t="s">
        <v>267</v>
      </c>
      <c r="D43" s="46">
        <v>245.89</v>
      </c>
      <c r="E43" s="46">
        <v>32380.1</v>
      </c>
      <c r="F43" s="46">
        <v>3341.37</v>
      </c>
      <c r="G43" s="46">
        <v>6095.06</v>
      </c>
      <c r="H43" s="46"/>
      <c r="I43" s="46"/>
      <c r="J43" s="46">
        <v>656.79</v>
      </c>
      <c r="K43" s="47">
        <v>42719.21</v>
      </c>
      <c r="L43" s="296"/>
      <c r="M43" s="296"/>
    </row>
    <row r="44" s="252" customFormat="1" customHeight="1" spans="1:15">
      <c r="A44" s="295" t="s">
        <v>16</v>
      </c>
      <c r="B44" s="295" t="s">
        <v>224</v>
      </c>
      <c r="C44" s="295" t="s">
        <v>31</v>
      </c>
      <c r="D44" s="297"/>
      <c r="E44" s="297"/>
      <c r="F44" s="297"/>
      <c r="G44" s="297"/>
      <c r="H44" s="297"/>
      <c r="I44" s="297"/>
      <c r="J44" s="297"/>
      <c r="K44" s="297">
        <v>0</v>
      </c>
      <c r="L44" s="296"/>
      <c r="M44" s="296"/>
    </row>
    <row r="45" s="252" customFormat="1" customHeight="1" spans="1:15">
      <c r="A45" s="295"/>
      <c r="B45" s="295"/>
      <c r="C45" s="295" t="s">
        <v>267</v>
      </c>
      <c r="D45" s="297"/>
      <c r="E45" s="297">
        <v>689</v>
      </c>
      <c r="F45" s="297"/>
      <c r="G45" s="297"/>
      <c r="H45" s="297"/>
      <c r="I45" s="297"/>
      <c r="J45" s="297"/>
      <c r="K45" s="297">
        <v>689</v>
      </c>
      <c r="L45" s="296"/>
      <c r="M45" s="296"/>
    </row>
    <row r="46" s="252" customFormat="1" customHeight="1" spans="1:15">
      <c r="A46" s="286" t="s">
        <v>228</v>
      </c>
      <c r="B46" s="286"/>
      <c r="C46" s="295" t="s">
        <v>31</v>
      </c>
      <c r="D46" s="297">
        <f>D40+D42+D44</f>
        <v>433.36</v>
      </c>
      <c r="E46" s="297">
        <f t="shared" ref="E46:K46" si="3">E40+E42+E44</f>
        <v>19318.72</v>
      </c>
      <c r="F46" s="297">
        <f t="shared" si="3"/>
        <v>19425.24</v>
      </c>
      <c r="G46" s="297">
        <f t="shared" si="3"/>
        <v>6432.32</v>
      </c>
      <c r="H46" s="297">
        <f t="shared" si="3"/>
        <v>98</v>
      </c>
      <c r="I46" s="297">
        <f t="shared" si="3"/>
        <v>0</v>
      </c>
      <c r="J46" s="297">
        <f t="shared" si="3"/>
        <v>6835.69</v>
      </c>
      <c r="K46" s="297">
        <f t="shared" si="3"/>
        <v>52543.33</v>
      </c>
      <c r="L46" s="296">
        <f>K47/(G6*10000)</f>
        <v>0.010789334415308</v>
      </c>
      <c r="M46" s="296" t="s">
        <v>11</v>
      </c>
    </row>
    <row r="47" s="252" customFormat="1" customHeight="1" spans="1:15">
      <c r="A47" s="286"/>
      <c r="B47" s="286"/>
      <c r="C47" s="286" t="s">
        <v>267</v>
      </c>
      <c r="D47" s="297">
        <f>D41+D43+D45</f>
        <v>1764.89</v>
      </c>
      <c r="E47" s="297">
        <f t="shared" ref="E47:K47" si="4">E41+E43+E45</f>
        <v>110312.91</v>
      </c>
      <c r="F47" s="297">
        <f t="shared" si="4"/>
        <v>23881.97</v>
      </c>
      <c r="G47" s="297">
        <f t="shared" si="4"/>
        <v>46607.31</v>
      </c>
      <c r="H47" s="297">
        <f t="shared" si="4"/>
        <v>109</v>
      </c>
      <c r="I47" s="297">
        <f t="shared" si="4"/>
        <v>0</v>
      </c>
      <c r="J47" s="297">
        <f t="shared" si="4"/>
        <v>7454.65</v>
      </c>
      <c r="K47" s="297">
        <f t="shared" si="4"/>
        <v>190130.73</v>
      </c>
      <c r="L47" s="296"/>
      <c r="M47" s="296"/>
    </row>
    <row r="49" s="252" customFormat="1" customHeight="1" spans="1:1024 1025:16362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  <c r="AA49" s="255"/>
      <c r="AB49" s="255"/>
      <c r="AC49" s="255"/>
      <c r="AD49" s="255"/>
      <c r="AE49" s="255"/>
      <c r="AF49" s="255"/>
      <c r="AG49" s="255"/>
      <c r="AH49" s="255"/>
      <c r="AI49" s="255"/>
      <c r="AJ49" s="255"/>
      <c r="AK49" s="255"/>
      <c r="AL49" s="255"/>
      <c r="AM49" s="255"/>
      <c r="AN49" s="255"/>
      <c r="AO49" s="255"/>
      <c r="AP49" s="255"/>
      <c r="AQ49" s="255"/>
      <c r="AR49" s="255"/>
      <c r="AS49" s="255"/>
      <c r="AT49" s="255"/>
      <c r="AU49" s="255"/>
      <c r="AV49" s="255"/>
      <c r="AW49" s="255"/>
      <c r="AX49" s="255"/>
      <c r="AY49" s="255"/>
      <c r="AZ49" s="255"/>
      <c r="BA49" s="255"/>
      <c r="BB49" s="255"/>
      <c r="BC49" s="255"/>
      <c r="BD49" s="255"/>
      <c r="BE49" s="255"/>
      <c r="BF49" s="255"/>
      <c r="BG49" s="255"/>
      <c r="BH49" s="255"/>
      <c r="BI49" s="255"/>
      <c r="BJ49" s="255"/>
      <c r="BK49" s="255"/>
      <c r="BL49" s="255"/>
      <c r="BM49" s="255"/>
      <c r="BN49" s="255"/>
      <c r="BO49" s="255"/>
      <c r="BP49" s="255"/>
      <c r="BQ49" s="255"/>
      <c r="BR49" s="255"/>
      <c r="BS49" s="255"/>
      <c r="BT49" s="255"/>
      <c r="BU49" s="255"/>
      <c r="BV49" s="255"/>
      <c r="BW49" s="255"/>
      <c r="BX49" s="255"/>
      <c r="BY49" s="255"/>
      <c r="BZ49" s="255"/>
      <c r="CA49" s="255"/>
      <c r="CB49" s="255"/>
      <c r="CC49" s="255"/>
      <c r="CD49" s="255"/>
      <c r="CE49" s="255"/>
      <c r="CF49" s="255"/>
      <c r="CG49" s="255"/>
      <c r="CH49" s="255"/>
      <c r="CI49" s="255"/>
      <c r="CJ49" s="255"/>
      <c r="CK49" s="255"/>
      <c r="CL49" s="255"/>
      <c r="CM49" s="255"/>
      <c r="CN49" s="255"/>
      <c r="CO49" s="255"/>
      <c r="CP49" s="255"/>
      <c r="CQ49" s="255"/>
      <c r="CR49" s="255"/>
      <c r="CS49" s="255"/>
      <c r="CT49" s="255"/>
      <c r="CU49" s="255"/>
      <c r="CV49" s="255"/>
      <c r="CW49" s="255"/>
      <c r="CX49" s="255"/>
      <c r="CY49" s="255"/>
      <c r="CZ49" s="255"/>
      <c r="DA49" s="255"/>
      <c r="DB49" s="255"/>
      <c r="DC49" s="255"/>
      <c r="DD49" s="255"/>
      <c r="DE49" s="255"/>
      <c r="DF49" s="255"/>
      <c r="DG49" s="255"/>
      <c r="DH49" s="255"/>
      <c r="DI49" s="255"/>
      <c r="DJ49" s="255"/>
      <c r="DK49" s="255"/>
      <c r="DL49" s="255"/>
      <c r="DM49" s="255"/>
      <c r="DN49" s="255"/>
      <c r="DO49" s="255"/>
      <c r="DP49" s="255"/>
      <c r="DQ49" s="255"/>
      <c r="DR49" s="255"/>
      <c r="DS49" s="255"/>
      <c r="DT49" s="255"/>
      <c r="DU49" s="255"/>
      <c r="DV49" s="255"/>
      <c r="DW49" s="255"/>
      <c r="DX49" s="255"/>
      <c r="DY49" s="255"/>
      <c r="DZ49" s="255"/>
      <c r="EA49" s="255"/>
      <c r="EB49" s="255"/>
      <c r="EC49" s="255"/>
      <c r="ED49" s="255"/>
      <c r="EE49" s="255"/>
      <c r="EF49" s="255"/>
      <c r="EG49" s="255"/>
      <c r="EH49" s="255"/>
      <c r="EI49" s="255"/>
      <c r="EJ49" s="255"/>
      <c r="EK49" s="255"/>
      <c r="EL49" s="255"/>
      <c r="EM49" s="255"/>
      <c r="EN49" s="255"/>
      <c r="EO49" s="255"/>
      <c r="EP49" s="255"/>
      <c r="EQ49" s="255"/>
      <c r="ER49" s="255"/>
      <c r="ES49" s="255"/>
      <c r="ET49" s="255"/>
      <c r="EU49" s="255"/>
      <c r="EV49" s="255"/>
      <c r="EW49" s="255"/>
      <c r="EX49" s="255"/>
      <c r="EY49" s="255"/>
      <c r="EZ49" s="255"/>
      <c r="FA49" s="255"/>
      <c r="FB49" s="255"/>
      <c r="FC49" s="255"/>
      <c r="FD49" s="255"/>
      <c r="FE49" s="255"/>
      <c r="FF49" s="255"/>
      <c r="FG49" s="255"/>
      <c r="FH49" s="255"/>
      <c r="FI49" s="255"/>
      <c r="FJ49" s="255"/>
      <c r="FK49" s="255"/>
      <c r="FL49" s="255"/>
      <c r="FM49" s="255"/>
      <c r="FN49" s="255"/>
      <c r="FO49" s="255"/>
      <c r="FP49" s="255"/>
      <c r="FQ49" s="255"/>
      <c r="FR49" s="255"/>
      <c r="FS49" s="255"/>
      <c r="FT49" s="255"/>
      <c r="FU49" s="255"/>
      <c r="FV49" s="255"/>
      <c r="FW49" s="255"/>
      <c r="FX49" s="255"/>
      <c r="FY49" s="255"/>
      <c r="FZ49" s="255"/>
      <c r="GA49" s="255"/>
      <c r="GB49" s="255"/>
      <c r="GC49" s="255"/>
      <c r="GD49" s="255"/>
      <c r="GE49" s="255"/>
      <c r="GF49" s="255"/>
      <c r="GG49" s="255"/>
      <c r="GH49" s="255"/>
      <c r="GI49" s="255"/>
      <c r="GJ49" s="255"/>
      <c r="GK49" s="255"/>
      <c r="GL49" s="255"/>
      <c r="GM49" s="255"/>
      <c r="GN49" s="255"/>
      <c r="GO49" s="255"/>
      <c r="GP49" s="255"/>
      <c r="GQ49" s="255"/>
      <c r="GR49" s="255"/>
      <c r="GS49" s="255"/>
      <c r="GT49" s="255"/>
      <c r="GU49" s="255"/>
      <c r="GV49" s="255"/>
      <c r="GW49" s="255"/>
      <c r="GX49" s="255"/>
      <c r="GY49" s="255"/>
      <c r="GZ49" s="255"/>
      <c r="HA49" s="255"/>
      <c r="HB49" s="255"/>
      <c r="HC49" s="255"/>
      <c r="HD49" s="255"/>
      <c r="HE49" s="255"/>
      <c r="HF49" s="255"/>
      <c r="HG49" s="255"/>
      <c r="HH49" s="255"/>
      <c r="HI49" s="255"/>
      <c r="HJ49" s="255"/>
      <c r="HK49" s="255"/>
      <c r="HL49" s="255"/>
      <c r="HM49" s="255"/>
      <c r="HN49" s="255"/>
      <c r="HO49" s="255"/>
      <c r="HP49" s="255"/>
      <c r="HQ49" s="255"/>
      <c r="HR49" s="255"/>
      <c r="HS49" s="255"/>
      <c r="HT49" s="255"/>
      <c r="HU49" s="255"/>
      <c r="HV49" s="255"/>
      <c r="HW49" s="255"/>
      <c r="HX49" s="255"/>
      <c r="HY49" s="255"/>
      <c r="HZ49" s="255"/>
      <c r="IA49" s="255"/>
      <c r="IB49" s="255"/>
      <c r="IC49" s="255"/>
      <c r="ID49" s="255"/>
      <c r="IE49" s="255"/>
      <c r="IF49" s="255"/>
      <c r="IG49" s="255"/>
      <c r="IH49" s="255"/>
      <c r="II49" s="255"/>
      <c r="IJ49" s="255"/>
      <c r="IK49" s="255"/>
      <c r="IL49" s="255"/>
      <c r="IM49" s="255"/>
      <c r="IN49" s="255"/>
      <c r="IO49" s="255"/>
      <c r="IP49" s="255"/>
      <c r="IQ49" s="255"/>
      <c r="IR49" s="255"/>
      <c r="IS49" s="255"/>
      <c r="IT49" s="255"/>
      <c r="IU49" s="255"/>
      <c r="IV49" s="255"/>
      <c r="IW49" s="255"/>
      <c r="IX49" s="255"/>
      <c r="IY49" s="255"/>
      <c r="IZ49" s="255"/>
      <c r="JA49" s="255"/>
      <c r="JB49" s="255"/>
      <c r="JC49" s="255"/>
      <c r="JD49" s="255"/>
      <c r="JE49" s="255"/>
      <c r="JF49" s="255"/>
      <c r="JG49" s="255"/>
      <c r="JH49" s="255"/>
      <c r="JI49" s="255"/>
      <c r="JJ49" s="255"/>
      <c r="JK49" s="255"/>
      <c r="JL49" s="255"/>
      <c r="JM49" s="255"/>
      <c r="JN49" s="255"/>
      <c r="JO49" s="255"/>
      <c r="JP49" s="255"/>
      <c r="JQ49" s="255"/>
      <c r="JR49" s="255"/>
      <c r="JS49" s="255"/>
      <c r="JT49" s="255"/>
      <c r="JU49" s="255"/>
      <c r="JV49" s="255"/>
      <c r="JW49" s="255"/>
      <c r="JX49" s="255"/>
      <c r="JY49" s="255"/>
      <c r="JZ49" s="255"/>
      <c r="KA49" s="255"/>
      <c r="KB49" s="255"/>
      <c r="KC49" s="255"/>
      <c r="KD49" s="255"/>
      <c r="KE49" s="255"/>
      <c r="KF49" s="255"/>
      <c r="KG49" s="255"/>
      <c r="KH49" s="255"/>
      <c r="KI49" s="255"/>
      <c r="KJ49" s="255"/>
      <c r="KK49" s="255"/>
      <c r="KL49" s="255"/>
      <c r="KM49" s="255"/>
      <c r="KN49" s="255"/>
      <c r="KO49" s="255"/>
      <c r="KP49" s="255"/>
      <c r="KQ49" s="255"/>
      <c r="KR49" s="255"/>
      <c r="KS49" s="255"/>
      <c r="KT49" s="255"/>
      <c r="KU49" s="255"/>
      <c r="KV49" s="255"/>
      <c r="KW49" s="255"/>
      <c r="KX49" s="255"/>
      <c r="KY49" s="255"/>
      <c r="KZ49" s="255"/>
      <c r="LA49" s="255"/>
      <c r="LB49" s="255"/>
      <c r="LC49" s="255"/>
      <c r="LD49" s="255"/>
      <c r="LE49" s="255"/>
      <c r="LF49" s="255"/>
      <c r="LG49" s="255"/>
      <c r="LH49" s="255"/>
      <c r="LI49" s="255"/>
      <c r="LJ49" s="255"/>
      <c r="LK49" s="255"/>
      <c r="LL49" s="255"/>
      <c r="LM49" s="255"/>
      <c r="LN49" s="255"/>
      <c r="LO49" s="255"/>
      <c r="LP49" s="255"/>
      <c r="LQ49" s="255"/>
      <c r="LR49" s="255"/>
      <c r="LS49" s="255"/>
      <c r="LT49" s="255"/>
      <c r="LU49" s="255"/>
      <c r="LV49" s="255"/>
      <c r="LW49" s="255"/>
      <c r="LX49" s="255"/>
      <c r="LY49" s="255"/>
      <c r="LZ49" s="255"/>
      <c r="MA49" s="255"/>
      <c r="MB49" s="255"/>
      <c r="MC49" s="255"/>
      <c r="MD49" s="255"/>
      <c r="ME49" s="255"/>
      <c r="MF49" s="255"/>
      <c r="MG49" s="255"/>
      <c r="MH49" s="255"/>
      <c r="MI49" s="255"/>
      <c r="MJ49" s="255"/>
      <c r="MK49" s="255"/>
      <c r="ML49" s="255"/>
      <c r="MM49" s="255"/>
      <c r="MN49" s="255"/>
      <c r="MO49" s="255"/>
      <c r="MP49" s="255"/>
      <c r="MQ49" s="255"/>
      <c r="MR49" s="255"/>
      <c r="MS49" s="255"/>
      <c r="MT49" s="255"/>
      <c r="MU49" s="255"/>
      <c r="MV49" s="255"/>
      <c r="MW49" s="255"/>
      <c r="MX49" s="255"/>
      <c r="MY49" s="255"/>
      <c r="MZ49" s="255"/>
      <c r="NA49" s="255"/>
      <c r="NB49" s="255"/>
      <c r="NC49" s="255"/>
      <c r="ND49" s="255"/>
      <c r="NE49" s="255"/>
      <c r="NF49" s="255"/>
      <c r="NG49" s="255"/>
      <c r="NH49" s="255"/>
      <c r="NI49" s="255"/>
      <c r="NJ49" s="255"/>
      <c r="NK49" s="255"/>
      <c r="NL49" s="255"/>
      <c r="NM49" s="255"/>
      <c r="NN49" s="255"/>
      <c r="NO49" s="255"/>
      <c r="NP49" s="255"/>
      <c r="NQ49" s="255"/>
      <c r="NR49" s="255"/>
      <c r="NS49" s="255"/>
      <c r="NT49" s="255"/>
      <c r="NU49" s="255"/>
      <c r="NV49" s="255"/>
      <c r="NW49" s="255"/>
      <c r="NX49" s="255"/>
      <c r="NY49" s="255"/>
      <c r="NZ49" s="255"/>
      <c r="OA49" s="255"/>
      <c r="OB49" s="255"/>
      <c r="OC49" s="255"/>
      <c r="OD49" s="255"/>
      <c r="OE49" s="255"/>
      <c r="OF49" s="255"/>
      <c r="OG49" s="255"/>
      <c r="OH49" s="255"/>
      <c r="OI49" s="255"/>
      <c r="OJ49" s="255"/>
      <c r="OK49" s="255"/>
      <c r="OL49" s="255"/>
      <c r="OM49" s="255"/>
      <c r="ON49" s="255"/>
      <c r="OO49" s="255"/>
      <c r="OP49" s="255"/>
      <c r="OQ49" s="255"/>
      <c r="OR49" s="255"/>
      <c r="OS49" s="255"/>
      <c r="OT49" s="255"/>
      <c r="OU49" s="255"/>
      <c r="OV49" s="255"/>
      <c r="OW49" s="255"/>
      <c r="OX49" s="255"/>
      <c r="OY49" s="255"/>
      <c r="OZ49" s="255"/>
      <c r="PA49" s="255"/>
      <c r="PB49" s="255"/>
      <c r="PC49" s="255"/>
      <c r="PD49" s="255"/>
      <c r="PE49" s="255"/>
      <c r="PF49" s="255"/>
      <c r="PG49" s="255"/>
      <c r="PH49" s="255"/>
      <c r="PI49" s="255"/>
      <c r="PJ49" s="255"/>
      <c r="PK49" s="255"/>
      <c r="PL49" s="255"/>
      <c r="PM49" s="255"/>
      <c r="PN49" s="255"/>
      <c r="PO49" s="255"/>
      <c r="PP49" s="255"/>
      <c r="PQ49" s="255"/>
      <c r="PR49" s="255"/>
      <c r="PS49" s="255"/>
      <c r="PT49" s="255"/>
      <c r="PU49" s="255"/>
      <c r="PV49" s="255"/>
      <c r="PW49" s="255"/>
      <c r="PX49" s="255"/>
      <c r="PY49" s="255"/>
      <c r="PZ49" s="255"/>
      <c r="QA49" s="255"/>
      <c r="QB49" s="255"/>
      <c r="QC49" s="255"/>
      <c r="QD49" s="255"/>
      <c r="QE49" s="255"/>
      <c r="QF49" s="255"/>
      <c r="QG49" s="255"/>
      <c r="QH49" s="255"/>
      <c r="QI49" s="255"/>
      <c r="QJ49" s="255"/>
      <c r="QK49" s="255"/>
      <c r="QL49" s="255"/>
      <c r="QM49" s="255"/>
      <c r="QN49" s="255"/>
      <c r="QO49" s="255"/>
      <c r="QP49" s="255"/>
      <c r="QQ49" s="255"/>
      <c r="QR49" s="255"/>
      <c r="QS49" s="255"/>
      <c r="QT49" s="255"/>
      <c r="QU49" s="255"/>
      <c r="QV49" s="255"/>
      <c r="QW49" s="255"/>
      <c r="QX49" s="255"/>
      <c r="QY49" s="255"/>
      <c r="QZ49" s="255"/>
      <c r="RA49" s="255"/>
      <c r="RB49" s="255"/>
      <c r="RC49" s="255"/>
      <c r="RD49" s="255"/>
      <c r="RE49" s="255"/>
      <c r="RF49" s="255"/>
      <c r="RG49" s="255"/>
      <c r="RH49" s="255"/>
      <c r="RI49" s="255"/>
      <c r="RJ49" s="255"/>
      <c r="RK49" s="255"/>
      <c r="RL49" s="255"/>
      <c r="RM49" s="255"/>
      <c r="RN49" s="255"/>
      <c r="RO49" s="255"/>
      <c r="RP49" s="255"/>
      <c r="RQ49" s="255"/>
      <c r="RR49" s="255"/>
      <c r="RS49" s="255"/>
      <c r="RT49" s="255"/>
      <c r="RU49" s="255"/>
      <c r="RV49" s="255"/>
      <c r="RW49" s="255"/>
      <c r="RX49" s="255"/>
      <c r="RY49" s="255"/>
      <c r="RZ49" s="255"/>
      <c r="SA49" s="255"/>
      <c r="SB49" s="255"/>
      <c r="SC49" s="255"/>
      <c r="SD49" s="255"/>
      <c r="SE49" s="255"/>
      <c r="SF49" s="255"/>
      <c r="SG49" s="255"/>
      <c r="SH49" s="255"/>
      <c r="SI49" s="255"/>
      <c r="SJ49" s="255"/>
      <c r="SK49" s="255"/>
      <c r="SL49" s="255"/>
      <c r="SM49" s="255"/>
      <c r="SN49" s="255"/>
      <c r="SO49" s="255"/>
      <c r="SP49" s="255"/>
      <c r="SQ49" s="255"/>
      <c r="SR49" s="255"/>
      <c r="SS49" s="255"/>
      <c r="ST49" s="255"/>
      <c r="SU49" s="255"/>
      <c r="SV49" s="255"/>
      <c r="SW49" s="255"/>
      <c r="SX49" s="255"/>
      <c r="SY49" s="255"/>
      <c r="SZ49" s="255"/>
      <c r="TA49" s="255"/>
      <c r="TB49" s="255"/>
      <c r="TC49" s="255"/>
      <c r="TD49" s="255"/>
      <c r="TE49" s="255"/>
      <c r="TF49" s="255"/>
      <c r="TG49" s="255"/>
      <c r="TH49" s="255"/>
      <c r="TI49" s="255"/>
      <c r="TJ49" s="255"/>
      <c r="TK49" s="255"/>
      <c r="TL49" s="255"/>
      <c r="TM49" s="255"/>
      <c r="TN49" s="255"/>
      <c r="TO49" s="255"/>
      <c r="TP49" s="255"/>
      <c r="TQ49" s="255"/>
      <c r="TR49" s="255"/>
      <c r="TS49" s="255"/>
      <c r="TT49" s="255"/>
      <c r="TU49" s="255"/>
      <c r="TV49" s="255"/>
      <c r="TW49" s="255"/>
      <c r="TX49" s="255"/>
      <c r="TY49" s="255"/>
      <c r="TZ49" s="255"/>
      <c r="UA49" s="255"/>
      <c r="UB49" s="255"/>
      <c r="UC49" s="255"/>
      <c r="UD49" s="255"/>
      <c r="UE49" s="255"/>
      <c r="UF49" s="255"/>
      <c r="UG49" s="255"/>
      <c r="UH49" s="255"/>
      <c r="UI49" s="255"/>
      <c r="UJ49" s="255"/>
      <c r="UK49" s="255"/>
      <c r="UL49" s="255"/>
      <c r="UM49" s="255"/>
      <c r="UN49" s="255"/>
      <c r="UO49" s="255"/>
      <c r="UP49" s="255"/>
      <c r="UQ49" s="255"/>
      <c r="UR49" s="255"/>
      <c r="US49" s="255"/>
      <c r="UT49" s="255"/>
      <c r="UU49" s="255"/>
      <c r="UV49" s="255"/>
      <c r="UW49" s="255"/>
      <c r="UX49" s="255"/>
      <c r="UY49" s="255"/>
      <c r="UZ49" s="255"/>
      <c r="VA49" s="255"/>
      <c r="VB49" s="255"/>
      <c r="VC49" s="255"/>
      <c r="VD49" s="255"/>
      <c r="VE49" s="255"/>
      <c r="VF49" s="255"/>
      <c r="VG49" s="255"/>
      <c r="VH49" s="255"/>
      <c r="VI49" s="255"/>
      <c r="VJ49" s="255"/>
      <c r="VK49" s="255"/>
      <c r="VL49" s="255"/>
      <c r="VM49" s="255"/>
      <c r="VN49" s="255"/>
      <c r="VO49" s="255"/>
      <c r="VP49" s="255"/>
      <c r="VQ49" s="255"/>
      <c r="VR49" s="255"/>
      <c r="VS49" s="255"/>
      <c r="VT49" s="255"/>
      <c r="VU49" s="255"/>
      <c r="VV49" s="255"/>
      <c r="VW49" s="255"/>
      <c r="VX49" s="255"/>
      <c r="VY49" s="255"/>
      <c r="VZ49" s="255"/>
      <c r="WA49" s="255"/>
      <c r="WB49" s="255"/>
      <c r="WC49" s="255"/>
      <c r="WD49" s="255"/>
      <c r="WE49" s="255"/>
      <c r="WF49" s="255"/>
      <c r="WG49" s="255"/>
      <c r="WH49" s="255"/>
      <c r="WI49" s="255"/>
      <c r="WJ49" s="255"/>
      <c r="WK49" s="255"/>
      <c r="WL49" s="255"/>
      <c r="WM49" s="255"/>
      <c r="WN49" s="255"/>
      <c r="WO49" s="255"/>
      <c r="WP49" s="255"/>
      <c r="WQ49" s="255"/>
      <c r="WR49" s="255"/>
      <c r="WS49" s="255"/>
      <c r="WT49" s="255"/>
      <c r="WU49" s="255"/>
      <c r="WV49" s="255"/>
      <c r="WW49" s="255"/>
      <c r="WX49" s="255"/>
      <c r="WY49" s="255"/>
      <c r="WZ49" s="255"/>
      <c r="XA49" s="255"/>
      <c r="XB49" s="255"/>
      <c r="XC49" s="255"/>
      <c r="XD49" s="255"/>
      <c r="XE49" s="255"/>
      <c r="XF49" s="255"/>
      <c r="XG49" s="255"/>
      <c r="XH49" s="255"/>
      <c r="XI49" s="255"/>
      <c r="XJ49" s="255"/>
      <c r="XK49" s="255"/>
      <c r="XL49" s="255"/>
      <c r="XM49" s="255"/>
      <c r="XN49" s="255"/>
      <c r="XO49" s="255"/>
      <c r="XP49" s="255"/>
      <c r="XQ49" s="255"/>
      <c r="XR49" s="255"/>
      <c r="XS49" s="255"/>
      <c r="XT49" s="255"/>
      <c r="XU49" s="255"/>
      <c r="XV49" s="255"/>
      <c r="XW49" s="255"/>
      <c r="XX49" s="255"/>
      <c r="XY49" s="255"/>
      <c r="XZ49" s="255"/>
      <c r="YA49" s="255"/>
      <c r="YB49" s="255"/>
      <c r="YC49" s="255"/>
      <c r="YD49" s="255"/>
      <c r="YE49" s="255"/>
      <c r="YF49" s="255"/>
      <c r="YG49" s="255"/>
      <c r="YH49" s="255"/>
      <c r="YI49" s="255"/>
      <c r="YJ49" s="255"/>
      <c r="YK49" s="255"/>
      <c r="YL49" s="255"/>
      <c r="YM49" s="255"/>
      <c r="YN49" s="255"/>
      <c r="YO49" s="255"/>
      <c r="YP49" s="255"/>
      <c r="YQ49" s="255"/>
      <c r="YR49" s="255"/>
      <c r="YS49" s="255"/>
      <c r="YT49" s="255"/>
      <c r="YU49" s="255"/>
      <c r="YV49" s="255"/>
      <c r="YW49" s="255"/>
      <c r="YX49" s="255"/>
      <c r="YY49" s="255"/>
      <c r="YZ49" s="255"/>
      <c r="ZA49" s="255"/>
      <c r="ZB49" s="255"/>
      <c r="ZC49" s="255"/>
      <c r="ZD49" s="255"/>
      <c r="ZE49" s="255"/>
      <c r="ZF49" s="255"/>
      <c r="ZG49" s="255"/>
      <c r="ZH49" s="255"/>
      <c r="ZI49" s="255"/>
      <c r="ZJ49" s="255"/>
      <c r="ZK49" s="255"/>
      <c r="ZL49" s="255"/>
      <c r="ZM49" s="255"/>
      <c r="ZN49" s="255"/>
      <c r="ZO49" s="255"/>
      <c r="ZP49" s="255"/>
      <c r="ZQ49" s="255"/>
      <c r="ZR49" s="255"/>
      <c r="ZS49" s="255"/>
      <c r="ZT49" s="255"/>
      <c r="ZU49" s="255"/>
      <c r="ZV49" s="255"/>
      <c r="ZW49" s="255"/>
      <c r="ZX49" s="255"/>
      <c r="ZY49" s="255"/>
      <c r="ZZ49" s="255"/>
      <c r="AAA49" s="255"/>
      <c r="AAB49" s="255"/>
      <c r="AAC49" s="255"/>
      <c r="AAD49" s="255"/>
      <c r="AAE49" s="255"/>
      <c r="AAF49" s="255"/>
      <c r="AAG49" s="255"/>
      <c r="AAH49" s="255"/>
      <c r="AAI49" s="255"/>
      <c r="AAJ49" s="255"/>
      <c r="AAK49" s="255"/>
      <c r="AAL49" s="255"/>
      <c r="AAM49" s="255"/>
      <c r="AAN49" s="255"/>
      <c r="AAO49" s="255"/>
      <c r="AAP49" s="255"/>
      <c r="AAQ49" s="255"/>
      <c r="AAR49" s="255"/>
      <c r="AAS49" s="255"/>
      <c r="AAT49" s="255"/>
      <c r="AAU49" s="255"/>
      <c r="AAV49" s="255"/>
      <c r="AAW49" s="255"/>
      <c r="AAX49" s="255"/>
      <c r="AAY49" s="255"/>
      <c r="AAZ49" s="255"/>
      <c r="ABA49" s="255"/>
      <c r="ABB49" s="255"/>
      <c r="ABC49" s="255"/>
      <c r="ABD49" s="255"/>
      <c r="ABE49" s="255"/>
      <c r="ABF49" s="255"/>
      <c r="ABG49" s="255"/>
      <c r="ABH49" s="255"/>
      <c r="ABI49" s="255"/>
      <c r="ABJ49" s="255"/>
      <c r="ABK49" s="255"/>
      <c r="ABL49" s="255"/>
      <c r="ABM49" s="255"/>
      <c r="ABN49" s="255"/>
      <c r="ABO49" s="255"/>
      <c r="ABP49" s="255"/>
      <c r="ABQ49" s="255"/>
      <c r="ABR49" s="255"/>
      <c r="ABS49" s="255"/>
      <c r="ABT49" s="255"/>
      <c r="ABU49" s="255"/>
      <c r="ABV49" s="255"/>
      <c r="ABW49" s="255"/>
      <c r="ABX49" s="255"/>
      <c r="ABY49" s="255"/>
      <c r="ABZ49" s="255"/>
      <c r="ACA49" s="255"/>
      <c r="ACB49" s="255"/>
      <c r="ACC49" s="255"/>
      <c r="ACD49" s="255"/>
      <c r="ACE49" s="255"/>
      <c r="ACF49" s="255"/>
      <c r="ACG49" s="255"/>
      <c r="ACH49" s="255"/>
      <c r="ACI49" s="255"/>
      <c r="ACJ49" s="255"/>
      <c r="ACK49" s="255"/>
      <c r="ACL49" s="255"/>
      <c r="ACM49" s="255"/>
      <c r="ACN49" s="255"/>
      <c r="ACO49" s="255"/>
      <c r="ACP49" s="255"/>
      <c r="ACQ49" s="255"/>
      <c r="ACR49" s="255"/>
      <c r="ACS49" s="255"/>
      <c r="ACT49" s="255"/>
      <c r="ACU49" s="255"/>
      <c r="ACV49" s="255"/>
      <c r="ACW49" s="255"/>
      <c r="ACX49" s="255"/>
      <c r="ACY49" s="255"/>
      <c r="ACZ49" s="255"/>
      <c r="ADA49" s="255"/>
      <c r="ADB49" s="255"/>
      <c r="ADC49" s="255"/>
      <c r="ADD49" s="255"/>
      <c r="ADE49" s="255"/>
      <c r="ADF49" s="255"/>
      <c r="ADG49" s="255"/>
      <c r="ADH49" s="255"/>
      <c r="ADI49" s="255"/>
      <c r="ADJ49" s="255"/>
      <c r="ADK49" s="255"/>
      <c r="ADL49" s="255"/>
      <c r="ADM49" s="255"/>
      <c r="ADN49" s="255"/>
      <c r="ADO49" s="255"/>
      <c r="ADP49" s="255"/>
      <c r="ADQ49" s="255"/>
      <c r="ADR49" s="255"/>
      <c r="ADS49" s="255"/>
      <c r="ADT49" s="255"/>
      <c r="ADU49" s="255"/>
      <c r="ADV49" s="255"/>
      <c r="ADW49" s="255"/>
      <c r="ADX49" s="255"/>
      <c r="ADY49" s="255"/>
      <c r="ADZ49" s="255"/>
      <c r="AEA49" s="255"/>
      <c r="AEB49" s="255"/>
      <c r="AEC49" s="255"/>
      <c r="AED49" s="255"/>
      <c r="AEE49" s="255"/>
      <c r="AEF49" s="255"/>
      <c r="AEG49" s="255"/>
      <c r="AEH49" s="255"/>
      <c r="AEI49" s="255"/>
      <c r="AEJ49" s="255"/>
      <c r="AEK49" s="255"/>
      <c r="AEL49" s="255"/>
      <c r="AEM49" s="255"/>
      <c r="AEN49" s="255"/>
      <c r="AEO49" s="255"/>
      <c r="AEP49" s="255"/>
      <c r="AEQ49" s="255"/>
      <c r="AER49" s="255"/>
      <c r="AES49" s="255"/>
      <c r="AET49" s="255"/>
      <c r="AEU49" s="255"/>
      <c r="AEV49" s="255"/>
      <c r="AEW49" s="255"/>
      <c r="AEX49" s="255"/>
      <c r="AEY49" s="255"/>
      <c r="AEZ49" s="255"/>
      <c r="AFA49" s="255"/>
      <c r="AFB49" s="255"/>
      <c r="AFC49" s="255"/>
      <c r="AFD49" s="255"/>
      <c r="AFE49" s="255"/>
      <c r="AFF49" s="255"/>
      <c r="AFG49" s="255"/>
      <c r="AFH49" s="255"/>
      <c r="AFI49" s="255"/>
      <c r="AFJ49" s="255"/>
      <c r="AFK49" s="255"/>
      <c r="AFL49" s="255"/>
      <c r="AFM49" s="255"/>
      <c r="AFN49" s="255"/>
      <c r="AFO49" s="255"/>
      <c r="AFP49" s="255"/>
      <c r="AFQ49" s="255"/>
      <c r="AFR49" s="255"/>
      <c r="AFS49" s="255"/>
      <c r="AFT49" s="255"/>
      <c r="AFU49" s="255"/>
      <c r="AFV49" s="255"/>
      <c r="AFW49" s="255"/>
      <c r="AFX49" s="255"/>
      <c r="AFY49" s="255"/>
      <c r="AFZ49" s="255"/>
      <c r="AGA49" s="255"/>
      <c r="AGB49" s="255"/>
      <c r="AGC49" s="255"/>
      <c r="AGD49" s="255"/>
      <c r="AGE49" s="255"/>
      <c r="AGF49" s="255"/>
      <c r="AGG49" s="255"/>
      <c r="AGH49" s="255"/>
      <c r="AGI49" s="255"/>
      <c r="AGJ49" s="255"/>
      <c r="AGK49" s="255"/>
      <c r="AGL49" s="255"/>
      <c r="AGM49" s="255"/>
      <c r="AGN49" s="255"/>
      <c r="AGO49" s="255"/>
      <c r="AGP49" s="255"/>
      <c r="AGQ49" s="255"/>
      <c r="AGR49" s="255"/>
      <c r="AGS49" s="255"/>
      <c r="AGT49" s="255"/>
      <c r="AGU49" s="255"/>
      <c r="AGV49" s="255"/>
      <c r="AGW49" s="255"/>
      <c r="AGX49" s="255"/>
      <c r="AGY49" s="255"/>
      <c r="AGZ49" s="255"/>
      <c r="AHA49" s="255"/>
      <c r="AHB49" s="255"/>
      <c r="AHC49" s="255"/>
      <c r="AHD49" s="255"/>
      <c r="AHE49" s="255"/>
      <c r="AHF49" s="255"/>
      <c r="AHG49" s="255"/>
      <c r="AHH49" s="255"/>
      <c r="AHI49" s="255"/>
      <c r="AHJ49" s="255"/>
      <c r="AHK49" s="255"/>
      <c r="AHL49" s="255"/>
      <c r="AHM49" s="255"/>
      <c r="AHN49" s="255"/>
      <c r="AHO49" s="255"/>
      <c r="AHP49" s="255"/>
      <c r="AHQ49" s="255"/>
      <c r="AHR49" s="255"/>
      <c r="AHS49" s="255"/>
      <c r="AHT49" s="255"/>
      <c r="AHU49" s="255"/>
      <c r="AHV49" s="255"/>
      <c r="AHW49" s="255"/>
      <c r="AHX49" s="255"/>
      <c r="AHY49" s="255"/>
      <c r="AHZ49" s="255"/>
      <c r="AIA49" s="255"/>
      <c r="AIB49" s="255"/>
      <c r="AIC49" s="255"/>
      <c r="AID49" s="255"/>
      <c r="AIE49" s="255"/>
      <c r="AIF49" s="255"/>
      <c r="AIG49" s="255"/>
      <c r="AIH49" s="255"/>
      <c r="AII49" s="255"/>
      <c r="AIJ49" s="255"/>
      <c r="AIK49" s="255"/>
      <c r="AIL49" s="255"/>
      <c r="AIM49" s="255"/>
      <c r="AIN49" s="255"/>
      <c r="AIO49" s="255"/>
      <c r="AIP49" s="255"/>
      <c r="AIQ49" s="255"/>
      <c r="AIR49" s="255"/>
      <c r="AIS49" s="255"/>
      <c r="AIT49" s="255"/>
      <c r="AIU49" s="255"/>
      <c r="AIV49" s="255"/>
      <c r="AIW49" s="255"/>
      <c r="AIX49" s="255"/>
      <c r="AIY49" s="255"/>
      <c r="AIZ49" s="255"/>
      <c r="AJA49" s="255"/>
      <c r="AJB49" s="255"/>
      <c r="AJC49" s="255"/>
      <c r="AJD49" s="255"/>
      <c r="AJE49" s="255"/>
      <c r="AJF49" s="255"/>
      <c r="AJG49" s="255"/>
      <c r="AJH49" s="255"/>
      <c r="AJI49" s="255"/>
      <c r="AJJ49" s="255"/>
      <c r="AJK49" s="255"/>
      <c r="AJL49" s="255"/>
      <c r="AJM49" s="255"/>
      <c r="AJN49" s="255"/>
      <c r="AJO49" s="255"/>
      <c r="AJP49" s="255"/>
      <c r="AJQ49" s="255"/>
      <c r="AJR49" s="255"/>
      <c r="AJS49" s="255"/>
      <c r="AJT49" s="255"/>
      <c r="AJU49" s="255"/>
      <c r="AJV49" s="255"/>
      <c r="AJW49" s="255"/>
      <c r="AJX49" s="255"/>
      <c r="AJY49" s="255"/>
      <c r="AJZ49" s="255"/>
      <c r="AKA49" s="255"/>
      <c r="AKB49" s="255"/>
      <c r="AKC49" s="255"/>
      <c r="AKD49" s="255"/>
      <c r="AKE49" s="255"/>
      <c r="AKF49" s="255"/>
      <c r="AKG49" s="255"/>
      <c r="AKH49" s="255"/>
      <c r="AKI49" s="255"/>
      <c r="AKJ49" s="255"/>
      <c r="AKK49" s="255"/>
      <c r="AKL49" s="255"/>
      <c r="AKM49" s="255"/>
      <c r="AKN49" s="255"/>
      <c r="AKO49" s="255"/>
      <c r="AKP49" s="255"/>
      <c r="AKQ49" s="255"/>
      <c r="AKR49" s="255"/>
      <c r="AKS49" s="255"/>
      <c r="AKT49" s="255"/>
      <c r="AKU49" s="255"/>
      <c r="AKV49" s="255"/>
      <c r="AKW49" s="255"/>
      <c r="AKX49" s="255"/>
      <c r="AKY49" s="255"/>
      <c r="AKZ49" s="255"/>
      <c r="ALA49" s="255"/>
      <c r="ALB49" s="255"/>
      <c r="ALC49" s="255"/>
      <c r="ALD49" s="255"/>
      <c r="ALE49" s="255"/>
      <c r="ALF49" s="255"/>
      <c r="ALG49" s="255"/>
      <c r="ALH49" s="255"/>
      <c r="ALI49" s="255"/>
      <c r="ALJ49" s="255"/>
      <c r="ALK49" s="255"/>
      <c r="ALL49" s="255"/>
      <c r="ALM49" s="255"/>
      <c r="ALN49" s="255"/>
      <c r="ALO49" s="255"/>
      <c r="ALP49" s="255"/>
      <c r="ALQ49" s="255"/>
      <c r="ALR49" s="255"/>
      <c r="ALS49" s="255"/>
      <c r="ALT49" s="255"/>
      <c r="ALU49" s="255"/>
      <c r="ALV49" s="255"/>
      <c r="ALW49" s="255"/>
      <c r="ALX49" s="255"/>
      <c r="ALY49" s="255"/>
      <c r="ALZ49" s="255"/>
      <c r="AMA49" s="255"/>
      <c r="AMB49" s="255"/>
      <c r="AMC49" s="255"/>
      <c r="AMD49" s="255"/>
      <c r="AME49" s="255"/>
      <c r="AMF49" s="255"/>
      <c r="AMG49" s="255"/>
      <c r="AMH49" s="255"/>
      <c r="AMI49" s="255"/>
      <c r="AMJ49" s="255"/>
      <c r="AMK49" s="255"/>
      <c r="AML49" s="255"/>
      <c r="AMM49" s="255"/>
      <c r="AMN49" s="255"/>
      <c r="AMO49" s="255"/>
      <c r="AMP49" s="255"/>
      <c r="AMQ49" s="255"/>
      <c r="AMR49" s="255"/>
      <c r="AMS49" s="255"/>
      <c r="AMT49" s="255"/>
      <c r="AMU49" s="255"/>
      <c r="AMV49" s="255"/>
      <c r="AMW49" s="255"/>
      <c r="AMX49" s="255"/>
      <c r="AMY49" s="255"/>
      <c r="AMZ49" s="255"/>
      <c r="ANA49" s="255"/>
      <c r="ANB49" s="255"/>
      <c r="ANC49" s="255"/>
      <c r="AND49" s="255"/>
      <c r="ANE49" s="255"/>
      <c r="ANF49" s="255"/>
      <c r="ANG49" s="255"/>
      <c r="ANH49" s="255"/>
      <c r="ANI49" s="255"/>
      <c r="ANJ49" s="255"/>
      <c r="ANK49" s="255"/>
      <c r="ANL49" s="255"/>
      <c r="ANM49" s="255"/>
      <c r="ANN49" s="255"/>
      <c r="ANO49" s="255"/>
      <c r="ANP49" s="255"/>
      <c r="ANQ49" s="255"/>
      <c r="ANR49" s="255"/>
      <c r="ANS49" s="255"/>
      <c r="ANT49" s="255"/>
      <c r="ANU49" s="255"/>
      <c r="ANV49" s="255"/>
      <c r="ANW49" s="255"/>
      <c r="ANX49" s="255"/>
      <c r="ANY49" s="255"/>
      <c r="ANZ49" s="255"/>
      <c r="AOA49" s="255"/>
      <c r="AOB49" s="255"/>
      <c r="AOC49" s="255"/>
      <c r="AOD49" s="255"/>
      <c r="AOE49" s="255"/>
      <c r="AOF49" s="255"/>
      <c r="AOG49" s="255"/>
      <c r="AOH49" s="255"/>
      <c r="AOI49" s="255"/>
      <c r="AOJ49" s="255"/>
      <c r="AOK49" s="255"/>
      <c r="AOL49" s="255"/>
      <c r="AOM49" s="255"/>
      <c r="AON49" s="255"/>
      <c r="AOO49" s="255"/>
      <c r="AOP49" s="255"/>
      <c r="AOQ49" s="255"/>
      <c r="AOR49" s="255"/>
      <c r="AOS49" s="255"/>
      <c r="AOT49" s="255"/>
      <c r="AOU49" s="255"/>
      <c r="AOV49" s="255"/>
      <c r="AOW49" s="255"/>
      <c r="AOX49" s="255"/>
      <c r="AOY49" s="255"/>
      <c r="AOZ49" s="255"/>
      <c r="APA49" s="255"/>
      <c r="APB49" s="255"/>
      <c r="APC49" s="255"/>
      <c r="APD49" s="255"/>
      <c r="APE49" s="255"/>
      <c r="APF49" s="255"/>
      <c r="APG49" s="255"/>
      <c r="APH49" s="255"/>
      <c r="API49" s="255"/>
      <c r="APJ49" s="255"/>
      <c r="APK49" s="255"/>
      <c r="APL49" s="255"/>
      <c r="APM49" s="255"/>
      <c r="APN49" s="255"/>
      <c r="APO49" s="255"/>
      <c r="APP49" s="255"/>
      <c r="APQ49" s="255"/>
      <c r="APR49" s="255"/>
      <c r="APS49" s="255"/>
      <c r="APT49" s="255"/>
      <c r="APU49" s="255"/>
      <c r="APV49" s="255"/>
      <c r="APW49" s="255"/>
      <c r="APX49" s="255"/>
      <c r="APY49" s="255"/>
      <c r="APZ49" s="255"/>
      <c r="AQA49" s="255"/>
      <c r="AQB49" s="255"/>
      <c r="AQC49" s="255"/>
      <c r="AQD49" s="255"/>
      <c r="AQE49" s="255"/>
      <c r="AQF49" s="255"/>
      <c r="AQG49" s="255"/>
      <c r="AQH49" s="255"/>
      <c r="AQI49" s="255"/>
      <c r="AQJ49" s="255"/>
      <c r="AQK49" s="255"/>
      <c r="AQL49" s="255"/>
      <c r="AQM49" s="255"/>
      <c r="AQN49" s="255"/>
      <c r="AQO49" s="255"/>
      <c r="AQP49" s="255"/>
      <c r="AQQ49" s="255"/>
      <c r="AQR49" s="255"/>
      <c r="AQS49" s="255"/>
      <c r="AQT49" s="255"/>
      <c r="AQU49" s="255"/>
      <c r="AQV49" s="255"/>
      <c r="AQW49" s="255"/>
      <c r="AQX49" s="255"/>
      <c r="AQY49" s="255"/>
      <c r="AQZ49" s="255"/>
      <c r="ARA49" s="255"/>
      <c r="ARB49" s="255"/>
      <c r="ARC49" s="255"/>
      <c r="ARD49" s="255"/>
      <c r="ARE49" s="255"/>
      <c r="ARF49" s="255"/>
      <c r="ARG49" s="255"/>
      <c r="ARH49" s="255"/>
      <c r="ARI49" s="255"/>
      <c r="ARJ49" s="255"/>
      <c r="ARK49" s="255"/>
      <c r="ARL49" s="255"/>
      <c r="ARM49" s="255"/>
      <c r="ARN49" s="255"/>
      <c r="ARO49" s="255"/>
      <c r="ARP49" s="255"/>
      <c r="ARQ49" s="255"/>
      <c r="ARR49" s="255"/>
      <c r="ARS49" s="255"/>
      <c r="ART49" s="255"/>
      <c r="ARU49" s="255"/>
      <c r="ARV49" s="255"/>
      <c r="ARW49" s="255"/>
      <c r="ARX49" s="255"/>
      <c r="ARY49" s="255"/>
      <c r="ARZ49" s="255"/>
      <c r="ASA49" s="255"/>
      <c r="ASB49" s="255"/>
      <c r="ASC49" s="255"/>
      <c r="ASD49" s="255"/>
      <c r="ASE49" s="255"/>
      <c r="ASF49" s="255"/>
      <c r="ASG49" s="255"/>
      <c r="ASH49" s="255"/>
      <c r="ASI49" s="255"/>
      <c r="ASJ49" s="255"/>
      <c r="ASK49" s="255"/>
      <c r="ASL49" s="255"/>
      <c r="ASM49" s="255"/>
      <c r="ASN49" s="255"/>
      <c r="ASO49" s="255"/>
      <c r="ASP49" s="255"/>
      <c r="ASQ49" s="255"/>
      <c r="ASR49" s="255"/>
      <c r="ASS49" s="255"/>
      <c r="AST49" s="255"/>
      <c r="ASU49" s="255"/>
      <c r="ASV49" s="255"/>
      <c r="ASW49" s="255"/>
      <c r="ASX49" s="255"/>
      <c r="ASY49" s="255"/>
      <c r="ASZ49" s="255"/>
      <c r="ATA49" s="255"/>
      <c r="ATB49" s="255"/>
      <c r="ATC49" s="255"/>
      <c r="ATD49" s="255"/>
      <c r="ATE49" s="255"/>
      <c r="ATF49" s="255"/>
      <c r="ATG49" s="255"/>
      <c r="ATH49" s="255"/>
      <c r="ATI49" s="255"/>
      <c r="ATJ49" s="255"/>
      <c r="ATK49" s="255"/>
      <c r="ATL49" s="255"/>
      <c r="ATM49" s="255"/>
      <c r="ATN49" s="255"/>
      <c r="ATO49" s="255"/>
      <c r="ATP49" s="255"/>
      <c r="ATQ49" s="255"/>
      <c r="ATR49" s="255"/>
      <c r="ATS49" s="255"/>
      <c r="ATT49" s="255"/>
      <c r="ATU49" s="255"/>
      <c r="ATV49" s="255"/>
      <c r="ATW49" s="255"/>
      <c r="ATX49" s="255"/>
      <c r="ATY49" s="255"/>
      <c r="ATZ49" s="255"/>
      <c r="AUA49" s="255"/>
      <c r="AUB49" s="255"/>
      <c r="AUC49" s="255"/>
      <c r="AUD49" s="255"/>
      <c r="AUE49" s="255"/>
      <c r="AUF49" s="255"/>
      <c r="AUG49" s="255"/>
      <c r="AUH49" s="255"/>
      <c r="AUI49" s="255"/>
      <c r="AUJ49" s="255"/>
      <c r="AUK49" s="255"/>
      <c r="AUL49" s="255"/>
      <c r="AUM49" s="255"/>
      <c r="AUN49" s="255"/>
      <c r="AUO49" s="255"/>
      <c r="AUP49" s="255"/>
      <c r="AUQ49" s="255"/>
      <c r="AUR49" s="255"/>
      <c r="AUS49" s="255"/>
      <c r="AUT49" s="255"/>
      <c r="AUU49" s="255"/>
      <c r="AUV49" s="255"/>
      <c r="AUW49" s="255"/>
      <c r="AUX49" s="255"/>
      <c r="AUY49" s="255"/>
      <c r="AUZ49" s="255"/>
      <c r="AVA49" s="255"/>
      <c r="AVB49" s="255"/>
      <c r="AVC49" s="255"/>
      <c r="AVD49" s="255"/>
      <c r="AVE49" s="255"/>
      <c r="AVF49" s="255"/>
      <c r="AVG49" s="255"/>
      <c r="AVH49" s="255"/>
      <c r="AVI49" s="255"/>
      <c r="AVJ49" s="255"/>
      <c r="AVK49" s="255"/>
      <c r="AVL49" s="255"/>
      <c r="AVM49" s="255"/>
      <c r="AVN49" s="255"/>
      <c r="AVO49" s="255"/>
      <c r="AVP49" s="255"/>
      <c r="AVQ49" s="255"/>
      <c r="AVR49" s="255"/>
      <c r="AVS49" s="255"/>
      <c r="AVT49" s="255"/>
      <c r="AVU49" s="255"/>
      <c r="AVV49" s="255"/>
      <c r="AVW49" s="255"/>
      <c r="AVX49" s="255"/>
      <c r="AVY49" s="255"/>
      <c r="AVZ49" s="255"/>
      <c r="AWA49" s="255"/>
      <c r="AWB49" s="255"/>
      <c r="AWC49" s="255"/>
      <c r="AWD49" s="255"/>
      <c r="AWE49" s="255"/>
      <c r="AWF49" s="255"/>
      <c r="AWG49" s="255"/>
      <c r="AWH49" s="255"/>
      <c r="AWI49" s="255"/>
      <c r="AWJ49" s="255"/>
      <c r="AWK49" s="255"/>
      <c r="AWL49" s="255"/>
      <c r="AWM49" s="255"/>
      <c r="AWN49" s="255"/>
      <c r="AWO49" s="255"/>
      <c r="AWP49" s="255"/>
      <c r="AWQ49" s="255"/>
      <c r="AWR49" s="255"/>
      <c r="AWS49" s="255"/>
      <c r="AWT49" s="255"/>
      <c r="AWU49" s="255"/>
      <c r="AWV49" s="255"/>
      <c r="AWW49" s="255"/>
      <c r="AWX49" s="255"/>
      <c r="AWY49" s="255"/>
      <c r="AWZ49" s="255"/>
      <c r="AXA49" s="255"/>
      <c r="AXB49" s="255"/>
      <c r="AXC49" s="255"/>
      <c r="AXD49" s="255"/>
      <c r="AXE49" s="255"/>
      <c r="AXF49" s="255"/>
      <c r="AXG49" s="255"/>
      <c r="AXH49" s="255"/>
      <c r="AXI49" s="255"/>
      <c r="AXJ49" s="255"/>
      <c r="AXK49" s="255"/>
      <c r="AXL49" s="255"/>
      <c r="AXM49" s="255"/>
      <c r="AXN49" s="255"/>
      <c r="AXO49" s="255"/>
      <c r="AXP49" s="255"/>
      <c r="AXQ49" s="255"/>
      <c r="AXR49" s="255"/>
      <c r="AXS49" s="255"/>
      <c r="AXT49" s="255"/>
      <c r="AXU49" s="255"/>
      <c r="AXV49" s="255"/>
      <c r="AXW49" s="255"/>
      <c r="AXX49" s="255"/>
      <c r="AXY49" s="255"/>
      <c r="AXZ49" s="255"/>
      <c r="AYA49" s="255"/>
      <c r="AYB49" s="255"/>
      <c r="AYC49" s="255"/>
      <c r="AYD49" s="255"/>
      <c r="AYE49" s="255"/>
      <c r="AYF49" s="255"/>
      <c r="AYG49" s="255"/>
      <c r="AYH49" s="255"/>
      <c r="AYI49" s="255"/>
      <c r="AYJ49" s="255"/>
      <c r="AYK49" s="255"/>
      <c r="AYL49" s="255"/>
      <c r="AYM49" s="255"/>
      <c r="AYN49" s="255"/>
      <c r="AYO49" s="255"/>
      <c r="AYP49" s="255"/>
      <c r="AYQ49" s="255"/>
      <c r="AYR49" s="255"/>
      <c r="AYS49" s="255"/>
      <c r="AYT49" s="255"/>
      <c r="AYU49" s="255"/>
      <c r="AYV49" s="255"/>
      <c r="AYW49" s="255"/>
      <c r="AYX49" s="255"/>
      <c r="AYY49" s="255"/>
      <c r="AYZ49" s="255"/>
      <c r="AZA49" s="255"/>
      <c r="AZB49" s="255"/>
      <c r="AZC49" s="255"/>
      <c r="AZD49" s="255"/>
      <c r="AZE49" s="255"/>
      <c r="AZF49" s="255"/>
      <c r="AZG49" s="255"/>
      <c r="AZH49" s="255"/>
      <c r="AZI49" s="255"/>
      <c r="AZJ49" s="255"/>
      <c r="AZK49" s="255"/>
      <c r="AZL49" s="255"/>
      <c r="AZM49" s="255"/>
      <c r="AZN49" s="255"/>
      <c r="AZO49" s="255"/>
      <c r="AZP49" s="255"/>
      <c r="AZQ49" s="255"/>
      <c r="AZR49" s="255"/>
      <c r="AZS49" s="255"/>
      <c r="AZT49" s="255"/>
      <c r="AZU49" s="255"/>
      <c r="AZV49" s="255"/>
      <c r="AZW49" s="255"/>
      <c r="AZX49" s="255"/>
      <c r="AZY49" s="255"/>
      <c r="AZZ49" s="255"/>
      <c r="BAA49" s="255"/>
      <c r="BAB49" s="255"/>
      <c r="BAC49" s="255"/>
      <c r="BAD49" s="255"/>
      <c r="BAE49" s="255"/>
      <c r="BAF49" s="255"/>
      <c r="BAG49" s="255"/>
      <c r="BAH49" s="255"/>
      <c r="BAI49" s="255"/>
      <c r="BAJ49" s="255"/>
      <c r="BAK49" s="255"/>
      <c r="BAL49" s="255"/>
      <c r="BAM49" s="255"/>
      <c r="BAN49" s="255"/>
      <c r="BAO49" s="255"/>
      <c r="BAP49" s="255"/>
      <c r="BAQ49" s="255"/>
      <c r="BAR49" s="255"/>
      <c r="BAS49" s="255"/>
      <c r="BAT49" s="255"/>
      <c r="BAU49" s="255"/>
      <c r="BAV49" s="255"/>
      <c r="BAW49" s="255"/>
      <c r="BAX49" s="255"/>
      <c r="BAY49" s="255"/>
      <c r="BAZ49" s="255"/>
      <c r="BBA49" s="255"/>
      <c r="BBB49" s="255"/>
      <c r="BBC49" s="255"/>
      <c r="BBD49" s="255"/>
      <c r="BBE49" s="255"/>
      <c r="BBF49" s="255"/>
      <c r="BBG49" s="255"/>
      <c r="BBH49" s="255"/>
      <c r="BBI49" s="255"/>
      <c r="BBJ49" s="255"/>
      <c r="BBK49" s="255"/>
      <c r="BBL49" s="255"/>
      <c r="BBM49" s="255"/>
      <c r="BBN49" s="255"/>
      <c r="BBO49" s="255"/>
      <c r="BBP49" s="255"/>
      <c r="BBQ49" s="255"/>
      <c r="BBR49" s="255"/>
      <c r="BBS49" s="255"/>
      <c r="BBT49" s="255"/>
      <c r="BBU49" s="255"/>
      <c r="BBV49" s="255"/>
      <c r="BBW49" s="255"/>
      <c r="BBX49" s="255"/>
      <c r="BBY49" s="255"/>
      <c r="BBZ49" s="255"/>
      <c r="BCA49" s="255"/>
      <c r="BCB49" s="255"/>
      <c r="BCC49" s="255"/>
      <c r="BCD49" s="255"/>
      <c r="BCE49" s="255"/>
      <c r="BCF49" s="255"/>
      <c r="BCG49" s="255"/>
      <c r="BCH49" s="255"/>
      <c r="BCI49" s="255"/>
      <c r="BCJ49" s="255"/>
      <c r="BCK49" s="255"/>
      <c r="BCL49" s="255"/>
      <c r="BCM49" s="255"/>
      <c r="BCN49" s="255"/>
      <c r="BCO49" s="255"/>
      <c r="BCP49" s="255"/>
      <c r="BCQ49" s="255"/>
      <c r="BCR49" s="255"/>
      <c r="BCS49" s="255"/>
      <c r="BCT49" s="255"/>
      <c r="BCU49" s="255"/>
      <c r="BCV49" s="255"/>
      <c r="BCW49" s="255"/>
      <c r="BCX49" s="255"/>
      <c r="BCY49" s="255"/>
      <c r="BCZ49" s="255"/>
      <c r="BDA49" s="255"/>
      <c r="BDB49" s="255"/>
      <c r="BDC49" s="255"/>
      <c r="BDD49" s="255"/>
      <c r="BDE49" s="255"/>
      <c r="BDF49" s="255"/>
      <c r="BDG49" s="255"/>
      <c r="BDH49" s="255"/>
      <c r="BDI49" s="255"/>
      <c r="BDJ49" s="255"/>
      <c r="BDK49" s="255"/>
      <c r="BDL49" s="255"/>
      <c r="BDM49" s="255"/>
      <c r="BDN49" s="255"/>
      <c r="BDO49" s="255"/>
      <c r="BDP49" s="255"/>
      <c r="BDQ49" s="255"/>
      <c r="BDR49" s="255"/>
      <c r="BDS49" s="255"/>
      <c r="BDT49" s="255"/>
      <c r="BDU49" s="255"/>
      <c r="BDV49" s="255"/>
      <c r="BDW49" s="255"/>
      <c r="BDX49" s="255"/>
      <c r="BDY49" s="255"/>
      <c r="BDZ49" s="255"/>
      <c r="BEA49" s="255"/>
      <c r="BEB49" s="255"/>
      <c r="BEC49" s="255"/>
      <c r="BED49" s="255"/>
      <c r="BEE49" s="255"/>
      <c r="BEF49" s="255"/>
      <c r="BEG49" s="255"/>
      <c r="BEH49" s="255"/>
      <c r="BEI49" s="255"/>
      <c r="BEJ49" s="255"/>
      <c r="BEK49" s="255"/>
      <c r="BEL49" s="255"/>
      <c r="BEM49" s="255"/>
      <c r="BEN49" s="255"/>
      <c r="BEO49" s="255"/>
      <c r="BEP49" s="255"/>
      <c r="BEQ49" s="255"/>
      <c r="BER49" s="255"/>
      <c r="BES49" s="255"/>
      <c r="BET49" s="255"/>
      <c r="BEU49" s="255"/>
      <c r="BEV49" s="255"/>
      <c r="BEW49" s="255"/>
      <c r="BEX49" s="255"/>
      <c r="BEY49" s="255"/>
      <c r="BEZ49" s="255"/>
      <c r="BFA49" s="255"/>
      <c r="BFB49" s="255"/>
      <c r="BFC49" s="255"/>
      <c r="BFD49" s="255"/>
      <c r="BFE49" s="255"/>
      <c r="BFF49" s="255"/>
      <c r="BFG49" s="255"/>
      <c r="BFH49" s="255"/>
      <c r="BFI49" s="255"/>
      <c r="BFJ49" s="255"/>
      <c r="BFK49" s="255"/>
      <c r="BFL49" s="255"/>
      <c r="BFM49" s="255"/>
      <c r="BFN49" s="255"/>
      <c r="BFO49" s="255"/>
      <c r="BFP49" s="255"/>
      <c r="BFQ49" s="255"/>
      <c r="BFR49" s="255"/>
      <c r="BFS49" s="255"/>
      <c r="BFT49" s="255"/>
      <c r="BFU49" s="255"/>
      <c r="BFV49" s="255"/>
      <c r="BFW49" s="255"/>
      <c r="BFX49" s="255"/>
      <c r="BFY49" s="255"/>
      <c r="BFZ49" s="255"/>
      <c r="BGA49" s="255"/>
      <c r="BGB49" s="255"/>
      <c r="BGC49" s="255"/>
      <c r="BGD49" s="255"/>
      <c r="BGE49" s="255"/>
      <c r="BGF49" s="255"/>
      <c r="BGG49" s="255"/>
      <c r="BGH49" s="255"/>
      <c r="BGI49" s="255"/>
      <c r="BGJ49" s="255"/>
      <c r="BGK49" s="255"/>
      <c r="BGL49" s="255"/>
      <c r="BGM49" s="255"/>
      <c r="BGN49" s="255"/>
      <c r="BGO49" s="255"/>
      <c r="BGP49" s="255"/>
      <c r="BGQ49" s="255"/>
      <c r="BGR49" s="255"/>
      <c r="BGS49" s="255"/>
      <c r="BGT49" s="255"/>
      <c r="BGU49" s="255"/>
      <c r="BGV49" s="255"/>
      <c r="BGW49" s="255"/>
      <c r="BGX49" s="255"/>
      <c r="BGY49" s="255"/>
      <c r="BGZ49" s="255"/>
      <c r="BHA49" s="255"/>
      <c r="BHB49" s="255"/>
      <c r="BHC49" s="255"/>
      <c r="BHD49" s="255"/>
      <c r="BHE49" s="255"/>
      <c r="BHF49" s="255"/>
      <c r="BHG49" s="255"/>
      <c r="BHH49" s="255"/>
      <c r="BHI49" s="255"/>
      <c r="BHJ49" s="255"/>
      <c r="BHK49" s="255"/>
      <c r="BHL49" s="255"/>
      <c r="BHM49" s="255"/>
      <c r="BHN49" s="255"/>
      <c r="BHO49" s="255"/>
      <c r="BHP49" s="255"/>
      <c r="BHQ49" s="255"/>
      <c r="BHR49" s="255"/>
      <c r="BHS49" s="255"/>
      <c r="BHT49" s="255"/>
      <c r="BHU49" s="255"/>
      <c r="BHV49" s="255"/>
      <c r="BHW49" s="255"/>
      <c r="BHX49" s="255"/>
      <c r="BHY49" s="255"/>
      <c r="BHZ49" s="255"/>
      <c r="BIA49" s="255"/>
      <c r="BIB49" s="255"/>
      <c r="BIC49" s="255"/>
      <c r="BID49" s="255"/>
      <c r="BIE49" s="255"/>
      <c r="BIF49" s="255"/>
      <c r="BIG49" s="255"/>
      <c r="BIH49" s="255"/>
      <c r="BII49" s="255"/>
      <c r="BIJ49" s="255"/>
      <c r="BIK49" s="255"/>
      <c r="BIL49" s="255"/>
      <c r="BIM49" s="255"/>
      <c r="BIN49" s="255"/>
      <c r="BIO49" s="255"/>
      <c r="BIP49" s="255"/>
      <c r="BIQ49" s="255"/>
      <c r="BIR49" s="255"/>
      <c r="BIS49" s="255"/>
      <c r="BIT49" s="255"/>
      <c r="BIU49" s="255"/>
      <c r="BIV49" s="255"/>
      <c r="BIW49" s="255"/>
      <c r="BIX49" s="255"/>
      <c r="BIY49" s="255"/>
      <c r="BIZ49" s="255"/>
      <c r="BJA49" s="255"/>
      <c r="BJB49" s="255"/>
      <c r="BJC49" s="255"/>
      <c r="BJD49" s="255"/>
      <c r="BJE49" s="255"/>
      <c r="BJF49" s="255"/>
      <c r="BJG49" s="255"/>
      <c r="BJH49" s="255"/>
      <c r="BJI49" s="255"/>
      <c r="BJJ49" s="255"/>
      <c r="BJK49" s="255"/>
      <c r="BJL49" s="255"/>
      <c r="BJM49" s="255"/>
      <c r="BJN49" s="255"/>
      <c r="BJO49" s="255"/>
      <c r="BJP49" s="255"/>
      <c r="BJQ49" s="255"/>
      <c r="BJR49" s="255"/>
      <c r="BJS49" s="255"/>
      <c r="BJT49" s="255"/>
      <c r="BJU49" s="255"/>
      <c r="BJV49" s="255"/>
      <c r="BJW49" s="255"/>
      <c r="BJX49" s="255"/>
      <c r="BJY49" s="255"/>
      <c r="BJZ49" s="255"/>
      <c r="BKA49" s="255"/>
      <c r="BKB49" s="255"/>
      <c r="BKC49" s="255"/>
      <c r="BKD49" s="255"/>
      <c r="BKE49" s="255"/>
      <c r="BKF49" s="255"/>
      <c r="BKG49" s="255"/>
      <c r="BKH49" s="255"/>
      <c r="BKI49" s="255"/>
      <c r="BKJ49" s="255"/>
      <c r="BKK49" s="255"/>
      <c r="BKL49" s="255"/>
      <c r="BKM49" s="255"/>
      <c r="BKN49" s="255"/>
      <c r="BKO49" s="255"/>
      <c r="BKP49" s="255"/>
      <c r="BKQ49" s="255"/>
      <c r="BKR49" s="255"/>
      <c r="BKS49" s="255"/>
      <c r="BKT49" s="255"/>
      <c r="BKU49" s="255"/>
      <c r="BKV49" s="255"/>
      <c r="BKW49" s="255"/>
      <c r="BKX49" s="255"/>
      <c r="BKY49" s="255"/>
      <c r="BKZ49" s="255"/>
      <c r="BLA49" s="255"/>
      <c r="BLB49" s="255"/>
      <c r="BLC49" s="255"/>
      <c r="BLD49" s="255"/>
      <c r="BLE49" s="255"/>
      <c r="BLF49" s="255"/>
      <c r="BLG49" s="255"/>
      <c r="BLH49" s="255"/>
      <c r="BLI49" s="255"/>
      <c r="BLJ49" s="255"/>
      <c r="BLK49" s="255"/>
      <c r="BLL49" s="255"/>
      <c r="BLM49" s="255"/>
      <c r="BLN49" s="255"/>
      <c r="BLO49" s="255"/>
      <c r="BLP49" s="255"/>
      <c r="BLQ49" s="255"/>
      <c r="BLR49" s="255"/>
      <c r="BLS49" s="255"/>
      <c r="BLT49" s="255"/>
      <c r="BLU49" s="255"/>
      <c r="BLV49" s="255"/>
      <c r="BLW49" s="255"/>
      <c r="BLX49" s="255"/>
      <c r="BLY49" s="255"/>
      <c r="BLZ49" s="255"/>
      <c r="BMA49" s="255"/>
      <c r="BMB49" s="255"/>
      <c r="BMC49" s="255"/>
      <c r="BMD49" s="255"/>
      <c r="BME49" s="255"/>
      <c r="BMF49" s="255"/>
      <c r="BMG49" s="255"/>
      <c r="BMH49" s="255"/>
      <c r="BMI49" s="255"/>
      <c r="BMJ49" s="255"/>
      <c r="BMK49" s="255"/>
      <c r="BML49" s="255"/>
      <c r="BMM49" s="255"/>
      <c r="BMN49" s="255"/>
      <c r="BMO49" s="255"/>
      <c r="BMP49" s="255"/>
      <c r="BMQ49" s="255"/>
      <c r="BMR49" s="255"/>
      <c r="BMS49" s="255"/>
      <c r="BMT49" s="255"/>
      <c r="BMU49" s="255"/>
      <c r="BMV49" s="255"/>
      <c r="BMW49" s="255"/>
      <c r="BMX49" s="255"/>
      <c r="BMY49" s="255"/>
      <c r="BMZ49" s="255"/>
      <c r="BNA49" s="255"/>
      <c r="BNB49" s="255"/>
      <c r="BNC49" s="255"/>
      <c r="BND49" s="255"/>
      <c r="BNE49" s="255"/>
      <c r="BNF49" s="255"/>
      <c r="BNG49" s="255"/>
      <c r="BNH49" s="255"/>
      <c r="BNI49" s="255"/>
      <c r="BNJ49" s="255"/>
      <c r="BNK49" s="255"/>
      <c r="BNL49" s="255"/>
      <c r="BNM49" s="255"/>
      <c r="BNN49" s="255"/>
      <c r="BNO49" s="255"/>
      <c r="BNP49" s="255"/>
      <c r="BNQ49" s="255"/>
      <c r="BNR49" s="255"/>
      <c r="BNS49" s="255"/>
      <c r="BNT49" s="255"/>
      <c r="BNU49" s="255"/>
      <c r="BNV49" s="255"/>
      <c r="BNW49" s="255"/>
      <c r="BNX49" s="255"/>
      <c r="BNY49" s="255"/>
      <c r="BNZ49" s="255"/>
      <c r="BOA49" s="255"/>
      <c r="BOB49" s="255"/>
      <c r="BOC49" s="255"/>
      <c r="BOD49" s="255"/>
      <c r="BOE49" s="255"/>
      <c r="BOF49" s="255"/>
      <c r="BOG49" s="255"/>
      <c r="BOH49" s="255"/>
      <c r="BOI49" s="255"/>
      <c r="BOJ49" s="255"/>
      <c r="BOK49" s="255"/>
      <c r="BOL49" s="255"/>
      <c r="BOM49" s="255"/>
      <c r="BON49" s="255"/>
      <c r="BOO49" s="255"/>
      <c r="BOP49" s="255"/>
      <c r="BOQ49" s="255"/>
      <c r="BOR49" s="255"/>
      <c r="BOS49" s="255"/>
      <c r="BOT49" s="255"/>
      <c r="BOU49" s="255"/>
      <c r="BOV49" s="255"/>
      <c r="BOW49" s="255"/>
      <c r="BOX49" s="255"/>
      <c r="BOY49" s="255"/>
      <c r="BOZ49" s="255"/>
      <c r="BPA49" s="255"/>
      <c r="BPB49" s="255"/>
      <c r="BPC49" s="255"/>
      <c r="BPD49" s="255"/>
      <c r="BPE49" s="255"/>
      <c r="BPF49" s="255"/>
      <c r="BPG49" s="255"/>
      <c r="BPH49" s="255"/>
      <c r="BPI49" s="255"/>
      <c r="BPJ49" s="255"/>
      <c r="BPK49" s="255"/>
      <c r="BPL49" s="255"/>
      <c r="BPM49" s="255"/>
      <c r="BPN49" s="255"/>
      <c r="BPO49" s="255"/>
      <c r="BPP49" s="255"/>
      <c r="BPQ49" s="255"/>
      <c r="BPR49" s="255"/>
      <c r="BPS49" s="255"/>
      <c r="BPT49" s="255"/>
      <c r="BPU49" s="255"/>
      <c r="BPV49" s="255"/>
      <c r="BPW49" s="255"/>
      <c r="BPX49" s="255"/>
      <c r="BPY49" s="255"/>
      <c r="BPZ49" s="255"/>
      <c r="BQA49" s="255"/>
      <c r="BQB49" s="255"/>
      <c r="BQC49" s="255"/>
      <c r="BQD49" s="255"/>
      <c r="BQE49" s="255"/>
      <c r="BQF49" s="255"/>
      <c r="BQG49" s="255"/>
      <c r="BQH49" s="255"/>
      <c r="BQI49" s="255"/>
      <c r="BQJ49" s="255"/>
      <c r="BQK49" s="255"/>
      <c r="BQL49" s="255"/>
      <c r="BQM49" s="255"/>
      <c r="BQN49" s="255"/>
      <c r="BQO49" s="255"/>
      <c r="BQP49" s="255"/>
      <c r="BQQ49" s="255"/>
      <c r="BQR49" s="255"/>
      <c r="BQS49" s="255"/>
      <c r="BQT49" s="255"/>
      <c r="BQU49" s="255"/>
      <c r="BQV49" s="255"/>
      <c r="BQW49" s="255"/>
      <c r="BQX49" s="255"/>
      <c r="BQY49" s="255"/>
      <c r="BQZ49" s="255"/>
      <c r="BRA49" s="255"/>
      <c r="BRB49" s="255"/>
      <c r="BRC49" s="255"/>
      <c r="BRD49" s="255"/>
      <c r="BRE49" s="255"/>
      <c r="BRF49" s="255"/>
      <c r="BRG49" s="255"/>
      <c r="BRH49" s="255"/>
      <c r="BRI49" s="255"/>
      <c r="BRJ49" s="255"/>
      <c r="BRK49" s="255"/>
      <c r="BRL49" s="255"/>
      <c r="BRM49" s="255"/>
      <c r="BRN49" s="255"/>
      <c r="BRO49" s="255"/>
      <c r="BRP49" s="255"/>
      <c r="BRQ49" s="255"/>
      <c r="BRR49" s="255"/>
      <c r="BRS49" s="255"/>
      <c r="BRT49" s="255"/>
      <c r="BRU49" s="255"/>
      <c r="BRV49" s="255"/>
      <c r="BRW49" s="255"/>
      <c r="BRX49" s="255"/>
      <c r="BRY49" s="255"/>
      <c r="BRZ49" s="255"/>
      <c r="BSA49" s="255"/>
      <c r="BSB49" s="255"/>
      <c r="BSC49" s="255"/>
      <c r="BSD49" s="255"/>
      <c r="BSE49" s="255"/>
      <c r="BSF49" s="255"/>
      <c r="BSG49" s="255"/>
      <c r="BSH49" s="255"/>
      <c r="BSI49" s="255"/>
      <c r="BSJ49" s="255"/>
      <c r="BSK49" s="255"/>
      <c r="BSL49" s="255"/>
      <c r="BSM49" s="255"/>
      <c r="BSN49" s="255"/>
      <c r="BSO49" s="255"/>
      <c r="BSP49" s="255"/>
      <c r="BSQ49" s="255"/>
      <c r="BSR49" s="255"/>
      <c r="BSS49" s="255"/>
      <c r="BST49" s="255"/>
      <c r="BSU49" s="255"/>
      <c r="BSV49" s="255"/>
      <c r="BSW49" s="255"/>
      <c r="BSX49" s="255"/>
      <c r="BSY49" s="255"/>
      <c r="BSZ49" s="255"/>
      <c r="BTA49" s="255"/>
      <c r="BTB49" s="255"/>
      <c r="BTC49" s="255"/>
      <c r="BTD49" s="255"/>
      <c r="BTE49" s="255"/>
      <c r="BTF49" s="255"/>
      <c r="BTG49" s="255"/>
      <c r="BTH49" s="255"/>
      <c r="BTI49" s="255"/>
      <c r="BTJ49" s="255"/>
      <c r="BTK49" s="255"/>
      <c r="BTL49" s="255"/>
      <c r="BTM49" s="255"/>
      <c r="BTN49" s="255"/>
      <c r="BTO49" s="255"/>
      <c r="BTP49" s="255"/>
      <c r="BTQ49" s="255"/>
      <c r="BTR49" s="255"/>
      <c r="BTS49" s="255"/>
      <c r="BTT49" s="255"/>
      <c r="BTU49" s="255"/>
      <c r="BTV49" s="255"/>
      <c r="BTW49" s="255"/>
      <c r="BTX49" s="255"/>
      <c r="BTY49" s="255"/>
      <c r="BTZ49" s="255"/>
      <c r="BUA49" s="255"/>
      <c r="BUB49" s="255"/>
      <c r="BUC49" s="255"/>
      <c r="BUD49" s="255"/>
      <c r="BUE49" s="255"/>
      <c r="BUF49" s="255"/>
      <c r="BUG49" s="255"/>
      <c r="BUH49" s="255"/>
      <c r="BUI49" s="255"/>
      <c r="BUJ49" s="255"/>
      <c r="BUK49" s="255"/>
      <c r="BUL49" s="255"/>
      <c r="BUM49" s="255"/>
      <c r="BUN49" s="255"/>
      <c r="BUO49" s="255"/>
      <c r="BUP49" s="255"/>
      <c r="BUQ49" s="255"/>
      <c r="BUR49" s="255"/>
      <c r="BUS49" s="255"/>
      <c r="BUT49" s="255"/>
      <c r="BUU49" s="255"/>
      <c r="BUV49" s="255"/>
      <c r="BUW49" s="255"/>
      <c r="BUX49" s="255"/>
      <c r="BUY49" s="255"/>
      <c r="BUZ49" s="255"/>
      <c r="BVA49" s="255"/>
      <c r="BVB49" s="255"/>
      <c r="BVC49" s="255"/>
      <c r="BVD49" s="255"/>
      <c r="BVE49" s="255"/>
      <c r="BVF49" s="255"/>
      <c r="BVG49" s="255"/>
      <c r="BVH49" s="255"/>
      <c r="BVI49" s="255"/>
      <c r="BVJ49" s="255"/>
      <c r="BVK49" s="255"/>
      <c r="BVL49" s="255"/>
      <c r="BVM49" s="255"/>
      <c r="BVN49" s="255"/>
      <c r="BVO49" s="255"/>
      <c r="BVP49" s="255"/>
      <c r="BVQ49" s="255"/>
      <c r="BVR49" s="255"/>
      <c r="BVS49" s="255"/>
      <c r="BVT49" s="255"/>
      <c r="BVU49" s="255"/>
      <c r="BVV49" s="255"/>
      <c r="BVW49" s="255"/>
      <c r="BVX49" s="255"/>
      <c r="BVY49" s="255"/>
      <c r="BVZ49" s="255"/>
      <c r="BWA49" s="255"/>
      <c r="BWB49" s="255"/>
      <c r="BWC49" s="255"/>
      <c r="BWD49" s="255"/>
      <c r="BWE49" s="255"/>
      <c r="BWF49" s="255"/>
      <c r="BWG49" s="255"/>
      <c r="BWH49" s="255"/>
      <c r="BWI49" s="255"/>
      <c r="BWJ49" s="255"/>
      <c r="BWK49" s="255"/>
      <c r="BWL49" s="255"/>
      <c r="BWM49" s="255"/>
      <c r="BWN49" s="255"/>
      <c r="BWO49" s="255"/>
      <c r="BWP49" s="255"/>
      <c r="BWQ49" s="255"/>
      <c r="BWR49" s="255"/>
      <c r="BWS49" s="255"/>
      <c r="BWT49" s="255"/>
      <c r="BWU49" s="255"/>
      <c r="BWV49" s="255"/>
      <c r="BWW49" s="255"/>
      <c r="BWX49" s="255"/>
      <c r="BWY49" s="255"/>
      <c r="BWZ49" s="255"/>
      <c r="BXA49" s="255"/>
      <c r="BXB49" s="255"/>
      <c r="BXC49" s="255"/>
      <c r="BXD49" s="255"/>
      <c r="BXE49" s="255"/>
      <c r="BXF49" s="255"/>
      <c r="BXG49" s="255"/>
      <c r="BXH49" s="255"/>
      <c r="BXI49" s="255"/>
      <c r="BXJ49" s="255"/>
      <c r="BXK49" s="255"/>
      <c r="BXL49" s="255"/>
      <c r="BXM49" s="255"/>
      <c r="BXN49" s="255"/>
      <c r="BXO49" s="255"/>
      <c r="BXP49" s="255"/>
      <c r="BXQ49" s="255"/>
      <c r="BXR49" s="255"/>
      <c r="BXS49" s="255"/>
      <c r="BXT49" s="255"/>
      <c r="BXU49" s="255"/>
      <c r="BXV49" s="255"/>
      <c r="BXW49" s="255"/>
      <c r="BXX49" s="255"/>
      <c r="BXY49" s="255"/>
      <c r="BXZ49" s="255"/>
      <c r="BYA49" s="255"/>
      <c r="BYB49" s="255"/>
      <c r="BYC49" s="255"/>
      <c r="BYD49" s="255"/>
      <c r="BYE49" s="255"/>
      <c r="BYF49" s="255"/>
      <c r="BYG49" s="255"/>
      <c r="BYH49" s="255"/>
      <c r="BYI49" s="255"/>
      <c r="BYJ49" s="255"/>
      <c r="BYK49" s="255"/>
      <c r="BYL49" s="255"/>
      <c r="BYM49" s="255"/>
      <c r="BYN49" s="255"/>
      <c r="BYO49" s="255"/>
      <c r="BYP49" s="255"/>
      <c r="BYQ49" s="255"/>
      <c r="BYR49" s="255"/>
      <c r="BYS49" s="255"/>
      <c r="BYT49" s="255"/>
      <c r="BYU49" s="255"/>
      <c r="BYV49" s="255"/>
      <c r="BYW49" s="255"/>
      <c r="BYX49" s="255"/>
      <c r="BYY49" s="255"/>
      <c r="BYZ49" s="255"/>
      <c r="BZA49" s="255"/>
      <c r="BZB49" s="255"/>
      <c r="BZC49" s="255"/>
      <c r="BZD49" s="255"/>
      <c r="BZE49" s="255"/>
      <c r="BZF49" s="255"/>
      <c r="BZG49" s="255"/>
      <c r="BZH49" s="255"/>
      <c r="BZI49" s="255"/>
      <c r="BZJ49" s="255"/>
      <c r="BZK49" s="255"/>
      <c r="BZL49" s="255"/>
      <c r="BZM49" s="255"/>
      <c r="BZN49" s="255"/>
      <c r="BZO49" s="255"/>
      <c r="BZP49" s="255"/>
      <c r="BZQ49" s="255"/>
      <c r="BZR49" s="255"/>
      <c r="BZS49" s="255"/>
      <c r="BZT49" s="255"/>
      <c r="BZU49" s="255"/>
      <c r="BZV49" s="255"/>
      <c r="BZW49" s="255"/>
      <c r="BZX49" s="255"/>
      <c r="BZY49" s="255"/>
      <c r="BZZ49" s="255"/>
      <c r="CAA49" s="255"/>
      <c r="CAB49" s="255"/>
      <c r="CAC49" s="255"/>
      <c r="CAD49" s="255"/>
      <c r="CAE49" s="255"/>
      <c r="CAF49" s="255"/>
      <c r="CAG49" s="255"/>
      <c r="CAH49" s="255"/>
      <c r="CAI49" s="255"/>
      <c r="CAJ49" s="255"/>
      <c r="CAK49" s="255"/>
      <c r="CAL49" s="255"/>
      <c r="CAM49" s="255"/>
      <c r="CAN49" s="255"/>
      <c r="CAO49" s="255"/>
      <c r="CAP49" s="255"/>
      <c r="CAQ49" s="255"/>
      <c r="CAR49" s="255"/>
      <c r="CAS49" s="255"/>
      <c r="CAT49" s="255"/>
      <c r="CAU49" s="255"/>
      <c r="CAV49" s="255"/>
      <c r="CAW49" s="255"/>
      <c r="CAX49" s="255"/>
      <c r="CAY49" s="255"/>
      <c r="CAZ49" s="255"/>
      <c r="CBA49" s="255"/>
      <c r="CBB49" s="255"/>
      <c r="CBC49" s="255"/>
      <c r="CBD49" s="255"/>
      <c r="CBE49" s="255"/>
      <c r="CBF49" s="255"/>
      <c r="CBG49" s="255"/>
      <c r="CBH49" s="255"/>
      <c r="CBI49" s="255"/>
      <c r="CBJ49" s="255"/>
      <c r="CBK49" s="255"/>
      <c r="CBL49" s="255"/>
      <c r="CBM49" s="255"/>
      <c r="CBN49" s="255"/>
      <c r="CBO49" s="255"/>
      <c r="CBP49" s="255"/>
      <c r="CBQ49" s="255"/>
      <c r="CBR49" s="255"/>
      <c r="CBS49" s="255"/>
      <c r="CBT49" s="255"/>
      <c r="CBU49" s="255"/>
      <c r="CBV49" s="255"/>
      <c r="CBW49" s="255"/>
      <c r="CBX49" s="255"/>
      <c r="CBY49" s="255"/>
      <c r="CBZ49" s="255"/>
      <c r="CCA49" s="255"/>
      <c r="CCB49" s="255"/>
      <c r="CCC49" s="255"/>
      <c r="CCD49" s="255"/>
      <c r="CCE49" s="255"/>
      <c r="CCF49" s="255"/>
      <c r="CCG49" s="255"/>
      <c r="CCH49" s="255"/>
      <c r="CCI49" s="255"/>
      <c r="CCJ49" s="255"/>
      <c r="CCK49" s="255"/>
      <c r="CCL49" s="255"/>
      <c r="CCM49" s="255"/>
      <c r="CCN49" s="255"/>
      <c r="CCO49" s="255"/>
      <c r="CCP49" s="255"/>
      <c r="CCQ49" s="255"/>
      <c r="CCR49" s="255"/>
      <c r="CCS49" s="255"/>
      <c r="CCT49" s="255"/>
      <c r="CCU49" s="255"/>
      <c r="CCV49" s="255"/>
      <c r="CCW49" s="255"/>
      <c r="CCX49" s="255"/>
      <c r="CCY49" s="255"/>
      <c r="CCZ49" s="255"/>
      <c r="CDA49" s="255"/>
      <c r="CDB49" s="255"/>
      <c r="CDC49" s="255"/>
      <c r="CDD49" s="255"/>
      <c r="CDE49" s="255"/>
      <c r="CDF49" s="255"/>
      <c r="CDG49" s="255"/>
      <c r="CDH49" s="255"/>
      <c r="CDI49" s="255"/>
      <c r="CDJ49" s="255"/>
      <c r="CDK49" s="255"/>
      <c r="CDL49" s="255"/>
      <c r="CDM49" s="255"/>
      <c r="CDN49" s="255"/>
      <c r="CDO49" s="255"/>
      <c r="CDP49" s="255"/>
      <c r="CDQ49" s="255"/>
      <c r="CDR49" s="255"/>
      <c r="CDS49" s="255"/>
      <c r="CDT49" s="255"/>
      <c r="CDU49" s="255"/>
      <c r="CDV49" s="255"/>
      <c r="CDW49" s="255"/>
      <c r="CDX49" s="255"/>
      <c r="CDY49" s="255"/>
      <c r="CDZ49" s="255"/>
      <c r="CEA49" s="255"/>
      <c r="CEB49" s="255"/>
      <c r="CEC49" s="255"/>
      <c r="CED49" s="255"/>
      <c r="CEE49" s="255"/>
      <c r="CEF49" s="255"/>
      <c r="CEG49" s="255"/>
      <c r="CEH49" s="255"/>
      <c r="CEI49" s="255"/>
      <c r="CEJ49" s="255"/>
      <c r="CEK49" s="255"/>
      <c r="CEL49" s="255"/>
      <c r="CEM49" s="255"/>
      <c r="CEN49" s="255"/>
      <c r="CEO49" s="255"/>
      <c r="CEP49" s="255"/>
      <c r="CEQ49" s="255"/>
      <c r="CER49" s="255"/>
      <c r="CES49" s="255"/>
      <c r="CET49" s="255"/>
      <c r="CEU49" s="255"/>
      <c r="CEV49" s="255"/>
      <c r="CEW49" s="255"/>
      <c r="CEX49" s="255"/>
      <c r="CEY49" s="255"/>
      <c r="CEZ49" s="255"/>
      <c r="CFA49" s="255"/>
      <c r="CFB49" s="255"/>
      <c r="CFC49" s="255"/>
      <c r="CFD49" s="255"/>
      <c r="CFE49" s="255"/>
      <c r="CFF49" s="255"/>
      <c r="CFG49" s="255"/>
      <c r="CFH49" s="255"/>
      <c r="CFI49" s="255"/>
      <c r="CFJ49" s="255"/>
      <c r="CFK49" s="255"/>
      <c r="CFL49" s="255"/>
      <c r="CFM49" s="255"/>
      <c r="CFN49" s="255"/>
      <c r="CFO49" s="255"/>
      <c r="CFP49" s="255"/>
      <c r="CFQ49" s="255"/>
      <c r="CFR49" s="255"/>
      <c r="CFS49" s="255"/>
      <c r="CFT49" s="255"/>
      <c r="CFU49" s="255"/>
      <c r="CFV49" s="255"/>
      <c r="CFW49" s="255"/>
      <c r="CFX49" s="255"/>
      <c r="CFY49" s="255"/>
      <c r="CFZ49" s="255"/>
      <c r="CGA49" s="255"/>
      <c r="CGB49" s="255"/>
      <c r="CGC49" s="255"/>
      <c r="CGD49" s="255"/>
      <c r="CGE49" s="255"/>
      <c r="CGF49" s="255"/>
      <c r="CGG49" s="255"/>
      <c r="CGH49" s="255"/>
      <c r="CGI49" s="255"/>
      <c r="CGJ49" s="255"/>
      <c r="CGK49" s="255"/>
      <c r="CGL49" s="255"/>
      <c r="CGM49" s="255"/>
      <c r="CGN49" s="255"/>
      <c r="CGO49" s="255"/>
      <c r="CGP49" s="255"/>
      <c r="CGQ49" s="255"/>
      <c r="CGR49" s="255"/>
      <c r="CGS49" s="255"/>
      <c r="CGT49" s="255"/>
      <c r="CGU49" s="255"/>
      <c r="CGV49" s="255"/>
      <c r="CGW49" s="255"/>
      <c r="CGX49" s="255"/>
      <c r="CGY49" s="255"/>
      <c r="CGZ49" s="255"/>
      <c r="CHA49" s="255"/>
      <c r="CHB49" s="255"/>
      <c r="CHC49" s="255"/>
      <c r="CHD49" s="255"/>
      <c r="CHE49" s="255"/>
      <c r="CHF49" s="255"/>
      <c r="CHG49" s="255"/>
      <c r="CHH49" s="255"/>
      <c r="CHI49" s="255"/>
      <c r="CHJ49" s="255"/>
      <c r="CHK49" s="255"/>
      <c r="CHL49" s="255"/>
      <c r="CHM49" s="255"/>
      <c r="CHN49" s="255"/>
      <c r="CHO49" s="255"/>
      <c r="CHP49" s="255"/>
      <c r="CHQ49" s="255"/>
      <c r="CHR49" s="255"/>
      <c r="CHS49" s="255"/>
      <c r="CHT49" s="255"/>
      <c r="CHU49" s="255"/>
      <c r="CHV49" s="255"/>
      <c r="CHW49" s="255"/>
      <c r="CHX49" s="255"/>
      <c r="CHY49" s="255"/>
      <c r="CHZ49" s="255"/>
      <c r="CIA49" s="255"/>
      <c r="CIB49" s="255"/>
      <c r="CIC49" s="255"/>
      <c r="CID49" s="255"/>
      <c r="CIE49" s="255"/>
      <c r="CIF49" s="255"/>
      <c r="CIG49" s="255"/>
      <c r="CIH49" s="255"/>
      <c r="CII49" s="255"/>
      <c r="CIJ49" s="255"/>
      <c r="CIK49" s="255"/>
      <c r="CIL49" s="255"/>
      <c r="CIM49" s="255"/>
      <c r="CIN49" s="255"/>
      <c r="CIO49" s="255"/>
      <c r="CIP49" s="255"/>
      <c r="CIQ49" s="255"/>
      <c r="CIR49" s="255"/>
      <c r="CIS49" s="255"/>
      <c r="CIT49" s="255"/>
      <c r="CIU49" s="255"/>
      <c r="CIV49" s="255"/>
      <c r="CIW49" s="255"/>
      <c r="CIX49" s="255"/>
      <c r="CIY49" s="255"/>
      <c r="CIZ49" s="255"/>
      <c r="CJA49" s="255"/>
      <c r="CJB49" s="255"/>
      <c r="CJC49" s="255"/>
      <c r="CJD49" s="255"/>
      <c r="CJE49" s="255"/>
      <c r="CJF49" s="255"/>
      <c r="CJG49" s="255"/>
      <c r="CJH49" s="255"/>
      <c r="CJI49" s="255"/>
      <c r="CJJ49" s="255"/>
      <c r="CJK49" s="255"/>
      <c r="CJL49" s="255"/>
      <c r="CJM49" s="255"/>
      <c r="CJN49" s="255"/>
      <c r="CJO49" s="255"/>
      <c r="CJP49" s="255"/>
      <c r="CJQ49" s="255"/>
      <c r="CJR49" s="255"/>
      <c r="CJS49" s="255"/>
      <c r="CJT49" s="255"/>
      <c r="CJU49" s="255"/>
      <c r="CJV49" s="255"/>
      <c r="CJW49" s="255"/>
      <c r="CJX49" s="255"/>
      <c r="CJY49" s="255"/>
      <c r="CJZ49" s="255"/>
      <c r="CKA49" s="255"/>
      <c r="CKB49" s="255"/>
      <c r="CKC49" s="255"/>
      <c r="CKD49" s="255"/>
      <c r="CKE49" s="255"/>
      <c r="CKF49" s="255"/>
      <c r="CKG49" s="255"/>
      <c r="CKH49" s="255"/>
      <c r="CKI49" s="255"/>
      <c r="CKJ49" s="255"/>
      <c r="CKK49" s="255"/>
      <c r="CKL49" s="255"/>
      <c r="CKM49" s="255"/>
      <c r="CKN49" s="255"/>
      <c r="CKO49" s="255"/>
      <c r="CKP49" s="255"/>
      <c r="CKQ49" s="255"/>
      <c r="CKR49" s="255"/>
      <c r="CKS49" s="255"/>
      <c r="CKT49" s="255"/>
      <c r="CKU49" s="255"/>
      <c r="CKV49" s="255"/>
      <c r="CKW49" s="255"/>
      <c r="CKX49" s="255"/>
      <c r="CKY49" s="255"/>
      <c r="CKZ49" s="255"/>
      <c r="CLA49" s="255"/>
      <c r="CLB49" s="255"/>
      <c r="CLC49" s="255"/>
      <c r="CLD49" s="255"/>
      <c r="CLE49" s="255"/>
      <c r="CLF49" s="255"/>
      <c r="CLG49" s="255"/>
      <c r="CLH49" s="255"/>
      <c r="CLI49" s="255"/>
      <c r="CLJ49" s="255"/>
      <c r="CLK49" s="255"/>
      <c r="CLL49" s="255"/>
      <c r="CLM49" s="255"/>
      <c r="CLN49" s="255"/>
      <c r="CLO49" s="255"/>
      <c r="CLP49" s="255"/>
      <c r="CLQ49" s="255"/>
      <c r="CLR49" s="255"/>
      <c r="CLS49" s="255"/>
      <c r="CLT49" s="255"/>
      <c r="CLU49" s="255"/>
      <c r="CLV49" s="255"/>
      <c r="CLW49" s="255"/>
      <c r="CLX49" s="255"/>
      <c r="CLY49" s="255"/>
      <c r="CLZ49" s="255"/>
      <c r="CMA49" s="255"/>
      <c r="CMB49" s="255"/>
      <c r="CMC49" s="255"/>
      <c r="CMD49" s="255"/>
      <c r="CME49" s="255"/>
      <c r="CMF49" s="255"/>
      <c r="CMG49" s="255"/>
      <c r="CMH49" s="255"/>
      <c r="CMI49" s="255"/>
      <c r="CMJ49" s="255"/>
      <c r="CMK49" s="255"/>
      <c r="CML49" s="255"/>
      <c r="CMM49" s="255"/>
      <c r="CMN49" s="255"/>
      <c r="CMO49" s="255"/>
      <c r="CMP49" s="255"/>
      <c r="CMQ49" s="255"/>
      <c r="CMR49" s="255"/>
      <c r="CMS49" s="255"/>
      <c r="CMT49" s="255"/>
      <c r="CMU49" s="255"/>
      <c r="CMV49" s="255"/>
      <c r="CMW49" s="255"/>
      <c r="CMX49" s="255"/>
      <c r="CMY49" s="255"/>
      <c r="CMZ49" s="255"/>
      <c r="CNA49" s="255"/>
      <c r="CNB49" s="255"/>
      <c r="CNC49" s="255"/>
      <c r="CND49" s="255"/>
      <c r="CNE49" s="255"/>
      <c r="CNF49" s="255"/>
      <c r="CNG49" s="255"/>
      <c r="CNH49" s="255"/>
      <c r="CNI49" s="255"/>
      <c r="CNJ49" s="255"/>
      <c r="CNK49" s="255"/>
      <c r="CNL49" s="255"/>
      <c r="CNM49" s="255"/>
      <c r="CNN49" s="255"/>
      <c r="CNO49" s="255"/>
      <c r="CNP49" s="255"/>
      <c r="CNQ49" s="255"/>
      <c r="CNR49" s="255"/>
      <c r="CNS49" s="255"/>
      <c r="CNT49" s="255"/>
      <c r="CNU49" s="255"/>
      <c r="CNV49" s="255"/>
      <c r="CNW49" s="255"/>
      <c r="CNX49" s="255"/>
      <c r="CNY49" s="255"/>
      <c r="CNZ49" s="255"/>
      <c r="COA49" s="255"/>
      <c r="COB49" s="255"/>
      <c r="COC49" s="255"/>
      <c r="COD49" s="255"/>
      <c r="COE49" s="255"/>
      <c r="COF49" s="255"/>
      <c r="COG49" s="255"/>
      <c r="COH49" s="255"/>
      <c r="COI49" s="255"/>
      <c r="COJ49" s="255"/>
      <c r="COK49" s="255"/>
      <c r="COL49" s="255"/>
      <c r="COM49" s="255"/>
      <c r="CON49" s="255"/>
      <c r="COO49" s="255"/>
      <c r="COP49" s="255"/>
      <c r="COQ49" s="255"/>
      <c r="COR49" s="255"/>
      <c r="COS49" s="255"/>
      <c r="COT49" s="255"/>
      <c r="COU49" s="255"/>
      <c r="COV49" s="255"/>
      <c r="COW49" s="255"/>
      <c r="COX49" s="255"/>
      <c r="COY49" s="255"/>
      <c r="COZ49" s="255"/>
      <c r="CPA49" s="255"/>
      <c r="CPB49" s="255"/>
      <c r="CPC49" s="255"/>
      <c r="CPD49" s="255"/>
      <c r="CPE49" s="255"/>
      <c r="CPF49" s="255"/>
      <c r="CPG49" s="255"/>
      <c r="CPH49" s="255"/>
      <c r="CPI49" s="255"/>
      <c r="CPJ49" s="255"/>
      <c r="CPK49" s="255"/>
      <c r="CPL49" s="255"/>
      <c r="CPM49" s="255"/>
      <c r="CPN49" s="255"/>
      <c r="CPO49" s="255"/>
      <c r="CPP49" s="255"/>
      <c r="CPQ49" s="255"/>
      <c r="CPR49" s="255"/>
      <c r="CPS49" s="255"/>
      <c r="CPT49" s="255"/>
      <c r="CPU49" s="255"/>
      <c r="CPV49" s="255"/>
      <c r="CPW49" s="255"/>
      <c r="CPX49" s="255"/>
      <c r="CPY49" s="255"/>
      <c r="CPZ49" s="255"/>
      <c r="CQA49" s="255"/>
      <c r="CQB49" s="255"/>
      <c r="CQC49" s="255"/>
      <c r="CQD49" s="255"/>
      <c r="CQE49" s="255"/>
      <c r="CQF49" s="255"/>
      <c r="CQG49" s="255"/>
      <c r="CQH49" s="255"/>
      <c r="CQI49" s="255"/>
      <c r="CQJ49" s="255"/>
      <c r="CQK49" s="255"/>
      <c r="CQL49" s="255"/>
      <c r="CQM49" s="255"/>
      <c r="CQN49" s="255"/>
      <c r="CQO49" s="255"/>
      <c r="CQP49" s="255"/>
      <c r="CQQ49" s="255"/>
      <c r="CQR49" s="255"/>
      <c r="CQS49" s="255"/>
      <c r="CQT49" s="255"/>
      <c r="CQU49" s="255"/>
      <c r="CQV49" s="255"/>
      <c r="CQW49" s="255"/>
      <c r="CQX49" s="255"/>
      <c r="CQY49" s="255"/>
      <c r="CQZ49" s="255"/>
      <c r="CRA49" s="255"/>
      <c r="CRB49" s="255"/>
      <c r="CRC49" s="255"/>
      <c r="CRD49" s="255"/>
      <c r="CRE49" s="255"/>
      <c r="CRF49" s="255"/>
      <c r="CRG49" s="255"/>
      <c r="CRH49" s="255"/>
      <c r="CRI49" s="255"/>
      <c r="CRJ49" s="255"/>
      <c r="CRK49" s="255"/>
      <c r="CRL49" s="255"/>
      <c r="CRM49" s="255"/>
      <c r="CRN49" s="255"/>
      <c r="CRO49" s="255"/>
      <c r="CRP49" s="255"/>
      <c r="CRQ49" s="255"/>
      <c r="CRR49" s="255"/>
      <c r="CRS49" s="255"/>
      <c r="CRT49" s="255"/>
      <c r="CRU49" s="255"/>
      <c r="CRV49" s="255"/>
      <c r="CRW49" s="255"/>
      <c r="CRX49" s="255"/>
      <c r="CRY49" s="255"/>
      <c r="CRZ49" s="255"/>
      <c r="CSA49" s="255"/>
      <c r="CSB49" s="255"/>
      <c r="CSC49" s="255"/>
      <c r="CSD49" s="255"/>
      <c r="CSE49" s="255"/>
      <c r="CSF49" s="255"/>
      <c r="CSG49" s="255"/>
      <c r="CSH49" s="255"/>
      <c r="CSI49" s="255"/>
      <c r="CSJ49" s="255"/>
      <c r="CSK49" s="255"/>
      <c r="CSL49" s="255"/>
      <c r="CSM49" s="255"/>
      <c r="CSN49" s="255"/>
      <c r="CSO49" s="255"/>
      <c r="CSP49" s="255"/>
      <c r="CSQ49" s="255"/>
      <c r="CSR49" s="255"/>
      <c r="CSS49" s="255"/>
      <c r="CST49" s="255"/>
      <c r="CSU49" s="255"/>
      <c r="CSV49" s="255"/>
      <c r="CSW49" s="255"/>
      <c r="CSX49" s="255"/>
      <c r="CSY49" s="255"/>
      <c r="CSZ49" s="255"/>
      <c r="CTA49" s="255"/>
      <c r="CTB49" s="255"/>
      <c r="CTC49" s="255"/>
      <c r="CTD49" s="255"/>
      <c r="CTE49" s="255"/>
      <c r="CTF49" s="255"/>
      <c r="CTG49" s="255"/>
      <c r="CTH49" s="255"/>
      <c r="CTI49" s="255"/>
      <c r="CTJ49" s="255"/>
      <c r="CTK49" s="255"/>
      <c r="CTL49" s="255"/>
      <c r="CTM49" s="255"/>
      <c r="CTN49" s="255"/>
      <c r="CTO49" s="255"/>
      <c r="CTP49" s="255"/>
      <c r="CTQ49" s="255"/>
      <c r="CTR49" s="255"/>
      <c r="CTS49" s="255"/>
      <c r="CTT49" s="255"/>
      <c r="CTU49" s="255"/>
      <c r="CTV49" s="255"/>
      <c r="CTW49" s="255"/>
      <c r="CTX49" s="255"/>
      <c r="CTY49" s="255"/>
      <c r="CTZ49" s="255"/>
      <c r="CUA49" s="255"/>
      <c r="CUB49" s="255"/>
      <c r="CUC49" s="255"/>
      <c r="CUD49" s="255"/>
      <c r="CUE49" s="255"/>
      <c r="CUF49" s="255"/>
      <c r="CUG49" s="255"/>
      <c r="CUH49" s="255"/>
      <c r="CUI49" s="255"/>
      <c r="CUJ49" s="255"/>
      <c r="CUK49" s="255"/>
      <c r="CUL49" s="255"/>
      <c r="CUM49" s="255"/>
      <c r="CUN49" s="255"/>
      <c r="CUO49" s="255"/>
      <c r="CUP49" s="255"/>
      <c r="CUQ49" s="255"/>
      <c r="CUR49" s="255"/>
      <c r="CUS49" s="255"/>
      <c r="CUT49" s="255"/>
      <c r="CUU49" s="255"/>
      <c r="CUV49" s="255"/>
      <c r="CUW49" s="255"/>
      <c r="CUX49" s="255"/>
      <c r="CUY49" s="255"/>
      <c r="CUZ49" s="255"/>
      <c r="CVA49" s="255"/>
      <c r="CVB49" s="255"/>
      <c r="CVC49" s="255"/>
      <c r="CVD49" s="255"/>
      <c r="CVE49" s="255"/>
      <c r="CVF49" s="255"/>
      <c r="CVG49" s="255"/>
      <c r="CVH49" s="255"/>
      <c r="CVI49" s="255"/>
      <c r="CVJ49" s="255"/>
      <c r="CVK49" s="255"/>
      <c r="CVL49" s="255"/>
      <c r="CVM49" s="255"/>
      <c r="CVN49" s="255"/>
      <c r="CVO49" s="255"/>
      <c r="CVP49" s="255"/>
      <c r="CVQ49" s="255"/>
      <c r="CVR49" s="255"/>
      <c r="CVS49" s="255"/>
      <c r="CVT49" s="255"/>
      <c r="CVU49" s="255"/>
      <c r="CVV49" s="255"/>
      <c r="CVW49" s="255"/>
      <c r="CVX49" s="255"/>
      <c r="CVY49" s="255"/>
      <c r="CVZ49" s="255"/>
      <c r="CWA49" s="255"/>
      <c r="CWB49" s="255"/>
      <c r="CWC49" s="255"/>
      <c r="CWD49" s="255"/>
      <c r="CWE49" s="255"/>
      <c r="CWF49" s="255"/>
      <c r="CWG49" s="255"/>
      <c r="CWH49" s="255"/>
      <c r="CWI49" s="255"/>
      <c r="CWJ49" s="255"/>
      <c r="CWK49" s="255"/>
      <c r="CWL49" s="255"/>
      <c r="CWM49" s="255"/>
      <c r="CWN49" s="255"/>
      <c r="CWO49" s="255"/>
      <c r="CWP49" s="255"/>
      <c r="CWQ49" s="255"/>
      <c r="CWR49" s="255"/>
      <c r="CWS49" s="255"/>
      <c r="CWT49" s="255"/>
      <c r="CWU49" s="255"/>
      <c r="CWV49" s="255"/>
      <c r="CWW49" s="255"/>
      <c r="CWX49" s="255"/>
      <c r="CWY49" s="255"/>
      <c r="CWZ49" s="255"/>
      <c r="CXA49" s="255"/>
      <c r="CXB49" s="255"/>
      <c r="CXC49" s="255"/>
      <c r="CXD49" s="255"/>
      <c r="CXE49" s="255"/>
      <c r="CXF49" s="255"/>
      <c r="CXG49" s="255"/>
      <c r="CXH49" s="255"/>
      <c r="CXI49" s="255"/>
      <c r="CXJ49" s="255"/>
      <c r="CXK49" s="255"/>
      <c r="CXL49" s="255"/>
      <c r="CXM49" s="255"/>
      <c r="CXN49" s="255"/>
      <c r="CXO49" s="255"/>
      <c r="CXP49" s="255"/>
      <c r="CXQ49" s="255"/>
      <c r="CXR49" s="255"/>
      <c r="CXS49" s="255"/>
      <c r="CXT49" s="255"/>
      <c r="CXU49" s="255"/>
      <c r="CXV49" s="255"/>
      <c r="CXW49" s="255"/>
      <c r="CXX49" s="255"/>
      <c r="CXY49" s="255"/>
      <c r="CXZ49" s="255"/>
      <c r="CYA49" s="255"/>
      <c r="CYB49" s="255"/>
      <c r="CYC49" s="255"/>
      <c r="CYD49" s="255"/>
      <c r="CYE49" s="255"/>
      <c r="CYF49" s="255"/>
      <c r="CYG49" s="255"/>
      <c r="CYH49" s="255"/>
      <c r="CYI49" s="255"/>
      <c r="CYJ49" s="255"/>
      <c r="CYK49" s="255"/>
      <c r="CYL49" s="255"/>
      <c r="CYM49" s="255"/>
      <c r="CYN49" s="255"/>
      <c r="CYO49" s="255"/>
      <c r="CYP49" s="255"/>
      <c r="CYQ49" s="255"/>
      <c r="CYR49" s="255"/>
      <c r="CYS49" s="255"/>
      <c r="CYT49" s="255"/>
      <c r="CYU49" s="255"/>
      <c r="CYV49" s="255"/>
      <c r="CYW49" s="255"/>
      <c r="CYX49" s="255"/>
      <c r="CYY49" s="255"/>
      <c r="CYZ49" s="255"/>
      <c r="CZA49" s="255"/>
      <c r="CZB49" s="255"/>
      <c r="CZC49" s="255"/>
      <c r="CZD49" s="255"/>
      <c r="CZE49" s="255"/>
      <c r="CZF49" s="255"/>
      <c r="CZG49" s="255"/>
      <c r="CZH49" s="255"/>
      <c r="CZI49" s="255"/>
      <c r="CZJ49" s="255"/>
      <c r="CZK49" s="255"/>
      <c r="CZL49" s="255"/>
      <c r="CZM49" s="255"/>
      <c r="CZN49" s="255"/>
      <c r="CZO49" s="255"/>
      <c r="CZP49" s="255"/>
      <c r="CZQ49" s="255"/>
      <c r="CZR49" s="255"/>
      <c r="CZS49" s="255"/>
      <c r="CZT49" s="255"/>
      <c r="CZU49" s="255"/>
      <c r="CZV49" s="255"/>
      <c r="CZW49" s="255"/>
      <c r="CZX49" s="255"/>
      <c r="CZY49" s="255"/>
      <c r="CZZ49" s="255"/>
      <c r="DAA49" s="255"/>
      <c r="DAB49" s="255"/>
      <c r="DAC49" s="255"/>
      <c r="DAD49" s="255"/>
      <c r="DAE49" s="255"/>
      <c r="DAF49" s="255"/>
      <c r="DAG49" s="255"/>
      <c r="DAH49" s="255"/>
      <c r="DAI49" s="255"/>
      <c r="DAJ49" s="255"/>
      <c r="DAK49" s="255"/>
      <c r="DAL49" s="255"/>
      <c r="DAM49" s="255"/>
      <c r="DAN49" s="255"/>
      <c r="DAO49" s="255"/>
      <c r="DAP49" s="255"/>
      <c r="DAQ49" s="255"/>
      <c r="DAR49" s="255"/>
      <c r="DAS49" s="255"/>
      <c r="DAT49" s="255"/>
      <c r="DAU49" s="255"/>
      <c r="DAV49" s="255"/>
      <c r="DAW49" s="255"/>
      <c r="DAX49" s="255"/>
      <c r="DAY49" s="255"/>
      <c r="DAZ49" s="255"/>
      <c r="DBA49" s="255"/>
      <c r="DBB49" s="255"/>
      <c r="DBC49" s="255"/>
      <c r="DBD49" s="255"/>
      <c r="DBE49" s="255"/>
      <c r="DBF49" s="255"/>
      <c r="DBG49" s="255"/>
      <c r="DBH49" s="255"/>
      <c r="DBI49" s="255"/>
      <c r="DBJ49" s="255"/>
      <c r="DBK49" s="255"/>
      <c r="DBL49" s="255"/>
      <c r="DBM49" s="255"/>
      <c r="DBN49" s="255"/>
      <c r="DBO49" s="255"/>
      <c r="DBP49" s="255"/>
      <c r="DBQ49" s="255"/>
      <c r="DBR49" s="255"/>
      <c r="DBS49" s="255"/>
      <c r="DBT49" s="255"/>
      <c r="DBU49" s="255"/>
      <c r="DBV49" s="255"/>
      <c r="DBW49" s="255"/>
      <c r="DBX49" s="255"/>
      <c r="DBY49" s="255"/>
      <c r="DBZ49" s="255"/>
      <c r="DCA49" s="255"/>
      <c r="DCB49" s="255"/>
      <c r="DCC49" s="255"/>
      <c r="DCD49" s="255"/>
      <c r="DCE49" s="255"/>
      <c r="DCF49" s="255"/>
      <c r="DCG49" s="255"/>
      <c r="DCH49" s="255"/>
      <c r="DCI49" s="255"/>
      <c r="DCJ49" s="255"/>
      <c r="DCK49" s="255"/>
      <c r="DCL49" s="255"/>
      <c r="DCM49" s="255"/>
      <c r="DCN49" s="255"/>
      <c r="DCO49" s="255"/>
      <c r="DCP49" s="255"/>
      <c r="DCQ49" s="255"/>
      <c r="DCR49" s="255"/>
      <c r="DCS49" s="255"/>
      <c r="DCT49" s="255"/>
      <c r="DCU49" s="255"/>
      <c r="DCV49" s="255"/>
      <c r="DCW49" s="255"/>
      <c r="DCX49" s="255"/>
      <c r="DCY49" s="255"/>
      <c r="DCZ49" s="255"/>
      <c r="DDA49" s="255"/>
      <c r="DDB49" s="255"/>
      <c r="DDC49" s="255"/>
      <c r="DDD49" s="255"/>
      <c r="DDE49" s="255"/>
      <c r="DDF49" s="255"/>
      <c r="DDG49" s="255"/>
      <c r="DDH49" s="255"/>
      <c r="DDI49" s="255"/>
      <c r="DDJ49" s="255"/>
      <c r="DDK49" s="255"/>
      <c r="DDL49" s="255"/>
      <c r="DDM49" s="255"/>
      <c r="DDN49" s="255"/>
      <c r="DDO49" s="255"/>
      <c r="DDP49" s="255"/>
      <c r="DDQ49" s="255"/>
      <c r="DDR49" s="255"/>
      <c r="DDS49" s="255"/>
      <c r="DDT49" s="255"/>
      <c r="DDU49" s="255"/>
      <c r="DDV49" s="255"/>
      <c r="DDW49" s="255"/>
      <c r="DDX49" s="255"/>
      <c r="DDY49" s="255"/>
      <c r="DDZ49" s="255"/>
      <c r="DEA49" s="255"/>
      <c r="DEB49" s="255"/>
      <c r="DEC49" s="255"/>
      <c r="DED49" s="255"/>
      <c r="DEE49" s="255"/>
      <c r="DEF49" s="255"/>
      <c r="DEG49" s="255"/>
      <c r="DEH49" s="255"/>
      <c r="DEI49" s="255"/>
      <c r="DEJ49" s="255"/>
      <c r="DEK49" s="255"/>
      <c r="DEL49" s="255"/>
      <c r="DEM49" s="255"/>
      <c r="DEN49" s="255"/>
      <c r="DEO49" s="255"/>
      <c r="DEP49" s="255"/>
      <c r="DEQ49" s="255"/>
      <c r="DER49" s="255"/>
      <c r="DES49" s="255"/>
      <c r="DET49" s="255"/>
      <c r="DEU49" s="255"/>
      <c r="DEV49" s="255"/>
      <c r="DEW49" s="255"/>
      <c r="DEX49" s="255"/>
      <c r="DEY49" s="255"/>
      <c r="DEZ49" s="255"/>
      <c r="DFA49" s="255"/>
      <c r="DFB49" s="255"/>
      <c r="DFC49" s="255"/>
      <c r="DFD49" s="255"/>
      <c r="DFE49" s="255"/>
      <c r="DFF49" s="255"/>
      <c r="DFG49" s="255"/>
      <c r="DFH49" s="255"/>
      <c r="DFI49" s="255"/>
      <c r="DFJ49" s="255"/>
      <c r="DFK49" s="255"/>
      <c r="DFL49" s="255"/>
      <c r="DFM49" s="255"/>
      <c r="DFN49" s="255"/>
      <c r="DFO49" s="255"/>
      <c r="DFP49" s="255"/>
      <c r="DFQ49" s="255"/>
      <c r="DFR49" s="255"/>
      <c r="DFS49" s="255"/>
      <c r="DFT49" s="255"/>
      <c r="DFU49" s="255"/>
      <c r="DFV49" s="255"/>
      <c r="DFW49" s="255"/>
      <c r="DFX49" s="255"/>
      <c r="DFY49" s="255"/>
      <c r="DFZ49" s="255"/>
      <c r="DGA49" s="255"/>
      <c r="DGB49" s="255"/>
      <c r="DGC49" s="255"/>
      <c r="DGD49" s="255"/>
      <c r="DGE49" s="255"/>
      <c r="DGF49" s="255"/>
      <c r="DGG49" s="255"/>
      <c r="DGH49" s="255"/>
      <c r="DGI49" s="255"/>
      <c r="DGJ49" s="255"/>
      <c r="DGK49" s="255"/>
      <c r="DGL49" s="255"/>
      <c r="DGM49" s="255"/>
      <c r="DGN49" s="255"/>
      <c r="DGO49" s="255"/>
      <c r="DGP49" s="255"/>
      <c r="DGQ49" s="255"/>
      <c r="DGR49" s="255"/>
      <c r="DGS49" s="255"/>
      <c r="DGT49" s="255"/>
      <c r="DGU49" s="255"/>
      <c r="DGV49" s="255"/>
      <c r="DGW49" s="255"/>
      <c r="DGX49" s="255"/>
      <c r="DGY49" s="255"/>
      <c r="DGZ49" s="255"/>
      <c r="DHA49" s="255"/>
      <c r="DHB49" s="255"/>
      <c r="DHC49" s="255"/>
      <c r="DHD49" s="255"/>
      <c r="DHE49" s="255"/>
      <c r="DHF49" s="255"/>
      <c r="DHG49" s="255"/>
      <c r="DHH49" s="255"/>
      <c r="DHI49" s="255"/>
      <c r="DHJ49" s="255"/>
      <c r="DHK49" s="255"/>
      <c r="DHL49" s="255"/>
      <c r="DHM49" s="255"/>
      <c r="DHN49" s="255"/>
      <c r="DHO49" s="255"/>
      <c r="DHP49" s="255"/>
      <c r="DHQ49" s="255"/>
      <c r="DHR49" s="255"/>
      <c r="DHS49" s="255"/>
      <c r="DHT49" s="255"/>
      <c r="DHU49" s="255"/>
      <c r="DHV49" s="255"/>
      <c r="DHW49" s="255"/>
      <c r="DHX49" s="255"/>
      <c r="DHY49" s="255"/>
      <c r="DHZ49" s="255"/>
      <c r="DIA49" s="255"/>
      <c r="DIB49" s="255"/>
      <c r="DIC49" s="255"/>
      <c r="DID49" s="255"/>
      <c r="DIE49" s="255"/>
      <c r="DIF49" s="255"/>
      <c r="DIG49" s="255"/>
      <c r="DIH49" s="255"/>
      <c r="DII49" s="255"/>
      <c r="DIJ49" s="255"/>
      <c r="DIK49" s="255"/>
      <c r="DIL49" s="255"/>
      <c r="DIM49" s="255"/>
      <c r="DIN49" s="255"/>
      <c r="DIO49" s="255"/>
      <c r="DIP49" s="255"/>
      <c r="DIQ49" s="255"/>
      <c r="DIR49" s="255"/>
      <c r="DIS49" s="255"/>
      <c r="DIT49" s="255"/>
      <c r="DIU49" s="255"/>
      <c r="DIV49" s="255"/>
      <c r="DIW49" s="255"/>
      <c r="DIX49" s="255"/>
      <c r="DIY49" s="255"/>
      <c r="DIZ49" s="255"/>
      <c r="DJA49" s="255"/>
      <c r="DJB49" s="255"/>
      <c r="DJC49" s="255"/>
      <c r="DJD49" s="255"/>
      <c r="DJE49" s="255"/>
      <c r="DJF49" s="255"/>
      <c r="DJG49" s="255"/>
      <c r="DJH49" s="255"/>
      <c r="DJI49" s="255"/>
      <c r="DJJ49" s="255"/>
      <c r="DJK49" s="255"/>
      <c r="DJL49" s="255"/>
      <c r="DJM49" s="255"/>
      <c r="DJN49" s="255"/>
      <c r="DJO49" s="255"/>
      <c r="DJP49" s="255"/>
      <c r="DJQ49" s="255"/>
      <c r="DJR49" s="255"/>
      <c r="DJS49" s="255"/>
      <c r="DJT49" s="255"/>
      <c r="DJU49" s="255"/>
      <c r="DJV49" s="255"/>
      <c r="DJW49" s="255"/>
      <c r="DJX49" s="255"/>
      <c r="DJY49" s="255"/>
      <c r="DJZ49" s="255"/>
      <c r="DKA49" s="255"/>
      <c r="DKB49" s="255"/>
      <c r="DKC49" s="255"/>
      <c r="DKD49" s="255"/>
      <c r="DKE49" s="255"/>
      <c r="DKF49" s="255"/>
      <c r="DKG49" s="255"/>
      <c r="DKH49" s="255"/>
      <c r="DKI49" s="255"/>
      <c r="DKJ49" s="255"/>
      <c r="DKK49" s="255"/>
      <c r="DKL49" s="255"/>
      <c r="DKM49" s="255"/>
      <c r="DKN49" s="255"/>
      <c r="DKO49" s="255"/>
      <c r="DKP49" s="255"/>
      <c r="DKQ49" s="255"/>
      <c r="DKR49" s="255"/>
      <c r="DKS49" s="255"/>
      <c r="DKT49" s="255"/>
      <c r="DKU49" s="255"/>
      <c r="DKV49" s="255"/>
      <c r="DKW49" s="255"/>
      <c r="DKX49" s="255"/>
      <c r="DKY49" s="255"/>
      <c r="DKZ49" s="255"/>
      <c r="DLA49" s="255"/>
      <c r="DLB49" s="255"/>
      <c r="DLC49" s="255"/>
      <c r="DLD49" s="255"/>
      <c r="DLE49" s="255"/>
      <c r="DLF49" s="255"/>
      <c r="DLG49" s="255"/>
      <c r="DLH49" s="255"/>
      <c r="DLI49" s="255"/>
      <c r="DLJ49" s="255"/>
      <c r="DLK49" s="255"/>
      <c r="DLL49" s="255"/>
      <c r="DLM49" s="255"/>
      <c r="DLN49" s="255"/>
      <c r="DLO49" s="255"/>
      <c r="DLP49" s="255"/>
      <c r="DLQ49" s="255"/>
      <c r="DLR49" s="255"/>
      <c r="DLS49" s="255"/>
      <c r="DLT49" s="255"/>
      <c r="DLU49" s="255"/>
      <c r="DLV49" s="255"/>
      <c r="DLW49" s="255"/>
      <c r="DLX49" s="255"/>
      <c r="DLY49" s="255"/>
      <c r="DLZ49" s="255"/>
      <c r="DMA49" s="255"/>
      <c r="DMB49" s="255"/>
      <c r="DMC49" s="255"/>
      <c r="DMD49" s="255"/>
      <c r="DME49" s="255"/>
      <c r="DMF49" s="255"/>
      <c r="DMG49" s="255"/>
      <c r="DMH49" s="255"/>
      <c r="DMI49" s="255"/>
      <c r="DMJ49" s="255"/>
      <c r="DMK49" s="255"/>
      <c r="DML49" s="255"/>
      <c r="DMM49" s="255"/>
      <c r="DMN49" s="255"/>
      <c r="DMO49" s="255"/>
      <c r="DMP49" s="255"/>
      <c r="DMQ49" s="255"/>
      <c r="DMR49" s="255"/>
      <c r="DMS49" s="255"/>
      <c r="DMT49" s="255"/>
      <c r="DMU49" s="255"/>
      <c r="DMV49" s="255"/>
      <c r="DMW49" s="255"/>
      <c r="DMX49" s="255"/>
      <c r="DMY49" s="255"/>
      <c r="DMZ49" s="255"/>
      <c r="DNA49" s="255"/>
      <c r="DNB49" s="255"/>
      <c r="DNC49" s="255"/>
      <c r="DND49" s="255"/>
      <c r="DNE49" s="255"/>
      <c r="DNF49" s="255"/>
      <c r="DNG49" s="255"/>
      <c r="DNH49" s="255"/>
      <c r="DNI49" s="255"/>
      <c r="DNJ49" s="255"/>
      <c r="DNK49" s="255"/>
      <c r="DNL49" s="255"/>
      <c r="DNM49" s="255"/>
      <c r="DNN49" s="255"/>
      <c r="DNO49" s="255"/>
      <c r="DNP49" s="255"/>
      <c r="DNQ49" s="255"/>
      <c r="DNR49" s="255"/>
      <c r="DNS49" s="255"/>
      <c r="DNT49" s="255"/>
      <c r="DNU49" s="255"/>
      <c r="DNV49" s="255"/>
      <c r="DNW49" s="255"/>
      <c r="DNX49" s="255"/>
      <c r="DNY49" s="255"/>
      <c r="DNZ49" s="255"/>
      <c r="DOA49" s="255"/>
      <c r="DOB49" s="255"/>
      <c r="DOC49" s="255"/>
      <c r="DOD49" s="255"/>
      <c r="DOE49" s="255"/>
      <c r="DOF49" s="255"/>
      <c r="DOG49" s="255"/>
      <c r="DOH49" s="255"/>
      <c r="DOI49" s="255"/>
      <c r="DOJ49" s="255"/>
      <c r="DOK49" s="255"/>
      <c r="DOL49" s="255"/>
      <c r="DOM49" s="255"/>
      <c r="DON49" s="255"/>
      <c r="DOO49" s="255"/>
      <c r="DOP49" s="255"/>
      <c r="DOQ49" s="255"/>
      <c r="DOR49" s="255"/>
      <c r="DOS49" s="255"/>
      <c r="DOT49" s="255"/>
      <c r="DOU49" s="255"/>
      <c r="DOV49" s="255"/>
      <c r="DOW49" s="255"/>
      <c r="DOX49" s="255"/>
      <c r="DOY49" s="255"/>
      <c r="DOZ49" s="255"/>
      <c r="DPA49" s="255"/>
      <c r="DPB49" s="255"/>
      <c r="DPC49" s="255"/>
      <c r="DPD49" s="255"/>
      <c r="DPE49" s="255"/>
      <c r="DPF49" s="255"/>
      <c r="DPG49" s="255"/>
      <c r="DPH49" s="255"/>
      <c r="DPI49" s="255"/>
      <c r="DPJ49" s="255"/>
      <c r="DPK49" s="255"/>
      <c r="DPL49" s="255"/>
      <c r="DPM49" s="255"/>
      <c r="DPN49" s="255"/>
      <c r="DPO49" s="255"/>
      <c r="DPP49" s="255"/>
      <c r="DPQ49" s="255"/>
      <c r="DPR49" s="255"/>
      <c r="DPS49" s="255"/>
      <c r="DPT49" s="255"/>
      <c r="DPU49" s="255"/>
      <c r="DPV49" s="255"/>
      <c r="DPW49" s="255"/>
      <c r="DPX49" s="255"/>
      <c r="DPY49" s="255"/>
      <c r="DPZ49" s="255"/>
      <c r="DQA49" s="255"/>
      <c r="DQB49" s="255"/>
      <c r="DQC49" s="255"/>
      <c r="DQD49" s="255"/>
      <c r="DQE49" s="255"/>
      <c r="DQF49" s="255"/>
      <c r="DQG49" s="255"/>
      <c r="DQH49" s="255"/>
      <c r="DQI49" s="255"/>
      <c r="DQJ49" s="255"/>
      <c r="DQK49" s="255"/>
      <c r="DQL49" s="255"/>
      <c r="DQM49" s="255"/>
      <c r="DQN49" s="255"/>
      <c r="DQO49" s="255"/>
      <c r="DQP49" s="255"/>
      <c r="DQQ49" s="255"/>
      <c r="DQR49" s="255"/>
      <c r="DQS49" s="255"/>
      <c r="DQT49" s="255"/>
      <c r="DQU49" s="255"/>
      <c r="DQV49" s="255"/>
      <c r="DQW49" s="255"/>
      <c r="DQX49" s="255"/>
      <c r="DQY49" s="255"/>
      <c r="DQZ49" s="255"/>
      <c r="DRA49" s="255"/>
      <c r="DRB49" s="255"/>
      <c r="DRC49" s="255"/>
      <c r="DRD49" s="255"/>
      <c r="DRE49" s="255"/>
      <c r="DRF49" s="255"/>
      <c r="DRG49" s="255"/>
      <c r="DRH49" s="255"/>
      <c r="DRI49" s="255"/>
      <c r="DRJ49" s="255"/>
      <c r="DRK49" s="255"/>
      <c r="DRL49" s="255"/>
      <c r="DRM49" s="255"/>
      <c r="DRN49" s="255"/>
      <c r="DRO49" s="255"/>
      <c r="DRP49" s="255"/>
      <c r="DRQ49" s="255"/>
      <c r="DRR49" s="255"/>
      <c r="DRS49" s="255"/>
      <c r="DRT49" s="255"/>
      <c r="DRU49" s="255"/>
      <c r="DRV49" s="255"/>
      <c r="DRW49" s="255"/>
      <c r="DRX49" s="255"/>
      <c r="DRY49" s="255"/>
      <c r="DRZ49" s="255"/>
      <c r="DSA49" s="255"/>
      <c r="DSB49" s="255"/>
      <c r="DSC49" s="255"/>
      <c r="DSD49" s="255"/>
      <c r="DSE49" s="255"/>
      <c r="DSF49" s="255"/>
      <c r="DSG49" s="255"/>
      <c r="DSH49" s="255"/>
      <c r="DSI49" s="255"/>
      <c r="DSJ49" s="255"/>
      <c r="DSK49" s="255"/>
      <c r="DSL49" s="255"/>
      <c r="DSM49" s="255"/>
      <c r="DSN49" s="255"/>
      <c r="DSO49" s="255"/>
      <c r="DSP49" s="255"/>
      <c r="DSQ49" s="255"/>
      <c r="DSR49" s="255"/>
      <c r="DSS49" s="255"/>
      <c r="DST49" s="255"/>
      <c r="DSU49" s="255"/>
      <c r="DSV49" s="255"/>
      <c r="DSW49" s="255"/>
      <c r="DSX49" s="255"/>
      <c r="DSY49" s="255"/>
      <c r="DSZ49" s="255"/>
      <c r="DTA49" s="255"/>
      <c r="DTB49" s="255"/>
      <c r="DTC49" s="255"/>
      <c r="DTD49" s="255"/>
      <c r="DTE49" s="255"/>
      <c r="DTF49" s="255"/>
      <c r="DTG49" s="255"/>
      <c r="DTH49" s="255"/>
      <c r="DTI49" s="255"/>
      <c r="DTJ49" s="255"/>
      <c r="DTK49" s="255"/>
      <c r="DTL49" s="255"/>
      <c r="DTM49" s="255"/>
      <c r="DTN49" s="255"/>
      <c r="DTO49" s="255"/>
      <c r="DTP49" s="255"/>
      <c r="DTQ49" s="255"/>
      <c r="DTR49" s="255"/>
      <c r="DTS49" s="255"/>
      <c r="DTT49" s="255"/>
      <c r="DTU49" s="255"/>
      <c r="DTV49" s="255"/>
      <c r="DTW49" s="255"/>
      <c r="DTX49" s="255"/>
      <c r="DTY49" s="255"/>
      <c r="DTZ49" s="255"/>
      <c r="DUA49" s="255"/>
      <c r="DUB49" s="255"/>
      <c r="DUC49" s="255"/>
      <c r="DUD49" s="255"/>
      <c r="DUE49" s="255"/>
      <c r="DUF49" s="255"/>
      <c r="DUG49" s="255"/>
      <c r="DUH49" s="255"/>
      <c r="DUI49" s="255"/>
      <c r="DUJ49" s="255"/>
      <c r="DUK49" s="255"/>
      <c r="DUL49" s="255"/>
      <c r="DUM49" s="255"/>
      <c r="DUN49" s="255"/>
      <c r="DUO49" s="255"/>
      <c r="DUP49" s="255"/>
      <c r="DUQ49" s="255"/>
      <c r="DUR49" s="255"/>
      <c r="DUS49" s="255"/>
      <c r="DUT49" s="255"/>
      <c r="DUU49" s="255"/>
      <c r="DUV49" s="255"/>
      <c r="DUW49" s="255"/>
      <c r="DUX49" s="255"/>
      <c r="DUY49" s="255"/>
      <c r="DUZ49" s="255"/>
      <c r="DVA49" s="255"/>
      <c r="DVB49" s="255"/>
      <c r="DVC49" s="255"/>
      <c r="DVD49" s="255"/>
      <c r="DVE49" s="255"/>
      <c r="DVF49" s="255"/>
      <c r="DVG49" s="255"/>
      <c r="DVH49" s="255"/>
      <c r="DVI49" s="255"/>
      <c r="DVJ49" s="255"/>
      <c r="DVK49" s="255"/>
      <c r="DVL49" s="255"/>
      <c r="DVM49" s="255"/>
      <c r="DVN49" s="255"/>
      <c r="DVO49" s="255"/>
      <c r="DVP49" s="255"/>
      <c r="DVQ49" s="255"/>
      <c r="DVR49" s="255"/>
      <c r="DVS49" s="255"/>
      <c r="DVT49" s="255"/>
      <c r="DVU49" s="255"/>
      <c r="DVV49" s="255"/>
      <c r="DVW49" s="255"/>
      <c r="DVX49" s="255"/>
      <c r="DVY49" s="255"/>
      <c r="DVZ49" s="255"/>
      <c r="DWA49" s="255"/>
      <c r="DWB49" s="255"/>
      <c r="DWC49" s="255"/>
      <c r="DWD49" s="255"/>
      <c r="DWE49" s="255"/>
      <c r="DWF49" s="255"/>
      <c r="DWG49" s="255"/>
      <c r="DWH49" s="255"/>
      <c r="DWI49" s="255"/>
      <c r="DWJ49" s="255"/>
      <c r="DWK49" s="255"/>
      <c r="DWL49" s="255"/>
      <c r="DWM49" s="255"/>
      <c r="DWN49" s="255"/>
      <c r="DWO49" s="255"/>
      <c r="DWP49" s="255"/>
      <c r="DWQ49" s="255"/>
      <c r="DWR49" s="255"/>
      <c r="DWS49" s="255"/>
      <c r="DWT49" s="255"/>
      <c r="DWU49" s="255"/>
      <c r="DWV49" s="255"/>
      <c r="DWW49" s="255"/>
      <c r="DWX49" s="255"/>
      <c r="DWY49" s="255"/>
      <c r="DWZ49" s="255"/>
      <c r="DXA49" s="255"/>
      <c r="DXB49" s="255"/>
      <c r="DXC49" s="255"/>
      <c r="DXD49" s="255"/>
      <c r="DXE49" s="255"/>
      <c r="DXF49" s="255"/>
      <c r="DXG49" s="255"/>
      <c r="DXH49" s="255"/>
      <c r="DXI49" s="255"/>
      <c r="DXJ49" s="255"/>
      <c r="DXK49" s="255"/>
      <c r="DXL49" s="255"/>
      <c r="DXM49" s="255"/>
      <c r="DXN49" s="255"/>
      <c r="DXO49" s="255"/>
      <c r="DXP49" s="255"/>
      <c r="DXQ49" s="255"/>
      <c r="DXR49" s="255"/>
      <c r="DXS49" s="255"/>
      <c r="DXT49" s="255"/>
      <c r="DXU49" s="255"/>
      <c r="DXV49" s="255"/>
      <c r="DXW49" s="255"/>
      <c r="DXX49" s="255"/>
      <c r="DXY49" s="255"/>
      <c r="DXZ49" s="255"/>
      <c r="DYA49" s="255"/>
      <c r="DYB49" s="255"/>
      <c r="DYC49" s="255"/>
      <c r="DYD49" s="255"/>
      <c r="DYE49" s="255"/>
      <c r="DYF49" s="255"/>
      <c r="DYG49" s="255"/>
      <c r="DYH49" s="255"/>
      <c r="DYI49" s="255"/>
      <c r="DYJ49" s="255"/>
      <c r="DYK49" s="255"/>
      <c r="DYL49" s="255"/>
      <c r="DYM49" s="255"/>
      <c r="DYN49" s="255"/>
      <c r="DYO49" s="255"/>
      <c r="DYP49" s="255"/>
      <c r="DYQ49" s="255"/>
      <c r="DYR49" s="255"/>
      <c r="DYS49" s="255"/>
      <c r="DYT49" s="255"/>
      <c r="DYU49" s="255"/>
      <c r="DYV49" s="255"/>
      <c r="DYW49" s="255"/>
      <c r="DYX49" s="255"/>
      <c r="DYY49" s="255"/>
      <c r="DYZ49" s="255"/>
      <c r="DZA49" s="255"/>
      <c r="DZB49" s="255"/>
      <c r="DZC49" s="255"/>
      <c r="DZD49" s="255"/>
      <c r="DZE49" s="255"/>
      <c r="DZF49" s="255"/>
      <c r="DZG49" s="255"/>
      <c r="DZH49" s="255"/>
      <c r="DZI49" s="255"/>
      <c r="DZJ49" s="255"/>
      <c r="DZK49" s="255"/>
      <c r="DZL49" s="255"/>
      <c r="DZM49" s="255"/>
      <c r="DZN49" s="255"/>
      <c r="DZO49" s="255"/>
      <c r="DZP49" s="255"/>
      <c r="DZQ49" s="255"/>
      <c r="DZR49" s="255"/>
      <c r="DZS49" s="255"/>
      <c r="DZT49" s="255"/>
      <c r="DZU49" s="255"/>
      <c r="DZV49" s="255"/>
      <c r="DZW49" s="255"/>
      <c r="DZX49" s="255"/>
      <c r="DZY49" s="255"/>
      <c r="DZZ49" s="255"/>
      <c r="EAA49" s="255"/>
      <c r="EAB49" s="255"/>
      <c r="EAC49" s="255"/>
      <c r="EAD49" s="255"/>
      <c r="EAE49" s="255"/>
      <c r="EAF49" s="255"/>
      <c r="EAG49" s="255"/>
      <c r="EAH49" s="255"/>
      <c r="EAI49" s="255"/>
      <c r="EAJ49" s="255"/>
      <c r="EAK49" s="255"/>
      <c r="EAL49" s="255"/>
      <c r="EAM49" s="255"/>
      <c r="EAN49" s="255"/>
      <c r="EAO49" s="255"/>
      <c r="EAP49" s="255"/>
      <c r="EAQ49" s="255"/>
      <c r="EAR49" s="255"/>
      <c r="EAS49" s="255"/>
      <c r="EAT49" s="255"/>
      <c r="EAU49" s="255"/>
      <c r="EAV49" s="255"/>
      <c r="EAW49" s="255"/>
      <c r="EAX49" s="255"/>
      <c r="EAY49" s="255"/>
      <c r="EAZ49" s="255"/>
      <c r="EBA49" s="255"/>
      <c r="EBB49" s="255"/>
      <c r="EBC49" s="255"/>
      <c r="EBD49" s="255"/>
      <c r="EBE49" s="255"/>
      <c r="EBF49" s="255"/>
      <c r="EBG49" s="255"/>
      <c r="EBH49" s="255"/>
      <c r="EBI49" s="255"/>
      <c r="EBJ49" s="255"/>
      <c r="EBK49" s="255"/>
      <c r="EBL49" s="255"/>
      <c r="EBM49" s="255"/>
      <c r="EBN49" s="255"/>
      <c r="EBO49" s="255"/>
      <c r="EBP49" s="255"/>
      <c r="EBQ49" s="255"/>
      <c r="EBR49" s="255"/>
      <c r="EBS49" s="255"/>
      <c r="EBT49" s="255"/>
      <c r="EBU49" s="255"/>
      <c r="EBV49" s="255"/>
      <c r="EBW49" s="255"/>
      <c r="EBX49" s="255"/>
      <c r="EBY49" s="255"/>
      <c r="EBZ49" s="255"/>
      <c r="ECA49" s="255"/>
      <c r="ECB49" s="255"/>
      <c r="ECC49" s="255"/>
      <c r="ECD49" s="255"/>
      <c r="ECE49" s="255"/>
      <c r="ECF49" s="255"/>
      <c r="ECG49" s="255"/>
      <c r="ECH49" s="255"/>
      <c r="ECI49" s="255"/>
      <c r="ECJ49" s="255"/>
      <c r="ECK49" s="255"/>
      <c r="ECL49" s="255"/>
      <c r="ECM49" s="255"/>
      <c r="ECN49" s="255"/>
      <c r="ECO49" s="255"/>
      <c r="ECP49" s="255"/>
      <c r="ECQ49" s="255"/>
      <c r="ECR49" s="255"/>
      <c r="ECS49" s="255"/>
      <c r="ECT49" s="255"/>
      <c r="ECU49" s="255"/>
      <c r="ECV49" s="255"/>
      <c r="ECW49" s="255"/>
      <c r="ECX49" s="255"/>
      <c r="ECY49" s="255"/>
      <c r="ECZ49" s="255"/>
      <c r="EDA49" s="255"/>
      <c r="EDB49" s="255"/>
      <c r="EDC49" s="255"/>
      <c r="EDD49" s="255"/>
      <c r="EDE49" s="255"/>
      <c r="EDF49" s="255"/>
      <c r="EDG49" s="255"/>
      <c r="EDH49" s="255"/>
      <c r="EDI49" s="255"/>
      <c r="EDJ49" s="255"/>
      <c r="EDK49" s="255"/>
      <c r="EDL49" s="255"/>
      <c r="EDM49" s="255"/>
      <c r="EDN49" s="255"/>
      <c r="EDO49" s="255"/>
      <c r="EDP49" s="255"/>
      <c r="EDQ49" s="255"/>
      <c r="EDR49" s="255"/>
      <c r="EDS49" s="255"/>
      <c r="EDT49" s="255"/>
      <c r="EDU49" s="255"/>
      <c r="EDV49" s="255"/>
      <c r="EDW49" s="255"/>
      <c r="EDX49" s="255"/>
      <c r="EDY49" s="255"/>
      <c r="EDZ49" s="255"/>
      <c r="EEA49" s="255"/>
      <c r="EEB49" s="255"/>
      <c r="EEC49" s="255"/>
      <c r="EED49" s="255"/>
      <c r="EEE49" s="255"/>
      <c r="EEF49" s="255"/>
      <c r="EEG49" s="255"/>
      <c r="EEH49" s="255"/>
      <c r="EEI49" s="255"/>
      <c r="EEJ49" s="255"/>
      <c r="EEK49" s="255"/>
      <c r="EEL49" s="255"/>
      <c r="EEM49" s="255"/>
      <c r="EEN49" s="255"/>
      <c r="EEO49" s="255"/>
      <c r="EEP49" s="255"/>
      <c r="EEQ49" s="255"/>
      <c r="EER49" s="255"/>
      <c r="EES49" s="255"/>
      <c r="EET49" s="255"/>
      <c r="EEU49" s="255"/>
      <c r="EEV49" s="255"/>
      <c r="EEW49" s="255"/>
      <c r="EEX49" s="255"/>
      <c r="EEY49" s="255"/>
      <c r="EEZ49" s="255"/>
      <c r="EFA49" s="255"/>
      <c r="EFB49" s="255"/>
      <c r="EFC49" s="255"/>
      <c r="EFD49" s="255"/>
      <c r="EFE49" s="255"/>
      <c r="EFF49" s="255"/>
      <c r="EFG49" s="255"/>
      <c r="EFH49" s="255"/>
      <c r="EFI49" s="255"/>
      <c r="EFJ49" s="255"/>
      <c r="EFK49" s="255"/>
      <c r="EFL49" s="255"/>
      <c r="EFM49" s="255"/>
      <c r="EFN49" s="255"/>
      <c r="EFO49" s="255"/>
      <c r="EFP49" s="255"/>
      <c r="EFQ49" s="255"/>
      <c r="EFR49" s="255"/>
      <c r="EFS49" s="255"/>
      <c r="EFT49" s="255"/>
      <c r="EFU49" s="255"/>
      <c r="EFV49" s="255"/>
      <c r="EFW49" s="255"/>
      <c r="EFX49" s="255"/>
      <c r="EFY49" s="255"/>
      <c r="EFZ49" s="255"/>
      <c r="EGA49" s="255"/>
      <c r="EGB49" s="255"/>
      <c r="EGC49" s="255"/>
      <c r="EGD49" s="255"/>
      <c r="EGE49" s="255"/>
      <c r="EGF49" s="255"/>
      <c r="EGG49" s="255"/>
      <c r="EGH49" s="255"/>
      <c r="EGI49" s="255"/>
      <c r="EGJ49" s="255"/>
      <c r="EGK49" s="255"/>
      <c r="EGL49" s="255"/>
      <c r="EGM49" s="255"/>
      <c r="EGN49" s="255"/>
      <c r="EGO49" s="255"/>
      <c r="EGP49" s="255"/>
      <c r="EGQ49" s="255"/>
      <c r="EGR49" s="255"/>
      <c r="EGS49" s="255"/>
      <c r="EGT49" s="255"/>
      <c r="EGU49" s="255"/>
      <c r="EGV49" s="255"/>
      <c r="EGW49" s="255"/>
      <c r="EGX49" s="255"/>
      <c r="EGY49" s="255"/>
      <c r="EGZ49" s="255"/>
      <c r="EHA49" s="255"/>
      <c r="EHB49" s="255"/>
      <c r="EHC49" s="255"/>
      <c r="EHD49" s="255"/>
      <c r="EHE49" s="255"/>
      <c r="EHF49" s="255"/>
      <c r="EHG49" s="255"/>
      <c r="EHH49" s="255"/>
      <c r="EHI49" s="255"/>
      <c r="EHJ49" s="255"/>
      <c r="EHK49" s="255"/>
      <c r="EHL49" s="255"/>
      <c r="EHM49" s="255"/>
      <c r="EHN49" s="255"/>
      <c r="EHO49" s="255"/>
      <c r="EHP49" s="255"/>
      <c r="EHQ49" s="255"/>
      <c r="EHR49" s="255"/>
      <c r="EHS49" s="255"/>
      <c r="EHT49" s="255"/>
      <c r="EHU49" s="255"/>
      <c r="EHV49" s="255"/>
      <c r="EHW49" s="255"/>
      <c r="EHX49" s="255"/>
      <c r="EHY49" s="255"/>
      <c r="EHZ49" s="255"/>
      <c r="EIA49" s="255"/>
      <c r="EIB49" s="255"/>
      <c r="EIC49" s="255"/>
      <c r="EID49" s="255"/>
      <c r="EIE49" s="255"/>
      <c r="EIF49" s="255"/>
      <c r="EIG49" s="255"/>
      <c r="EIH49" s="255"/>
      <c r="EII49" s="255"/>
      <c r="EIJ49" s="255"/>
      <c r="EIK49" s="255"/>
      <c r="EIL49" s="255"/>
      <c r="EIM49" s="255"/>
      <c r="EIN49" s="255"/>
      <c r="EIO49" s="255"/>
      <c r="EIP49" s="255"/>
      <c r="EIQ49" s="255"/>
      <c r="EIR49" s="255"/>
      <c r="EIS49" s="255"/>
      <c r="EIT49" s="255"/>
      <c r="EIU49" s="255"/>
      <c r="EIV49" s="255"/>
      <c r="EIW49" s="255"/>
      <c r="EIX49" s="255"/>
      <c r="EIY49" s="255"/>
      <c r="EIZ49" s="255"/>
      <c r="EJA49" s="255"/>
      <c r="EJB49" s="255"/>
      <c r="EJC49" s="255"/>
      <c r="EJD49" s="255"/>
      <c r="EJE49" s="255"/>
      <c r="EJF49" s="255"/>
      <c r="EJG49" s="255"/>
      <c r="EJH49" s="255"/>
      <c r="EJI49" s="255"/>
      <c r="EJJ49" s="255"/>
      <c r="EJK49" s="255"/>
      <c r="EJL49" s="255"/>
      <c r="EJM49" s="255"/>
      <c r="EJN49" s="255"/>
      <c r="EJO49" s="255"/>
      <c r="EJP49" s="255"/>
      <c r="EJQ49" s="255"/>
      <c r="EJR49" s="255"/>
      <c r="EJS49" s="255"/>
      <c r="EJT49" s="255"/>
      <c r="EJU49" s="255"/>
      <c r="EJV49" s="255"/>
      <c r="EJW49" s="255"/>
      <c r="EJX49" s="255"/>
      <c r="EJY49" s="255"/>
      <c r="EJZ49" s="255"/>
      <c r="EKA49" s="255"/>
      <c r="EKB49" s="255"/>
      <c r="EKC49" s="255"/>
      <c r="EKD49" s="255"/>
      <c r="EKE49" s="255"/>
      <c r="EKF49" s="255"/>
      <c r="EKG49" s="255"/>
      <c r="EKH49" s="255"/>
      <c r="EKI49" s="255"/>
      <c r="EKJ49" s="255"/>
      <c r="EKK49" s="255"/>
      <c r="EKL49" s="255"/>
      <c r="EKM49" s="255"/>
      <c r="EKN49" s="255"/>
      <c r="EKO49" s="255"/>
      <c r="EKP49" s="255"/>
      <c r="EKQ49" s="255"/>
      <c r="EKR49" s="255"/>
      <c r="EKS49" s="255"/>
      <c r="EKT49" s="255"/>
      <c r="EKU49" s="255"/>
      <c r="EKV49" s="255"/>
      <c r="EKW49" s="255"/>
      <c r="EKX49" s="255"/>
      <c r="EKY49" s="255"/>
      <c r="EKZ49" s="255"/>
      <c r="ELA49" s="255"/>
      <c r="ELB49" s="255"/>
      <c r="ELC49" s="255"/>
      <c r="ELD49" s="255"/>
      <c r="ELE49" s="255"/>
      <c r="ELF49" s="255"/>
      <c r="ELG49" s="255"/>
      <c r="ELH49" s="255"/>
      <c r="ELI49" s="255"/>
      <c r="ELJ49" s="255"/>
      <c r="ELK49" s="255"/>
      <c r="ELL49" s="255"/>
      <c r="ELM49" s="255"/>
      <c r="ELN49" s="255"/>
      <c r="ELO49" s="255"/>
      <c r="ELP49" s="255"/>
      <c r="ELQ49" s="255"/>
      <c r="ELR49" s="255"/>
      <c r="ELS49" s="255"/>
      <c r="ELT49" s="255"/>
      <c r="ELU49" s="255"/>
      <c r="ELV49" s="255"/>
      <c r="ELW49" s="255"/>
      <c r="ELX49" s="255"/>
      <c r="ELY49" s="255"/>
      <c r="ELZ49" s="255"/>
      <c r="EMA49" s="255"/>
      <c r="EMB49" s="255"/>
      <c r="EMC49" s="255"/>
      <c r="EMD49" s="255"/>
      <c r="EME49" s="255"/>
      <c r="EMF49" s="255"/>
      <c r="EMG49" s="255"/>
      <c r="EMH49" s="255"/>
      <c r="EMI49" s="255"/>
      <c r="EMJ49" s="255"/>
      <c r="EMK49" s="255"/>
      <c r="EML49" s="255"/>
      <c r="EMM49" s="255"/>
      <c r="EMN49" s="255"/>
      <c r="EMO49" s="255"/>
      <c r="EMP49" s="255"/>
      <c r="EMQ49" s="255"/>
      <c r="EMR49" s="255"/>
      <c r="EMS49" s="255"/>
      <c r="EMT49" s="255"/>
      <c r="EMU49" s="255"/>
      <c r="EMV49" s="255"/>
      <c r="EMW49" s="255"/>
      <c r="EMX49" s="255"/>
      <c r="EMY49" s="255"/>
      <c r="EMZ49" s="255"/>
      <c r="ENA49" s="255"/>
      <c r="ENB49" s="255"/>
      <c r="ENC49" s="255"/>
      <c r="END49" s="255"/>
      <c r="ENE49" s="255"/>
      <c r="ENF49" s="255"/>
      <c r="ENG49" s="255"/>
      <c r="ENH49" s="255"/>
      <c r="ENI49" s="255"/>
      <c r="ENJ49" s="255"/>
      <c r="ENK49" s="255"/>
      <c r="ENL49" s="255"/>
      <c r="ENM49" s="255"/>
      <c r="ENN49" s="255"/>
      <c r="ENO49" s="255"/>
      <c r="ENP49" s="255"/>
      <c r="ENQ49" s="255"/>
      <c r="ENR49" s="255"/>
      <c r="ENS49" s="255"/>
      <c r="ENT49" s="255"/>
      <c r="ENU49" s="255"/>
      <c r="ENV49" s="255"/>
      <c r="ENW49" s="255"/>
      <c r="ENX49" s="255"/>
      <c r="ENY49" s="255"/>
      <c r="ENZ49" s="255"/>
      <c r="EOA49" s="255"/>
      <c r="EOB49" s="255"/>
      <c r="EOC49" s="255"/>
      <c r="EOD49" s="255"/>
      <c r="EOE49" s="255"/>
      <c r="EOF49" s="255"/>
      <c r="EOG49" s="255"/>
      <c r="EOH49" s="255"/>
      <c r="EOI49" s="255"/>
      <c r="EOJ49" s="255"/>
      <c r="EOK49" s="255"/>
      <c r="EOL49" s="255"/>
      <c r="EOM49" s="255"/>
      <c r="EON49" s="255"/>
      <c r="EOO49" s="255"/>
      <c r="EOP49" s="255"/>
      <c r="EOQ49" s="255"/>
      <c r="EOR49" s="255"/>
      <c r="EOS49" s="255"/>
      <c r="EOT49" s="255"/>
      <c r="EOU49" s="255"/>
      <c r="EOV49" s="255"/>
      <c r="EOW49" s="255"/>
      <c r="EOX49" s="255"/>
      <c r="EOY49" s="255"/>
      <c r="EOZ49" s="255"/>
      <c r="EPA49" s="255"/>
      <c r="EPB49" s="255"/>
      <c r="EPC49" s="255"/>
      <c r="EPD49" s="255"/>
      <c r="EPE49" s="255"/>
      <c r="EPF49" s="255"/>
      <c r="EPG49" s="255"/>
      <c r="EPH49" s="255"/>
      <c r="EPI49" s="255"/>
      <c r="EPJ49" s="255"/>
      <c r="EPK49" s="255"/>
      <c r="EPL49" s="255"/>
      <c r="EPM49" s="255"/>
      <c r="EPN49" s="255"/>
      <c r="EPO49" s="255"/>
      <c r="EPP49" s="255"/>
      <c r="EPQ49" s="255"/>
      <c r="EPR49" s="255"/>
      <c r="EPS49" s="255"/>
      <c r="EPT49" s="255"/>
      <c r="EPU49" s="255"/>
      <c r="EPV49" s="255"/>
      <c r="EPW49" s="255"/>
      <c r="EPX49" s="255"/>
      <c r="EPY49" s="255"/>
      <c r="EPZ49" s="255"/>
      <c r="EQA49" s="255"/>
      <c r="EQB49" s="255"/>
      <c r="EQC49" s="255"/>
      <c r="EQD49" s="255"/>
      <c r="EQE49" s="255"/>
      <c r="EQF49" s="255"/>
      <c r="EQG49" s="255"/>
      <c r="EQH49" s="255"/>
      <c r="EQI49" s="255"/>
      <c r="EQJ49" s="255"/>
      <c r="EQK49" s="255"/>
      <c r="EQL49" s="255"/>
      <c r="EQM49" s="255"/>
      <c r="EQN49" s="255"/>
      <c r="EQO49" s="255"/>
      <c r="EQP49" s="255"/>
      <c r="EQQ49" s="255"/>
      <c r="EQR49" s="255"/>
      <c r="EQS49" s="255"/>
      <c r="EQT49" s="255"/>
      <c r="EQU49" s="255"/>
      <c r="EQV49" s="255"/>
      <c r="EQW49" s="255"/>
      <c r="EQX49" s="255"/>
      <c r="EQY49" s="255"/>
      <c r="EQZ49" s="255"/>
      <c r="ERA49" s="255"/>
      <c r="ERB49" s="255"/>
      <c r="ERC49" s="255"/>
      <c r="ERD49" s="255"/>
      <c r="ERE49" s="255"/>
      <c r="ERF49" s="255"/>
      <c r="ERG49" s="255"/>
      <c r="ERH49" s="255"/>
      <c r="ERI49" s="255"/>
      <c r="ERJ49" s="255"/>
      <c r="ERK49" s="255"/>
      <c r="ERL49" s="255"/>
      <c r="ERM49" s="255"/>
      <c r="ERN49" s="255"/>
      <c r="ERO49" s="255"/>
      <c r="ERP49" s="255"/>
      <c r="ERQ49" s="255"/>
      <c r="ERR49" s="255"/>
      <c r="ERS49" s="255"/>
      <c r="ERT49" s="255"/>
      <c r="ERU49" s="255"/>
      <c r="ERV49" s="255"/>
      <c r="ERW49" s="255"/>
      <c r="ERX49" s="255"/>
      <c r="ERY49" s="255"/>
      <c r="ERZ49" s="255"/>
      <c r="ESA49" s="255"/>
      <c r="ESB49" s="255"/>
      <c r="ESC49" s="255"/>
      <c r="ESD49" s="255"/>
      <c r="ESE49" s="255"/>
      <c r="ESF49" s="255"/>
      <c r="ESG49" s="255"/>
      <c r="ESH49" s="255"/>
      <c r="ESI49" s="255"/>
      <c r="ESJ49" s="255"/>
      <c r="ESK49" s="255"/>
      <c r="ESL49" s="255"/>
      <c r="ESM49" s="255"/>
      <c r="ESN49" s="255"/>
      <c r="ESO49" s="255"/>
      <c r="ESP49" s="255"/>
      <c r="ESQ49" s="255"/>
      <c r="ESR49" s="255"/>
      <c r="ESS49" s="255"/>
      <c r="EST49" s="255"/>
      <c r="ESU49" s="255"/>
      <c r="ESV49" s="255"/>
      <c r="ESW49" s="255"/>
      <c r="ESX49" s="255"/>
      <c r="ESY49" s="255"/>
      <c r="ESZ49" s="255"/>
      <c r="ETA49" s="255"/>
      <c r="ETB49" s="255"/>
      <c r="ETC49" s="255"/>
      <c r="ETD49" s="255"/>
      <c r="ETE49" s="255"/>
      <c r="ETF49" s="255"/>
      <c r="ETG49" s="255"/>
      <c r="ETH49" s="255"/>
      <c r="ETI49" s="255"/>
      <c r="ETJ49" s="255"/>
      <c r="ETK49" s="255"/>
      <c r="ETL49" s="255"/>
      <c r="ETM49" s="255"/>
      <c r="ETN49" s="255"/>
      <c r="ETO49" s="255"/>
      <c r="ETP49" s="255"/>
      <c r="ETQ49" s="255"/>
      <c r="ETR49" s="255"/>
      <c r="ETS49" s="255"/>
      <c r="ETT49" s="255"/>
      <c r="ETU49" s="255"/>
      <c r="ETV49" s="255"/>
      <c r="ETW49" s="255"/>
      <c r="ETX49" s="255"/>
      <c r="ETY49" s="255"/>
      <c r="ETZ49" s="255"/>
      <c r="EUA49" s="255"/>
      <c r="EUB49" s="255"/>
      <c r="EUC49" s="255"/>
      <c r="EUD49" s="255"/>
      <c r="EUE49" s="255"/>
      <c r="EUF49" s="255"/>
      <c r="EUG49" s="255"/>
      <c r="EUH49" s="255"/>
      <c r="EUI49" s="255"/>
      <c r="EUJ49" s="255"/>
      <c r="EUK49" s="255"/>
      <c r="EUL49" s="255"/>
      <c r="EUM49" s="255"/>
      <c r="EUN49" s="255"/>
      <c r="EUO49" s="255"/>
      <c r="EUP49" s="255"/>
      <c r="EUQ49" s="255"/>
      <c r="EUR49" s="255"/>
      <c r="EUS49" s="255"/>
      <c r="EUT49" s="255"/>
      <c r="EUU49" s="255"/>
      <c r="EUV49" s="255"/>
      <c r="EUW49" s="255"/>
      <c r="EUX49" s="255"/>
      <c r="EUY49" s="255"/>
      <c r="EUZ49" s="255"/>
      <c r="EVA49" s="255"/>
      <c r="EVB49" s="255"/>
      <c r="EVC49" s="255"/>
      <c r="EVD49" s="255"/>
      <c r="EVE49" s="255"/>
      <c r="EVF49" s="255"/>
      <c r="EVG49" s="255"/>
      <c r="EVH49" s="255"/>
      <c r="EVI49" s="255"/>
      <c r="EVJ49" s="255"/>
      <c r="EVK49" s="255"/>
      <c r="EVL49" s="255"/>
      <c r="EVM49" s="255"/>
      <c r="EVN49" s="255"/>
      <c r="EVO49" s="255"/>
      <c r="EVP49" s="255"/>
      <c r="EVQ49" s="255"/>
      <c r="EVR49" s="255"/>
      <c r="EVS49" s="255"/>
      <c r="EVT49" s="255"/>
      <c r="EVU49" s="255"/>
      <c r="EVV49" s="255"/>
      <c r="EVW49" s="255"/>
      <c r="EVX49" s="255"/>
      <c r="EVY49" s="255"/>
      <c r="EVZ49" s="255"/>
      <c r="EWA49" s="255"/>
      <c r="EWB49" s="255"/>
      <c r="EWC49" s="255"/>
      <c r="EWD49" s="255"/>
      <c r="EWE49" s="255"/>
      <c r="EWF49" s="255"/>
      <c r="EWG49" s="255"/>
      <c r="EWH49" s="255"/>
      <c r="EWI49" s="255"/>
      <c r="EWJ49" s="255"/>
      <c r="EWK49" s="255"/>
      <c r="EWL49" s="255"/>
      <c r="EWM49" s="255"/>
      <c r="EWN49" s="255"/>
      <c r="EWO49" s="255"/>
      <c r="EWP49" s="255"/>
      <c r="EWQ49" s="255"/>
      <c r="EWR49" s="255"/>
      <c r="EWS49" s="255"/>
      <c r="EWT49" s="255"/>
      <c r="EWU49" s="255"/>
      <c r="EWV49" s="255"/>
      <c r="EWW49" s="255"/>
      <c r="EWX49" s="255"/>
      <c r="EWY49" s="255"/>
      <c r="EWZ49" s="255"/>
      <c r="EXA49" s="255"/>
      <c r="EXB49" s="255"/>
      <c r="EXC49" s="255"/>
      <c r="EXD49" s="255"/>
      <c r="EXE49" s="255"/>
      <c r="EXF49" s="255"/>
      <c r="EXG49" s="255"/>
      <c r="EXH49" s="255"/>
      <c r="EXI49" s="255"/>
      <c r="EXJ49" s="255"/>
      <c r="EXK49" s="255"/>
      <c r="EXL49" s="255"/>
      <c r="EXM49" s="255"/>
      <c r="EXN49" s="255"/>
      <c r="EXO49" s="255"/>
      <c r="EXP49" s="255"/>
      <c r="EXQ49" s="255"/>
      <c r="EXR49" s="255"/>
      <c r="EXS49" s="255"/>
      <c r="EXT49" s="255"/>
      <c r="EXU49" s="255"/>
      <c r="EXV49" s="255"/>
      <c r="EXW49" s="255"/>
      <c r="EXX49" s="255"/>
      <c r="EXY49" s="255"/>
      <c r="EXZ49" s="255"/>
      <c r="EYA49" s="255"/>
      <c r="EYB49" s="255"/>
      <c r="EYC49" s="255"/>
      <c r="EYD49" s="255"/>
      <c r="EYE49" s="255"/>
      <c r="EYF49" s="255"/>
      <c r="EYG49" s="255"/>
      <c r="EYH49" s="255"/>
      <c r="EYI49" s="255"/>
      <c r="EYJ49" s="255"/>
      <c r="EYK49" s="255"/>
      <c r="EYL49" s="255"/>
      <c r="EYM49" s="255"/>
      <c r="EYN49" s="255"/>
      <c r="EYO49" s="255"/>
      <c r="EYP49" s="255"/>
      <c r="EYQ49" s="255"/>
      <c r="EYR49" s="255"/>
      <c r="EYS49" s="255"/>
      <c r="EYT49" s="255"/>
      <c r="EYU49" s="255"/>
      <c r="EYV49" s="255"/>
      <c r="EYW49" s="255"/>
      <c r="EYX49" s="255"/>
      <c r="EYY49" s="255"/>
      <c r="EYZ49" s="255"/>
      <c r="EZA49" s="255"/>
      <c r="EZB49" s="255"/>
      <c r="EZC49" s="255"/>
      <c r="EZD49" s="255"/>
      <c r="EZE49" s="255"/>
      <c r="EZF49" s="255"/>
      <c r="EZG49" s="255"/>
      <c r="EZH49" s="255"/>
      <c r="EZI49" s="255"/>
      <c r="EZJ49" s="255"/>
      <c r="EZK49" s="255"/>
      <c r="EZL49" s="255"/>
      <c r="EZM49" s="255"/>
      <c r="EZN49" s="255"/>
      <c r="EZO49" s="255"/>
      <c r="EZP49" s="255"/>
      <c r="EZQ49" s="255"/>
      <c r="EZR49" s="255"/>
      <c r="EZS49" s="255"/>
      <c r="EZT49" s="255"/>
      <c r="EZU49" s="255"/>
      <c r="EZV49" s="255"/>
      <c r="EZW49" s="255"/>
      <c r="EZX49" s="255"/>
      <c r="EZY49" s="255"/>
      <c r="EZZ49" s="255"/>
      <c r="FAA49" s="255"/>
      <c r="FAB49" s="255"/>
      <c r="FAC49" s="255"/>
      <c r="FAD49" s="255"/>
      <c r="FAE49" s="255"/>
      <c r="FAF49" s="255"/>
      <c r="FAG49" s="255"/>
      <c r="FAH49" s="255"/>
      <c r="FAI49" s="255"/>
      <c r="FAJ49" s="255"/>
      <c r="FAK49" s="255"/>
      <c r="FAL49" s="255"/>
      <c r="FAM49" s="255"/>
      <c r="FAN49" s="255"/>
      <c r="FAO49" s="255"/>
      <c r="FAP49" s="255"/>
      <c r="FAQ49" s="255"/>
      <c r="FAR49" s="255"/>
      <c r="FAS49" s="255"/>
      <c r="FAT49" s="255"/>
      <c r="FAU49" s="255"/>
      <c r="FAV49" s="255"/>
      <c r="FAW49" s="255"/>
      <c r="FAX49" s="255"/>
      <c r="FAY49" s="255"/>
      <c r="FAZ49" s="255"/>
      <c r="FBA49" s="255"/>
      <c r="FBB49" s="255"/>
      <c r="FBC49" s="255"/>
      <c r="FBD49" s="255"/>
      <c r="FBE49" s="255"/>
      <c r="FBF49" s="255"/>
      <c r="FBG49" s="255"/>
      <c r="FBH49" s="255"/>
      <c r="FBI49" s="255"/>
      <c r="FBJ49" s="255"/>
      <c r="FBK49" s="255"/>
      <c r="FBL49" s="255"/>
      <c r="FBM49" s="255"/>
      <c r="FBN49" s="255"/>
      <c r="FBO49" s="255"/>
      <c r="FBP49" s="255"/>
      <c r="FBQ49" s="255"/>
      <c r="FBR49" s="255"/>
      <c r="FBS49" s="255"/>
      <c r="FBT49" s="255"/>
      <c r="FBU49" s="255"/>
      <c r="FBV49" s="255"/>
      <c r="FBW49" s="255"/>
      <c r="FBX49" s="255"/>
      <c r="FBY49" s="255"/>
      <c r="FBZ49" s="255"/>
      <c r="FCA49" s="255"/>
      <c r="FCB49" s="255"/>
      <c r="FCC49" s="255"/>
      <c r="FCD49" s="255"/>
      <c r="FCE49" s="255"/>
      <c r="FCF49" s="255"/>
      <c r="FCG49" s="255"/>
      <c r="FCH49" s="255"/>
      <c r="FCI49" s="255"/>
      <c r="FCJ49" s="255"/>
      <c r="FCK49" s="255"/>
      <c r="FCL49" s="255"/>
      <c r="FCM49" s="255"/>
      <c r="FCN49" s="255"/>
      <c r="FCO49" s="255"/>
      <c r="FCP49" s="255"/>
      <c r="FCQ49" s="255"/>
      <c r="FCR49" s="255"/>
      <c r="FCS49" s="255"/>
      <c r="FCT49" s="255"/>
      <c r="FCU49" s="255"/>
      <c r="FCV49" s="255"/>
      <c r="FCW49" s="255"/>
      <c r="FCX49" s="255"/>
      <c r="FCY49" s="255"/>
      <c r="FCZ49" s="255"/>
      <c r="FDA49" s="255"/>
      <c r="FDB49" s="255"/>
      <c r="FDC49" s="255"/>
      <c r="FDD49" s="255"/>
      <c r="FDE49" s="255"/>
      <c r="FDF49" s="255"/>
      <c r="FDG49" s="255"/>
      <c r="FDH49" s="255"/>
      <c r="FDI49" s="255"/>
      <c r="FDJ49" s="255"/>
      <c r="FDK49" s="255"/>
      <c r="FDL49" s="255"/>
      <c r="FDM49" s="255"/>
      <c r="FDN49" s="255"/>
      <c r="FDO49" s="255"/>
      <c r="FDP49" s="255"/>
      <c r="FDQ49" s="255"/>
      <c r="FDR49" s="255"/>
      <c r="FDS49" s="255"/>
      <c r="FDT49" s="255"/>
      <c r="FDU49" s="255"/>
      <c r="FDV49" s="255"/>
      <c r="FDW49" s="255"/>
      <c r="FDX49" s="255"/>
      <c r="FDY49" s="255"/>
      <c r="FDZ49" s="255"/>
      <c r="FEA49" s="255"/>
      <c r="FEB49" s="255"/>
      <c r="FEC49" s="255"/>
      <c r="FED49" s="255"/>
      <c r="FEE49" s="255"/>
      <c r="FEF49" s="255"/>
      <c r="FEG49" s="255"/>
      <c r="FEH49" s="255"/>
      <c r="FEI49" s="255"/>
      <c r="FEJ49" s="255"/>
      <c r="FEK49" s="255"/>
      <c r="FEL49" s="255"/>
      <c r="FEM49" s="255"/>
      <c r="FEN49" s="255"/>
      <c r="FEO49" s="255"/>
      <c r="FEP49" s="255"/>
      <c r="FEQ49" s="255"/>
      <c r="FER49" s="255"/>
      <c r="FES49" s="255"/>
      <c r="FET49" s="255"/>
      <c r="FEU49" s="255"/>
      <c r="FEV49" s="255"/>
      <c r="FEW49" s="255"/>
      <c r="FEX49" s="255"/>
      <c r="FEY49" s="255"/>
      <c r="FEZ49" s="255"/>
      <c r="FFA49" s="255"/>
      <c r="FFB49" s="255"/>
      <c r="FFC49" s="255"/>
      <c r="FFD49" s="255"/>
      <c r="FFE49" s="255"/>
      <c r="FFF49" s="255"/>
      <c r="FFG49" s="255"/>
      <c r="FFH49" s="255"/>
      <c r="FFI49" s="255"/>
      <c r="FFJ49" s="255"/>
      <c r="FFK49" s="255"/>
      <c r="FFL49" s="255"/>
      <c r="FFM49" s="255"/>
      <c r="FFN49" s="255"/>
      <c r="FFO49" s="255"/>
      <c r="FFP49" s="255"/>
      <c r="FFQ49" s="255"/>
      <c r="FFR49" s="255"/>
      <c r="FFS49" s="255"/>
      <c r="FFT49" s="255"/>
      <c r="FFU49" s="255"/>
      <c r="FFV49" s="255"/>
      <c r="FFW49" s="255"/>
      <c r="FFX49" s="255"/>
      <c r="FFY49" s="255"/>
      <c r="FFZ49" s="255"/>
      <c r="FGA49" s="255"/>
      <c r="FGB49" s="255"/>
      <c r="FGC49" s="255"/>
      <c r="FGD49" s="255"/>
      <c r="FGE49" s="255"/>
      <c r="FGF49" s="255"/>
      <c r="FGG49" s="255"/>
      <c r="FGH49" s="255"/>
      <c r="FGI49" s="255"/>
      <c r="FGJ49" s="255"/>
      <c r="FGK49" s="255"/>
      <c r="FGL49" s="255"/>
      <c r="FGM49" s="255"/>
      <c r="FGN49" s="255"/>
      <c r="FGO49" s="255"/>
      <c r="FGP49" s="255"/>
      <c r="FGQ49" s="255"/>
      <c r="FGR49" s="255"/>
      <c r="FGS49" s="255"/>
      <c r="FGT49" s="255"/>
      <c r="FGU49" s="255"/>
      <c r="FGV49" s="255"/>
      <c r="FGW49" s="255"/>
      <c r="FGX49" s="255"/>
      <c r="FGY49" s="255"/>
      <c r="FGZ49" s="255"/>
      <c r="FHA49" s="255"/>
      <c r="FHB49" s="255"/>
      <c r="FHC49" s="255"/>
      <c r="FHD49" s="255"/>
      <c r="FHE49" s="255"/>
      <c r="FHF49" s="255"/>
      <c r="FHG49" s="255"/>
      <c r="FHH49" s="255"/>
      <c r="FHI49" s="255"/>
      <c r="FHJ49" s="255"/>
      <c r="FHK49" s="255"/>
      <c r="FHL49" s="255"/>
      <c r="FHM49" s="255"/>
      <c r="FHN49" s="255"/>
      <c r="FHO49" s="255"/>
      <c r="FHP49" s="255"/>
      <c r="FHQ49" s="255"/>
      <c r="FHR49" s="255"/>
      <c r="FHS49" s="255"/>
      <c r="FHT49" s="255"/>
      <c r="FHU49" s="255"/>
      <c r="FHV49" s="255"/>
      <c r="FHW49" s="255"/>
      <c r="FHX49" s="255"/>
      <c r="FHY49" s="255"/>
      <c r="FHZ49" s="255"/>
      <c r="FIA49" s="255"/>
      <c r="FIB49" s="255"/>
      <c r="FIC49" s="255"/>
      <c r="FID49" s="255"/>
      <c r="FIE49" s="255"/>
      <c r="FIF49" s="255"/>
      <c r="FIG49" s="255"/>
      <c r="FIH49" s="255"/>
      <c r="FII49" s="255"/>
      <c r="FIJ49" s="255"/>
      <c r="FIK49" s="255"/>
      <c r="FIL49" s="255"/>
      <c r="FIM49" s="255"/>
      <c r="FIN49" s="255"/>
      <c r="FIO49" s="255"/>
      <c r="FIP49" s="255"/>
      <c r="FIQ49" s="255"/>
      <c r="FIR49" s="255"/>
      <c r="FIS49" s="255"/>
      <c r="FIT49" s="255"/>
      <c r="FIU49" s="255"/>
      <c r="FIV49" s="255"/>
      <c r="FIW49" s="255"/>
      <c r="FIX49" s="255"/>
      <c r="FIY49" s="255"/>
      <c r="FIZ49" s="255"/>
      <c r="FJA49" s="255"/>
      <c r="FJB49" s="255"/>
      <c r="FJC49" s="255"/>
      <c r="FJD49" s="255"/>
      <c r="FJE49" s="255"/>
      <c r="FJF49" s="255"/>
      <c r="FJG49" s="255"/>
      <c r="FJH49" s="255"/>
      <c r="FJI49" s="255"/>
      <c r="FJJ49" s="255"/>
      <c r="FJK49" s="255"/>
      <c r="FJL49" s="255"/>
      <c r="FJM49" s="255"/>
      <c r="FJN49" s="255"/>
      <c r="FJO49" s="255"/>
      <c r="FJP49" s="255"/>
      <c r="FJQ49" s="255"/>
      <c r="FJR49" s="255"/>
      <c r="FJS49" s="255"/>
      <c r="FJT49" s="255"/>
      <c r="FJU49" s="255"/>
      <c r="FJV49" s="255"/>
      <c r="FJW49" s="255"/>
      <c r="FJX49" s="255"/>
      <c r="FJY49" s="255"/>
      <c r="FJZ49" s="255"/>
      <c r="FKA49" s="255"/>
      <c r="FKB49" s="255"/>
      <c r="FKC49" s="255"/>
      <c r="FKD49" s="255"/>
      <c r="FKE49" s="255"/>
      <c r="FKF49" s="255"/>
      <c r="FKG49" s="255"/>
      <c r="FKH49" s="255"/>
      <c r="FKI49" s="255"/>
      <c r="FKJ49" s="255"/>
      <c r="FKK49" s="255"/>
      <c r="FKL49" s="255"/>
      <c r="FKM49" s="255"/>
      <c r="FKN49" s="255"/>
      <c r="FKO49" s="255"/>
      <c r="FKP49" s="255"/>
      <c r="FKQ49" s="255"/>
      <c r="FKR49" s="255"/>
      <c r="FKS49" s="255"/>
      <c r="FKT49" s="255"/>
      <c r="FKU49" s="255"/>
      <c r="FKV49" s="255"/>
      <c r="FKW49" s="255"/>
      <c r="FKX49" s="255"/>
      <c r="FKY49" s="255"/>
      <c r="FKZ49" s="255"/>
      <c r="FLA49" s="255"/>
      <c r="FLB49" s="255"/>
      <c r="FLC49" s="255"/>
      <c r="FLD49" s="255"/>
      <c r="FLE49" s="255"/>
      <c r="FLF49" s="255"/>
      <c r="FLG49" s="255"/>
      <c r="FLH49" s="255"/>
      <c r="FLI49" s="255"/>
      <c r="FLJ49" s="255"/>
      <c r="FLK49" s="255"/>
      <c r="FLL49" s="255"/>
      <c r="FLM49" s="255"/>
      <c r="FLN49" s="255"/>
      <c r="FLO49" s="255"/>
      <c r="FLP49" s="255"/>
      <c r="FLQ49" s="255"/>
      <c r="FLR49" s="255"/>
      <c r="FLS49" s="255"/>
      <c r="FLT49" s="255"/>
      <c r="FLU49" s="255"/>
      <c r="FLV49" s="255"/>
      <c r="FLW49" s="255"/>
      <c r="FLX49" s="255"/>
      <c r="FLY49" s="255"/>
      <c r="FLZ49" s="255"/>
      <c r="FMA49" s="255"/>
      <c r="FMB49" s="255"/>
      <c r="FMC49" s="255"/>
      <c r="FMD49" s="255"/>
      <c r="FME49" s="255"/>
      <c r="FMF49" s="255"/>
      <c r="FMG49" s="255"/>
      <c r="FMH49" s="255"/>
      <c r="FMI49" s="255"/>
      <c r="FMJ49" s="255"/>
      <c r="FMK49" s="255"/>
      <c r="FML49" s="255"/>
      <c r="FMM49" s="255"/>
      <c r="FMN49" s="255"/>
      <c r="FMO49" s="255"/>
      <c r="FMP49" s="255"/>
      <c r="FMQ49" s="255"/>
      <c r="FMR49" s="255"/>
      <c r="FMS49" s="255"/>
      <c r="FMT49" s="255"/>
      <c r="FMU49" s="255"/>
      <c r="FMV49" s="255"/>
      <c r="FMW49" s="255"/>
      <c r="FMX49" s="255"/>
      <c r="FMY49" s="255"/>
      <c r="FMZ49" s="255"/>
      <c r="FNA49" s="255"/>
      <c r="FNB49" s="255"/>
      <c r="FNC49" s="255"/>
      <c r="FND49" s="255"/>
      <c r="FNE49" s="255"/>
      <c r="FNF49" s="255"/>
      <c r="FNG49" s="255"/>
      <c r="FNH49" s="255"/>
      <c r="FNI49" s="255"/>
      <c r="FNJ49" s="255"/>
      <c r="FNK49" s="255"/>
      <c r="FNL49" s="255"/>
      <c r="FNM49" s="255"/>
      <c r="FNN49" s="255"/>
      <c r="FNO49" s="255"/>
      <c r="FNP49" s="255"/>
      <c r="FNQ49" s="255"/>
      <c r="FNR49" s="255"/>
      <c r="FNS49" s="255"/>
      <c r="FNT49" s="255"/>
      <c r="FNU49" s="255"/>
      <c r="FNV49" s="255"/>
      <c r="FNW49" s="255"/>
      <c r="FNX49" s="255"/>
      <c r="FNY49" s="255"/>
      <c r="FNZ49" s="255"/>
      <c r="FOA49" s="255"/>
      <c r="FOB49" s="255"/>
      <c r="FOC49" s="255"/>
      <c r="FOD49" s="255"/>
      <c r="FOE49" s="255"/>
      <c r="FOF49" s="255"/>
      <c r="FOG49" s="255"/>
      <c r="FOH49" s="255"/>
      <c r="FOI49" s="255"/>
      <c r="FOJ49" s="255"/>
      <c r="FOK49" s="255"/>
      <c r="FOL49" s="255"/>
      <c r="FOM49" s="255"/>
      <c r="FON49" s="255"/>
      <c r="FOO49" s="255"/>
      <c r="FOP49" s="255"/>
      <c r="FOQ49" s="255"/>
      <c r="FOR49" s="255"/>
      <c r="FOS49" s="255"/>
      <c r="FOT49" s="255"/>
      <c r="FOU49" s="255"/>
      <c r="FOV49" s="255"/>
      <c r="FOW49" s="255"/>
      <c r="FOX49" s="255"/>
      <c r="FOY49" s="255"/>
      <c r="FOZ49" s="255"/>
      <c r="FPA49" s="255"/>
      <c r="FPB49" s="255"/>
      <c r="FPC49" s="255"/>
      <c r="FPD49" s="255"/>
      <c r="FPE49" s="255"/>
      <c r="FPF49" s="255"/>
      <c r="FPG49" s="255"/>
      <c r="FPH49" s="255"/>
      <c r="FPI49" s="255"/>
      <c r="FPJ49" s="255"/>
      <c r="FPK49" s="255"/>
      <c r="FPL49" s="255"/>
      <c r="FPM49" s="255"/>
      <c r="FPN49" s="255"/>
      <c r="FPO49" s="255"/>
      <c r="FPP49" s="255"/>
      <c r="FPQ49" s="255"/>
      <c r="FPR49" s="255"/>
      <c r="FPS49" s="255"/>
      <c r="FPT49" s="255"/>
      <c r="FPU49" s="255"/>
      <c r="FPV49" s="255"/>
      <c r="FPW49" s="255"/>
      <c r="FPX49" s="255"/>
      <c r="FPY49" s="255"/>
      <c r="FPZ49" s="255"/>
      <c r="FQA49" s="255"/>
      <c r="FQB49" s="255"/>
      <c r="FQC49" s="255"/>
      <c r="FQD49" s="255"/>
      <c r="FQE49" s="255"/>
      <c r="FQF49" s="255"/>
      <c r="FQG49" s="255"/>
      <c r="FQH49" s="255"/>
      <c r="FQI49" s="255"/>
      <c r="FQJ49" s="255"/>
      <c r="FQK49" s="255"/>
      <c r="FQL49" s="255"/>
      <c r="FQM49" s="255"/>
      <c r="FQN49" s="255"/>
      <c r="FQO49" s="255"/>
      <c r="FQP49" s="255"/>
      <c r="FQQ49" s="255"/>
      <c r="FQR49" s="255"/>
      <c r="FQS49" s="255"/>
      <c r="FQT49" s="255"/>
      <c r="FQU49" s="255"/>
      <c r="FQV49" s="255"/>
      <c r="FQW49" s="255"/>
      <c r="FQX49" s="255"/>
      <c r="FQY49" s="255"/>
      <c r="FQZ49" s="255"/>
      <c r="FRA49" s="255"/>
      <c r="FRB49" s="255"/>
      <c r="FRC49" s="255"/>
      <c r="FRD49" s="255"/>
      <c r="FRE49" s="255"/>
      <c r="FRF49" s="255"/>
      <c r="FRG49" s="255"/>
      <c r="FRH49" s="255"/>
      <c r="FRI49" s="255"/>
      <c r="FRJ49" s="255"/>
      <c r="FRK49" s="255"/>
      <c r="FRL49" s="255"/>
      <c r="FRM49" s="255"/>
      <c r="FRN49" s="255"/>
      <c r="FRO49" s="255"/>
      <c r="FRP49" s="255"/>
      <c r="FRQ49" s="255"/>
      <c r="FRR49" s="255"/>
      <c r="FRS49" s="255"/>
      <c r="FRT49" s="255"/>
      <c r="FRU49" s="255"/>
      <c r="FRV49" s="255"/>
      <c r="FRW49" s="255"/>
      <c r="FRX49" s="255"/>
      <c r="FRY49" s="255"/>
      <c r="FRZ49" s="255"/>
      <c r="FSA49" s="255"/>
      <c r="FSB49" s="255"/>
      <c r="FSC49" s="255"/>
      <c r="FSD49" s="255"/>
      <c r="FSE49" s="255"/>
      <c r="FSF49" s="255"/>
      <c r="FSG49" s="255"/>
      <c r="FSH49" s="255"/>
      <c r="FSI49" s="255"/>
      <c r="FSJ49" s="255"/>
      <c r="FSK49" s="255"/>
      <c r="FSL49" s="255"/>
      <c r="FSM49" s="255"/>
      <c r="FSN49" s="255"/>
      <c r="FSO49" s="255"/>
      <c r="FSP49" s="255"/>
      <c r="FSQ49" s="255"/>
      <c r="FSR49" s="255"/>
      <c r="FSS49" s="255"/>
      <c r="FST49" s="255"/>
      <c r="FSU49" s="255"/>
      <c r="FSV49" s="255"/>
      <c r="FSW49" s="255"/>
      <c r="FSX49" s="255"/>
      <c r="FSY49" s="255"/>
      <c r="FSZ49" s="255"/>
      <c r="FTA49" s="255"/>
      <c r="FTB49" s="255"/>
      <c r="FTC49" s="255"/>
      <c r="FTD49" s="255"/>
      <c r="FTE49" s="255"/>
      <c r="FTF49" s="255"/>
      <c r="FTG49" s="255"/>
      <c r="FTH49" s="255"/>
      <c r="FTI49" s="255"/>
      <c r="FTJ49" s="255"/>
      <c r="FTK49" s="255"/>
      <c r="FTL49" s="255"/>
      <c r="FTM49" s="255"/>
      <c r="FTN49" s="255"/>
      <c r="FTO49" s="255"/>
      <c r="FTP49" s="255"/>
      <c r="FTQ49" s="255"/>
      <c r="FTR49" s="255"/>
      <c r="FTS49" s="255"/>
      <c r="FTT49" s="255"/>
      <c r="FTU49" s="255"/>
      <c r="FTV49" s="255"/>
      <c r="FTW49" s="255"/>
      <c r="FTX49" s="255"/>
      <c r="FTY49" s="255"/>
      <c r="FTZ49" s="255"/>
      <c r="FUA49" s="255"/>
      <c r="FUB49" s="255"/>
      <c r="FUC49" s="255"/>
      <c r="FUD49" s="255"/>
      <c r="FUE49" s="255"/>
      <c r="FUF49" s="255"/>
      <c r="FUG49" s="255"/>
      <c r="FUH49" s="255"/>
      <c r="FUI49" s="255"/>
      <c r="FUJ49" s="255"/>
      <c r="FUK49" s="255"/>
      <c r="FUL49" s="255"/>
      <c r="FUM49" s="255"/>
      <c r="FUN49" s="255"/>
      <c r="FUO49" s="255"/>
      <c r="FUP49" s="255"/>
      <c r="FUQ49" s="255"/>
      <c r="FUR49" s="255"/>
      <c r="FUS49" s="255"/>
      <c r="FUT49" s="255"/>
      <c r="FUU49" s="255"/>
      <c r="FUV49" s="255"/>
      <c r="FUW49" s="255"/>
      <c r="FUX49" s="255"/>
      <c r="FUY49" s="255"/>
      <c r="FUZ49" s="255"/>
      <c r="FVA49" s="255"/>
      <c r="FVB49" s="255"/>
      <c r="FVC49" s="255"/>
      <c r="FVD49" s="255"/>
      <c r="FVE49" s="255"/>
      <c r="FVF49" s="255"/>
      <c r="FVG49" s="255"/>
      <c r="FVH49" s="255"/>
      <c r="FVI49" s="255"/>
      <c r="FVJ49" s="255"/>
      <c r="FVK49" s="255"/>
      <c r="FVL49" s="255"/>
      <c r="FVM49" s="255"/>
      <c r="FVN49" s="255"/>
      <c r="FVO49" s="255"/>
      <c r="FVP49" s="255"/>
      <c r="FVQ49" s="255"/>
      <c r="FVR49" s="255"/>
      <c r="FVS49" s="255"/>
      <c r="FVT49" s="255"/>
      <c r="FVU49" s="255"/>
      <c r="FVV49" s="255"/>
      <c r="FVW49" s="255"/>
      <c r="FVX49" s="255"/>
      <c r="FVY49" s="255"/>
      <c r="FVZ49" s="255"/>
      <c r="FWA49" s="255"/>
      <c r="FWB49" s="255"/>
      <c r="FWC49" s="255"/>
      <c r="FWD49" s="255"/>
      <c r="FWE49" s="255"/>
      <c r="FWF49" s="255"/>
      <c r="FWG49" s="255"/>
      <c r="FWH49" s="255"/>
      <c r="FWI49" s="255"/>
      <c r="FWJ49" s="255"/>
      <c r="FWK49" s="255"/>
      <c r="FWL49" s="255"/>
      <c r="FWM49" s="255"/>
      <c r="FWN49" s="255"/>
      <c r="FWO49" s="255"/>
      <c r="FWP49" s="255"/>
      <c r="FWQ49" s="255"/>
      <c r="FWR49" s="255"/>
      <c r="FWS49" s="255"/>
      <c r="FWT49" s="255"/>
      <c r="FWU49" s="255"/>
      <c r="FWV49" s="255"/>
      <c r="FWW49" s="255"/>
      <c r="FWX49" s="255"/>
      <c r="FWY49" s="255"/>
      <c r="FWZ49" s="255"/>
      <c r="FXA49" s="255"/>
      <c r="FXB49" s="255"/>
      <c r="FXC49" s="255"/>
      <c r="FXD49" s="255"/>
      <c r="FXE49" s="255"/>
      <c r="FXF49" s="255"/>
      <c r="FXG49" s="255"/>
      <c r="FXH49" s="255"/>
      <c r="FXI49" s="255"/>
      <c r="FXJ49" s="255"/>
      <c r="FXK49" s="255"/>
      <c r="FXL49" s="255"/>
      <c r="FXM49" s="255"/>
      <c r="FXN49" s="255"/>
      <c r="FXO49" s="255"/>
      <c r="FXP49" s="255"/>
      <c r="FXQ49" s="255"/>
      <c r="FXR49" s="255"/>
      <c r="FXS49" s="255"/>
      <c r="FXT49" s="255"/>
      <c r="FXU49" s="255"/>
      <c r="FXV49" s="255"/>
      <c r="FXW49" s="255"/>
      <c r="FXX49" s="255"/>
      <c r="FXY49" s="255"/>
      <c r="FXZ49" s="255"/>
      <c r="FYA49" s="255"/>
      <c r="FYB49" s="255"/>
      <c r="FYC49" s="255"/>
      <c r="FYD49" s="255"/>
      <c r="FYE49" s="255"/>
      <c r="FYF49" s="255"/>
      <c r="FYG49" s="255"/>
      <c r="FYH49" s="255"/>
      <c r="FYI49" s="255"/>
      <c r="FYJ49" s="255"/>
      <c r="FYK49" s="255"/>
      <c r="FYL49" s="255"/>
      <c r="FYM49" s="255"/>
      <c r="FYN49" s="255"/>
      <c r="FYO49" s="255"/>
      <c r="FYP49" s="255"/>
      <c r="FYQ49" s="255"/>
      <c r="FYR49" s="255"/>
      <c r="FYS49" s="255"/>
      <c r="FYT49" s="255"/>
      <c r="FYU49" s="255"/>
      <c r="FYV49" s="255"/>
      <c r="FYW49" s="255"/>
      <c r="FYX49" s="255"/>
      <c r="FYY49" s="255"/>
      <c r="FYZ49" s="255"/>
      <c r="FZA49" s="255"/>
      <c r="FZB49" s="255"/>
      <c r="FZC49" s="255"/>
      <c r="FZD49" s="255"/>
      <c r="FZE49" s="255"/>
      <c r="FZF49" s="255"/>
      <c r="FZG49" s="255"/>
      <c r="FZH49" s="255"/>
      <c r="FZI49" s="255"/>
      <c r="FZJ49" s="255"/>
      <c r="FZK49" s="255"/>
      <c r="FZL49" s="255"/>
      <c r="FZM49" s="255"/>
      <c r="FZN49" s="255"/>
      <c r="FZO49" s="255"/>
      <c r="FZP49" s="255"/>
      <c r="FZQ49" s="255"/>
      <c r="FZR49" s="255"/>
      <c r="FZS49" s="255"/>
      <c r="FZT49" s="255"/>
      <c r="FZU49" s="255"/>
      <c r="FZV49" s="255"/>
      <c r="FZW49" s="255"/>
      <c r="FZX49" s="255"/>
      <c r="FZY49" s="255"/>
      <c r="FZZ49" s="255"/>
      <c r="GAA49" s="255"/>
      <c r="GAB49" s="255"/>
      <c r="GAC49" s="255"/>
      <c r="GAD49" s="255"/>
      <c r="GAE49" s="255"/>
      <c r="GAF49" s="255"/>
      <c r="GAG49" s="255"/>
      <c r="GAH49" s="255"/>
      <c r="GAI49" s="255"/>
      <c r="GAJ49" s="255"/>
      <c r="GAK49" s="255"/>
      <c r="GAL49" s="255"/>
      <c r="GAM49" s="255"/>
      <c r="GAN49" s="255"/>
      <c r="GAO49" s="255"/>
      <c r="GAP49" s="255"/>
      <c r="GAQ49" s="255"/>
      <c r="GAR49" s="255"/>
      <c r="GAS49" s="255"/>
      <c r="GAT49" s="255"/>
      <c r="GAU49" s="255"/>
      <c r="GAV49" s="255"/>
      <c r="GAW49" s="255"/>
      <c r="GAX49" s="255"/>
      <c r="GAY49" s="255"/>
      <c r="GAZ49" s="255"/>
      <c r="GBA49" s="255"/>
      <c r="GBB49" s="255"/>
      <c r="GBC49" s="255"/>
      <c r="GBD49" s="255"/>
      <c r="GBE49" s="255"/>
      <c r="GBF49" s="255"/>
      <c r="GBG49" s="255"/>
      <c r="GBH49" s="255"/>
      <c r="GBI49" s="255"/>
      <c r="GBJ49" s="255"/>
      <c r="GBK49" s="255"/>
      <c r="GBL49" s="255"/>
      <c r="GBM49" s="255"/>
      <c r="GBN49" s="255"/>
      <c r="GBO49" s="255"/>
      <c r="GBP49" s="255"/>
      <c r="GBQ49" s="255"/>
      <c r="GBR49" s="255"/>
      <c r="GBS49" s="255"/>
      <c r="GBT49" s="255"/>
      <c r="GBU49" s="255"/>
      <c r="GBV49" s="255"/>
      <c r="GBW49" s="255"/>
      <c r="GBX49" s="255"/>
      <c r="GBY49" s="255"/>
      <c r="GBZ49" s="255"/>
      <c r="GCA49" s="255"/>
      <c r="GCB49" s="255"/>
      <c r="GCC49" s="255"/>
      <c r="GCD49" s="255"/>
      <c r="GCE49" s="255"/>
      <c r="GCF49" s="255"/>
      <c r="GCG49" s="255"/>
      <c r="GCH49" s="255"/>
      <c r="GCI49" s="255"/>
      <c r="GCJ49" s="255"/>
      <c r="GCK49" s="255"/>
      <c r="GCL49" s="255"/>
      <c r="GCM49" s="255"/>
      <c r="GCN49" s="255"/>
      <c r="GCO49" s="255"/>
      <c r="GCP49" s="255"/>
      <c r="GCQ49" s="255"/>
      <c r="GCR49" s="255"/>
      <c r="GCS49" s="255"/>
      <c r="GCT49" s="255"/>
      <c r="GCU49" s="255"/>
      <c r="GCV49" s="255"/>
      <c r="GCW49" s="255"/>
      <c r="GCX49" s="255"/>
      <c r="GCY49" s="255"/>
      <c r="GCZ49" s="255"/>
      <c r="GDA49" s="255"/>
      <c r="GDB49" s="255"/>
      <c r="GDC49" s="255"/>
      <c r="GDD49" s="255"/>
      <c r="GDE49" s="255"/>
      <c r="GDF49" s="255"/>
      <c r="GDG49" s="255"/>
      <c r="GDH49" s="255"/>
      <c r="GDI49" s="255"/>
      <c r="GDJ49" s="255"/>
      <c r="GDK49" s="255"/>
      <c r="GDL49" s="255"/>
      <c r="GDM49" s="255"/>
      <c r="GDN49" s="255"/>
      <c r="GDO49" s="255"/>
      <c r="GDP49" s="255"/>
      <c r="GDQ49" s="255"/>
      <c r="GDR49" s="255"/>
      <c r="GDS49" s="255"/>
      <c r="GDT49" s="255"/>
      <c r="GDU49" s="255"/>
      <c r="GDV49" s="255"/>
      <c r="GDW49" s="255"/>
      <c r="GDX49" s="255"/>
      <c r="GDY49" s="255"/>
      <c r="GDZ49" s="255"/>
      <c r="GEA49" s="255"/>
      <c r="GEB49" s="255"/>
      <c r="GEC49" s="255"/>
      <c r="GED49" s="255"/>
      <c r="GEE49" s="255"/>
      <c r="GEF49" s="255"/>
      <c r="GEG49" s="255"/>
      <c r="GEH49" s="255"/>
      <c r="GEI49" s="255"/>
      <c r="GEJ49" s="255"/>
      <c r="GEK49" s="255"/>
      <c r="GEL49" s="255"/>
      <c r="GEM49" s="255"/>
      <c r="GEN49" s="255"/>
      <c r="GEO49" s="255"/>
      <c r="GEP49" s="255"/>
      <c r="GEQ49" s="255"/>
      <c r="GER49" s="255"/>
      <c r="GES49" s="255"/>
      <c r="GET49" s="255"/>
      <c r="GEU49" s="255"/>
      <c r="GEV49" s="255"/>
      <c r="GEW49" s="255"/>
      <c r="GEX49" s="255"/>
      <c r="GEY49" s="255"/>
      <c r="GEZ49" s="255"/>
      <c r="GFA49" s="255"/>
      <c r="GFB49" s="255"/>
      <c r="GFC49" s="255"/>
      <c r="GFD49" s="255"/>
      <c r="GFE49" s="255"/>
      <c r="GFF49" s="255"/>
      <c r="GFG49" s="255"/>
      <c r="GFH49" s="255"/>
      <c r="GFI49" s="255"/>
      <c r="GFJ49" s="255"/>
      <c r="GFK49" s="255"/>
      <c r="GFL49" s="255"/>
      <c r="GFM49" s="255"/>
      <c r="GFN49" s="255"/>
      <c r="GFO49" s="255"/>
      <c r="GFP49" s="255"/>
      <c r="GFQ49" s="255"/>
      <c r="GFR49" s="255"/>
      <c r="GFS49" s="255"/>
      <c r="GFT49" s="255"/>
      <c r="GFU49" s="255"/>
      <c r="GFV49" s="255"/>
      <c r="GFW49" s="255"/>
      <c r="GFX49" s="255"/>
      <c r="GFY49" s="255"/>
      <c r="GFZ49" s="255"/>
      <c r="GGA49" s="255"/>
      <c r="GGB49" s="255"/>
      <c r="GGC49" s="255"/>
      <c r="GGD49" s="255"/>
      <c r="GGE49" s="255"/>
      <c r="GGF49" s="255"/>
      <c r="GGG49" s="255"/>
      <c r="GGH49" s="255"/>
      <c r="GGI49" s="255"/>
      <c r="GGJ49" s="255"/>
      <c r="GGK49" s="255"/>
      <c r="GGL49" s="255"/>
      <c r="GGM49" s="255"/>
      <c r="GGN49" s="255"/>
      <c r="GGO49" s="255"/>
      <c r="GGP49" s="255"/>
      <c r="GGQ49" s="255"/>
      <c r="GGR49" s="255"/>
      <c r="GGS49" s="255"/>
      <c r="GGT49" s="255"/>
      <c r="GGU49" s="255"/>
      <c r="GGV49" s="255"/>
      <c r="GGW49" s="255"/>
      <c r="GGX49" s="255"/>
      <c r="GGY49" s="255"/>
      <c r="GGZ49" s="255"/>
      <c r="GHA49" s="255"/>
      <c r="GHB49" s="255"/>
      <c r="GHC49" s="255"/>
      <c r="GHD49" s="255"/>
      <c r="GHE49" s="255"/>
      <c r="GHF49" s="255"/>
      <c r="GHG49" s="255"/>
      <c r="GHH49" s="255"/>
      <c r="GHI49" s="255"/>
      <c r="GHJ49" s="255"/>
      <c r="GHK49" s="255"/>
      <c r="GHL49" s="255"/>
      <c r="GHM49" s="255"/>
      <c r="GHN49" s="255"/>
      <c r="GHO49" s="255"/>
      <c r="GHP49" s="255"/>
      <c r="GHQ49" s="255"/>
      <c r="GHR49" s="255"/>
      <c r="GHS49" s="255"/>
      <c r="GHT49" s="255"/>
      <c r="GHU49" s="255"/>
      <c r="GHV49" s="255"/>
      <c r="GHW49" s="255"/>
      <c r="GHX49" s="255"/>
      <c r="GHY49" s="255"/>
      <c r="GHZ49" s="255"/>
      <c r="GIA49" s="255"/>
      <c r="GIB49" s="255"/>
      <c r="GIC49" s="255"/>
      <c r="GID49" s="255"/>
      <c r="GIE49" s="255"/>
      <c r="GIF49" s="255"/>
      <c r="GIG49" s="255"/>
      <c r="GIH49" s="255"/>
      <c r="GII49" s="255"/>
      <c r="GIJ49" s="255"/>
      <c r="GIK49" s="255"/>
      <c r="GIL49" s="255"/>
      <c r="GIM49" s="255"/>
      <c r="GIN49" s="255"/>
      <c r="GIO49" s="255"/>
      <c r="GIP49" s="255"/>
      <c r="GIQ49" s="255"/>
      <c r="GIR49" s="255"/>
      <c r="GIS49" s="255"/>
      <c r="GIT49" s="255"/>
      <c r="GIU49" s="255"/>
      <c r="GIV49" s="255"/>
      <c r="GIW49" s="255"/>
      <c r="GIX49" s="255"/>
      <c r="GIY49" s="255"/>
      <c r="GIZ49" s="255"/>
      <c r="GJA49" s="255"/>
      <c r="GJB49" s="255"/>
      <c r="GJC49" s="255"/>
      <c r="GJD49" s="255"/>
      <c r="GJE49" s="255"/>
      <c r="GJF49" s="255"/>
      <c r="GJG49" s="255"/>
      <c r="GJH49" s="255"/>
      <c r="GJI49" s="255"/>
      <c r="GJJ49" s="255"/>
      <c r="GJK49" s="255"/>
      <c r="GJL49" s="255"/>
      <c r="GJM49" s="255"/>
      <c r="GJN49" s="255"/>
      <c r="GJO49" s="255"/>
      <c r="GJP49" s="255"/>
      <c r="GJQ49" s="255"/>
      <c r="GJR49" s="255"/>
      <c r="GJS49" s="255"/>
      <c r="GJT49" s="255"/>
      <c r="GJU49" s="255"/>
      <c r="GJV49" s="255"/>
      <c r="GJW49" s="255"/>
      <c r="GJX49" s="255"/>
      <c r="GJY49" s="255"/>
      <c r="GJZ49" s="255"/>
      <c r="GKA49" s="255"/>
      <c r="GKB49" s="255"/>
      <c r="GKC49" s="255"/>
      <c r="GKD49" s="255"/>
      <c r="GKE49" s="255"/>
      <c r="GKF49" s="255"/>
      <c r="GKG49" s="255"/>
      <c r="GKH49" s="255"/>
      <c r="GKI49" s="255"/>
      <c r="GKJ49" s="255"/>
      <c r="GKK49" s="255"/>
      <c r="GKL49" s="255"/>
      <c r="GKM49" s="255"/>
      <c r="GKN49" s="255"/>
      <c r="GKO49" s="255"/>
      <c r="GKP49" s="255"/>
      <c r="GKQ49" s="255"/>
      <c r="GKR49" s="255"/>
      <c r="GKS49" s="255"/>
      <c r="GKT49" s="255"/>
      <c r="GKU49" s="255"/>
      <c r="GKV49" s="255"/>
      <c r="GKW49" s="255"/>
      <c r="GKX49" s="255"/>
      <c r="GKY49" s="255"/>
      <c r="GKZ49" s="255"/>
      <c r="GLA49" s="255"/>
      <c r="GLB49" s="255"/>
      <c r="GLC49" s="255"/>
      <c r="GLD49" s="255"/>
      <c r="GLE49" s="255"/>
      <c r="GLF49" s="255"/>
      <c r="GLG49" s="255"/>
      <c r="GLH49" s="255"/>
      <c r="GLI49" s="255"/>
      <c r="GLJ49" s="255"/>
      <c r="GLK49" s="255"/>
      <c r="GLL49" s="255"/>
      <c r="GLM49" s="255"/>
      <c r="GLN49" s="255"/>
      <c r="GLO49" s="255"/>
      <c r="GLP49" s="255"/>
      <c r="GLQ49" s="255"/>
      <c r="GLR49" s="255"/>
      <c r="GLS49" s="255"/>
      <c r="GLT49" s="255"/>
      <c r="GLU49" s="255"/>
      <c r="GLV49" s="255"/>
      <c r="GLW49" s="255"/>
      <c r="GLX49" s="255"/>
      <c r="GLY49" s="255"/>
      <c r="GLZ49" s="255"/>
      <c r="GMA49" s="255"/>
      <c r="GMB49" s="255"/>
      <c r="GMC49" s="255"/>
      <c r="GMD49" s="255"/>
      <c r="GME49" s="255"/>
      <c r="GMF49" s="255"/>
      <c r="GMG49" s="255"/>
      <c r="GMH49" s="255"/>
      <c r="GMI49" s="255"/>
      <c r="GMJ49" s="255"/>
      <c r="GMK49" s="255"/>
      <c r="GML49" s="255"/>
      <c r="GMM49" s="255"/>
      <c r="GMN49" s="255"/>
      <c r="GMO49" s="255"/>
      <c r="GMP49" s="255"/>
      <c r="GMQ49" s="255"/>
      <c r="GMR49" s="255"/>
      <c r="GMS49" s="255"/>
      <c r="GMT49" s="255"/>
      <c r="GMU49" s="255"/>
      <c r="GMV49" s="255"/>
      <c r="GMW49" s="255"/>
      <c r="GMX49" s="255"/>
      <c r="GMY49" s="255"/>
      <c r="GMZ49" s="255"/>
      <c r="GNA49" s="255"/>
      <c r="GNB49" s="255"/>
      <c r="GNC49" s="255"/>
      <c r="GND49" s="255"/>
      <c r="GNE49" s="255"/>
      <c r="GNF49" s="255"/>
      <c r="GNG49" s="255"/>
      <c r="GNH49" s="255"/>
      <c r="GNI49" s="255"/>
      <c r="GNJ49" s="255"/>
      <c r="GNK49" s="255"/>
      <c r="GNL49" s="255"/>
      <c r="GNM49" s="255"/>
      <c r="GNN49" s="255"/>
      <c r="GNO49" s="255"/>
      <c r="GNP49" s="255"/>
      <c r="GNQ49" s="255"/>
      <c r="GNR49" s="255"/>
      <c r="GNS49" s="255"/>
      <c r="GNT49" s="255"/>
      <c r="GNU49" s="255"/>
      <c r="GNV49" s="255"/>
      <c r="GNW49" s="255"/>
      <c r="GNX49" s="255"/>
      <c r="GNY49" s="255"/>
      <c r="GNZ49" s="255"/>
      <c r="GOA49" s="255"/>
      <c r="GOB49" s="255"/>
      <c r="GOC49" s="255"/>
      <c r="GOD49" s="255"/>
      <c r="GOE49" s="255"/>
      <c r="GOF49" s="255"/>
      <c r="GOG49" s="255"/>
      <c r="GOH49" s="255"/>
      <c r="GOI49" s="255"/>
      <c r="GOJ49" s="255"/>
      <c r="GOK49" s="255"/>
      <c r="GOL49" s="255"/>
      <c r="GOM49" s="255"/>
      <c r="GON49" s="255"/>
      <c r="GOO49" s="255"/>
      <c r="GOP49" s="255"/>
      <c r="GOQ49" s="255"/>
      <c r="GOR49" s="255"/>
      <c r="GOS49" s="255"/>
      <c r="GOT49" s="255"/>
      <c r="GOU49" s="255"/>
      <c r="GOV49" s="255"/>
      <c r="GOW49" s="255"/>
      <c r="GOX49" s="255"/>
      <c r="GOY49" s="255"/>
      <c r="GOZ49" s="255"/>
      <c r="GPA49" s="255"/>
      <c r="GPB49" s="255"/>
      <c r="GPC49" s="255"/>
      <c r="GPD49" s="255"/>
      <c r="GPE49" s="255"/>
      <c r="GPF49" s="255"/>
      <c r="GPG49" s="255"/>
      <c r="GPH49" s="255"/>
      <c r="GPI49" s="255"/>
      <c r="GPJ49" s="255"/>
      <c r="GPK49" s="255"/>
      <c r="GPL49" s="255"/>
      <c r="GPM49" s="255"/>
      <c r="GPN49" s="255"/>
      <c r="GPO49" s="255"/>
      <c r="GPP49" s="255"/>
      <c r="GPQ49" s="255"/>
      <c r="GPR49" s="255"/>
      <c r="GPS49" s="255"/>
      <c r="GPT49" s="255"/>
      <c r="GPU49" s="255"/>
      <c r="GPV49" s="255"/>
      <c r="GPW49" s="255"/>
      <c r="GPX49" s="255"/>
      <c r="GPY49" s="255"/>
      <c r="GPZ49" s="255"/>
      <c r="GQA49" s="255"/>
      <c r="GQB49" s="255"/>
      <c r="GQC49" s="255"/>
      <c r="GQD49" s="255"/>
      <c r="GQE49" s="255"/>
      <c r="GQF49" s="255"/>
      <c r="GQG49" s="255"/>
      <c r="GQH49" s="255"/>
      <c r="GQI49" s="255"/>
      <c r="GQJ49" s="255"/>
      <c r="GQK49" s="255"/>
      <c r="GQL49" s="255"/>
      <c r="GQM49" s="255"/>
      <c r="GQN49" s="255"/>
      <c r="GQO49" s="255"/>
      <c r="GQP49" s="255"/>
      <c r="GQQ49" s="255"/>
      <c r="GQR49" s="255"/>
      <c r="GQS49" s="255"/>
      <c r="GQT49" s="255"/>
      <c r="GQU49" s="255"/>
      <c r="GQV49" s="255"/>
      <c r="GQW49" s="255"/>
      <c r="GQX49" s="255"/>
      <c r="GQY49" s="255"/>
      <c r="GQZ49" s="255"/>
      <c r="GRA49" s="255"/>
      <c r="GRB49" s="255"/>
      <c r="GRC49" s="255"/>
      <c r="GRD49" s="255"/>
      <c r="GRE49" s="255"/>
      <c r="GRF49" s="255"/>
      <c r="GRG49" s="255"/>
      <c r="GRH49" s="255"/>
      <c r="GRI49" s="255"/>
      <c r="GRJ49" s="255"/>
      <c r="GRK49" s="255"/>
      <c r="GRL49" s="255"/>
      <c r="GRM49" s="255"/>
      <c r="GRN49" s="255"/>
      <c r="GRO49" s="255"/>
      <c r="GRP49" s="255"/>
      <c r="GRQ49" s="255"/>
      <c r="GRR49" s="255"/>
      <c r="GRS49" s="255"/>
      <c r="GRT49" s="255"/>
      <c r="GRU49" s="255"/>
      <c r="GRV49" s="255"/>
      <c r="GRW49" s="255"/>
      <c r="GRX49" s="255"/>
      <c r="GRY49" s="255"/>
      <c r="GRZ49" s="255"/>
      <c r="GSA49" s="255"/>
      <c r="GSB49" s="255"/>
      <c r="GSC49" s="255"/>
      <c r="GSD49" s="255"/>
      <c r="GSE49" s="255"/>
      <c r="GSF49" s="255"/>
      <c r="GSG49" s="255"/>
      <c r="GSH49" s="255"/>
      <c r="GSI49" s="255"/>
      <c r="GSJ49" s="255"/>
      <c r="GSK49" s="255"/>
      <c r="GSL49" s="255"/>
      <c r="GSM49" s="255"/>
      <c r="GSN49" s="255"/>
      <c r="GSO49" s="255"/>
      <c r="GSP49" s="255"/>
      <c r="GSQ49" s="255"/>
      <c r="GSR49" s="255"/>
      <c r="GSS49" s="255"/>
      <c r="GST49" s="255"/>
      <c r="GSU49" s="255"/>
      <c r="GSV49" s="255"/>
      <c r="GSW49" s="255"/>
      <c r="GSX49" s="255"/>
      <c r="GSY49" s="255"/>
      <c r="GSZ49" s="255"/>
      <c r="GTA49" s="255"/>
      <c r="GTB49" s="255"/>
      <c r="GTC49" s="255"/>
      <c r="GTD49" s="255"/>
      <c r="GTE49" s="255"/>
      <c r="GTF49" s="255"/>
      <c r="GTG49" s="255"/>
      <c r="GTH49" s="255"/>
      <c r="GTI49" s="255"/>
      <c r="GTJ49" s="255"/>
      <c r="GTK49" s="255"/>
      <c r="GTL49" s="255"/>
      <c r="GTM49" s="255"/>
      <c r="GTN49" s="255"/>
      <c r="GTO49" s="255"/>
      <c r="GTP49" s="255"/>
      <c r="GTQ49" s="255"/>
      <c r="GTR49" s="255"/>
      <c r="GTS49" s="255"/>
      <c r="GTT49" s="255"/>
      <c r="GTU49" s="255"/>
      <c r="GTV49" s="255"/>
      <c r="GTW49" s="255"/>
      <c r="GTX49" s="255"/>
      <c r="GTY49" s="255"/>
      <c r="GTZ49" s="255"/>
      <c r="GUA49" s="255"/>
      <c r="GUB49" s="255"/>
      <c r="GUC49" s="255"/>
      <c r="GUD49" s="255"/>
      <c r="GUE49" s="255"/>
      <c r="GUF49" s="255"/>
      <c r="GUG49" s="255"/>
      <c r="GUH49" s="255"/>
      <c r="GUI49" s="255"/>
      <c r="GUJ49" s="255"/>
      <c r="GUK49" s="255"/>
      <c r="GUL49" s="255"/>
      <c r="GUM49" s="255"/>
      <c r="GUN49" s="255"/>
      <c r="GUO49" s="255"/>
      <c r="GUP49" s="255"/>
      <c r="GUQ49" s="255"/>
      <c r="GUR49" s="255"/>
      <c r="GUS49" s="255"/>
      <c r="GUT49" s="255"/>
      <c r="GUU49" s="255"/>
      <c r="GUV49" s="255"/>
      <c r="GUW49" s="255"/>
      <c r="GUX49" s="255"/>
      <c r="GUY49" s="255"/>
      <c r="GUZ49" s="255"/>
      <c r="GVA49" s="255"/>
      <c r="GVB49" s="255"/>
      <c r="GVC49" s="255"/>
      <c r="GVD49" s="255"/>
      <c r="GVE49" s="255"/>
      <c r="GVF49" s="255"/>
      <c r="GVG49" s="255"/>
      <c r="GVH49" s="255"/>
      <c r="GVI49" s="255"/>
      <c r="GVJ49" s="255"/>
      <c r="GVK49" s="255"/>
      <c r="GVL49" s="255"/>
      <c r="GVM49" s="255"/>
      <c r="GVN49" s="255"/>
      <c r="GVO49" s="255"/>
      <c r="GVP49" s="255"/>
      <c r="GVQ49" s="255"/>
      <c r="GVR49" s="255"/>
      <c r="GVS49" s="255"/>
      <c r="GVT49" s="255"/>
      <c r="GVU49" s="255"/>
      <c r="GVV49" s="255"/>
      <c r="GVW49" s="255"/>
      <c r="GVX49" s="255"/>
      <c r="GVY49" s="255"/>
      <c r="GVZ49" s="255"/>
      <c r="GWA49" s="255"/>
      <c r="GWB49" s="255"/>
      <c r="GWC49" s="255"/>
      <c r="GWD49" s="255"/>
      <c r="GWE49" s="255"/>
      <c r="GWF49" s="255"/>
      <c r="GWG49" s="255"/>
      <c r="GWH49" s="255"/>
      <c r="GWI49" s="255"/>
      <c r="GWJ49" s="255"/>
      <c r="GWK49" s="255"/>
      <c r="GWL49" s="255"/>
      <c r="GWM49" s="255"/>
      <c r="GWN49" s="255"/>
      <c r="GWO49" s="255"/>
      <c r="GWP49" s="255"/>
      <c r="GWQ49" s="255"/>
      <c r="GWR49" s="255"/>
      <c r="GWS49" s="255"/>
      <c r="GWT49" s="255"/>
      <c r="GWU49" s="255"/>
      <c r="GWV49" s="255"/>
      <c r="GWW49" s="255"/>
      <c r="GWX49" s="255"/>
      <c r="GWY49" s="255"/>
      <c r="GWZ49" s="255"/>
      <c r="GXA49" s="255"/>
      <c r="GXB49" s="255"/>
      <c r="GXC49" s="255"/>
      <c r="GXD49" s="255"/>
      <c r="GXE49" s="255"/>
      <c r="GXF49" s="255"/>
      <c r="GXG49" s="255"/>
      <c r="GXH49" s="255"/>
      <c r="GXI49" s="255"/>
      <c r="GXJ49" s="255"/>
      <c r="GXK49" s="255"/>
      <c r="GXL49" s="255"/>
      <c r="GXM49" s="255"/>
      <c r="GXN49" s="255"/>
      <c r="GXO49" s="255"/>
      <c r="GXP49" s="255"/>
      <c r="GXQ49" s="255"/>
      <c r="GXR49" s="255"/>
      <c r="GXS49" s="255"/>
      <c r="GXT49" s="255"/>
      <c r="GXU49" s="255"/>
      <c r="GXV49" s="255"/>
      <c r="GXW49" s="255"/>
      <c r="GXX49" s="255"/>
      <c r="GXY49" s="255"/>
      <c r="GXZ49" s="255"/>
      <c r="GYA49" s="255"/>
      <c r="GYB49" s="255"/>
      <c r="GYC49" s="255"/>
      <c r="GYD49" s="255"/>
      <c r="GYE49" s="255"/>
      <c r="GYF49" s="255"/>
      <c r="GYG49" s="255"/>
      <c r="GYH49" s="255"/>
      <c r="GYI49" s="255"/>
      <c r="GYJ49" s="255"/>
      <c r="GYK49" s="255"/>
      <c r="GYL49" s="255"/>
      <c r="GYM49" s="255"/>
      <c r="GYN49" s="255"/>
      <c r="GYO49" s="255"/>
      <c r="GYP49" s="255"/>
      <c r="GYQ49" s="255"/>
      <c r="GYR49" s="255"/>
      <c r="GYS49" s="255"/>
      <c r="GYT49" s="255"/>
      <c r="GYU49" s="255"/>
      <c r="GYV49" s="255"/>
      <c r="GYW49" s="255"/>
      <c r="GYX49" s="255"/>
      <c r="GYY49" s="255"/>
      <c r="GYZ49" s="255"/>
      <c r="GZA49" s="255"/>
      <c r="GZB49" s="255"/>
      <c r="GZC49" s="255"/>
      <c r="GZD49" s="255"/>
      <c r="GZE49" s="255"/>
      <c r="GZF49" s="255"/>
      <c r="GZG49" s="255"/>
      <c r="GZH49" s="255"/>
      <c r="GZI49" s="255"/>
      <c r="GZJ49" s="255"/>
      <c r="GZK49" s="255"/>
      <c r="GZL49" s="255"/>
      <c r="GZM49" s="255"/>
      <c r="GZN49" s="255"/>
      <c r="GZO49" s="255"/>
      <c r="GZP49" s="255"/>
      <c r="GZQ49" s="255"/>
      <c r="GZR49" s="255"/>
      <c r="GZS49" s="255"/>
      <c r="GZT49" s="255"/>
      <c r="GZU49" s="255"/>
      <c r="GZV49" s="255"/>
      <c r="GZW49" s="255"/>
      <c r="GZX49" s="255"/>
      <c r="GZY49" s="255"/>
      <c r="GZZ49" s="255"/>
      <c r="HAA49" s="255"/>
      <c r="HAB49" s="255"/>
      <c r="HAC49" s="255"/>
      <c r="HAD49" s="255"/>
      <c r="HAE49" s="255"/>
      <c r="HAF49" s="255"/>
      <c r="HAG49" s="255"/>
      <c r="HAH49" s="255"/>
      <c r="HAI49" s="255"/>
      <c r="HAJ49" s="255"/>
      <c r="HAK49" s="255"/>
      <c r="HAL49" s="255"/>
      <c r="HAM49" s="255"/>
      <c r="HAN49" s="255"/>
      <c r="HAO49" s="255"/>
      <c r="HAP49" s="255"/>
      <c r="HAQ49" s="255"/>
      <c r="HAR49" s="255"/>
      <c r="HAS49" s="255"/>
      <c r="HAT49" s="255"/>
      <c r="HAU49" s="255"/>
      <c r="HAV49" s="255"/>
      <c r="HAW49" s="255"/>
      <c r="HAX49" s="255"/>
      <c r="HAY49" s="255"/>
      <c r="HAZ49" s="255"/>
      <c r="HBA49" s="255"/>
      <c r="HBB49" s="255"/>
      <c r="HBC49" s="255"/>
      <c r="HBD49" s="255"/>
      <c r="HBE49" s="255"/>
      <c r="HBF49" s="255"/>
      <c r="HBG49" s="255"/>
      <c r="HBH49" s="255"/>
      <c r="HBI49" s="255"/>
      <c r="HBJ49" s="255"/>
      <c r="HBK49" s="255"/>
      <c r="HBL49" s="255"/>
      <c r="HBM49" s="255"/>
      <c r="HBN49" s="255"/>
      <c r="HBO49" s="255"/>
      <c r="HBP49" s="255"/>
      <c r="HBQ49" s="255"/>
      <c r="HBR49" s="255"/>
      <c r="HBS49" s="255"/>
      <c r="HBT49" s="255"/>
      <c r="HBU49" s="255"/>
      <c r="HBV49" s="255"/>
      <c r="HBW49" s="255"/>
      <c r="HBX49" s="255"/>
      <c r="HBY49" s="255"/>
      <c r="HBZ49" s="255"/>
      <c r="HCA49" s="255"/>
      <c r="HCB49" s="255"/>
      <c r="HCC49" s="255"/>
      <c r="HCD49" s="255"/>
      <c r="HCE49" s="255"/>
      <c r="HCF49" s="255"/>
      <c r="HCG49" s="255"/>
      <c r="HCH49" s="255"/>
      <c r="HCI49" s="255"/>
      <c r="HCJ49" s="255"/>
      <c r="HCK49" s="255"/>
      <c r="HCL49" s="255"/>
      <c r="HCM49" s="255"/>
      <c r="HCN49" s="255"/>
      <c r="HCO49" s="255"/>
      <c r="HCP49" s="255"/>
      <c r="HCQ49" s="255"/>
      <c r="HCR49" s="255"/>
      <c r="HCS49" s="255"/>
      <c r="HCT49" s="255"/>
      <c r="HCU49" s="255"/>
      <c r="HCV49" s="255"/>
      <c r="HCW49" s="255"/>
      <c r="HCX49" s="255"/>
      <c r="HCY49" s="255"/>
      <c r="HCZ49" s="255"/>
      <c r="HDA49" s="255"/>
      <c r="HDB49" s="255"/>
      <c r="HDC49" s="255"/>
      <c r="HDD49" s="255"/>
      <c r="HDE49" s="255"/>
      <c r="HDF49" s="255"/>
      <c r="HDG49" s="255"/>
      <c r="HDH49" s="255"/>
      <c r="HDI49" s="255"/>
      <c r="HDJ49" s="255"/>
      <c r="HDK49" s="255"/>
      <c r="HDL49" s="255"/>
      <c r="HDM49" s="255"/>
      <c r="HDN49" s="255"/>
      <c r="HDO49" s="255"/>
      <c r="HDP49" s="255"/>
      <c r="HDQ49" s="255"/>
      <c r="HDR49" s="255"/>
      <c r="HDS49" s="255"/>
      <c r="HDT49" s="255"/>
      <c r="HDU49" s="255"/>
      <c r="HDV49" s="255"/>
      <c r="HDW49" s="255"/>
      <c r="HDX49" s="255"/>
      <c r="HDY49" s="255"/>
      <c r="HDZ49" s="255"/>
      <c r="HEA49" s="255"/>
      <c r="HEB49" s="255"/>
      <c r="HEC49" s="255"/>
      <c r="HED49" s="255"/>
      <c r="HEE49" s="255"/>
      <c r="HEF49" s="255"/>
      <c r="HEG49" s="255"/>
      <c r="HEH49" s="255"/>
      <c r="HEI49" s="255"/>
      <c r="HEJ49" s="255"/>
      <c r="HEK49" s="255"/>
      <c r="HEL49" s="255"/>
      <c r="HEM49" s="255"/>
      <c r="HEN49" s="255"/>
      <c r="HEO49" s="255"/>
      <c r="HEP49" s="255"/>
      <c r="HEQ49" s="255"/>
      <c r="HER49" s="255"/>
      <c r="HES49" s="255"/>
      <c r="HET49" s="255"/>
      <c r="HEU49" s="255"/>
      <c r="HEV49" s="255"/>
      <c r="HEW49" s="255"/>
      <c r="HEX49" s="255"/>
      <c r="HEY49" s="255"/>
      <c r="HEZ49" s="255"/>
      <c r="HFA49" s="255"/>
      <c r="HFB49" s="255"/>
      <c r="HFC49" s="255"/>
      <c r="HFD49" s="255"/>
      <c r="HFE49" s="255"/>
      <c r="HFF49" s="255"/>
      <c r="HFG49" s="255"/>
      <c r="HFH49" s="255"/>
      <c r="HFI49" s="255"/>
      <c r="HFJ49" s="255"/>
      <c r="HFK49" s="255"/>
      <c r="HFL49" s="255"/>
      <c r="HFM49" s="255"/>
      <c r="HFN49" s="255"/>
      <c r="HFO49" s="255"/>
      <c r="HFP49" s="255"/>
      <c r="HFQ49" s="255"/>
      <c r="HFR49" s="255"/>
      <c r="HFS49" s="255"/>
      <c r="HFT49" s="255"/>
      <c r="HFU49" s="255"/>
      <c r="HFV49" s="255"/>
      <c r="HFW49" s="255"/>
      <c r="HFX49" s="255"/>
      <c r="HFY49" s="255"/>
      <c r="HFZ49" s="255"/>
      <c r="HGA49" s="255"/>
      <c r="HGB49" s="255"/>
      <c r="HGC49" s="255"/>
      <c r="HGD49" s="255"/>
      <c r="HGE49" s="255"/>
      <c r="HGF49" s="255"/>
      <c r="HGG49" s="255"/>
      <c r="HGH49" s="255"/>
      <c r="HGI49" s="255"/>
      <c r="HGJ49" s="255"/>
      <c r="HGK49" s="255"/>
      <c r="HGL49" s="255"/>
      <c r="HGM49" s="255"/>
      <c r="HGN49" s="255"/>
      <c r="HGO49" s="255"/>
      <c r="HGP49" s="255"/>
      <c r="HGQ49" s="255"/>
      <c r="HGR49" s="255"/>
      <c r="HGS49" s="255"/>
      <c r="HGT49" s="255"/>
      <c r="HGU49" s="255"/>
      <c r="HGV49" s="255"/>
      <c r="HGW49" s="255"/>
      <c r="HGX49" s="255"/>
      <c r="HGY49" s="255"/>
      <c r="HGZ49" s="255"/>
      <c r="HHA49" s="255"/>
      <c r="HHB49" s="255"/>
      <c r="HHC49" s="255"/>
      <c r="HHD49" s="255"/>
      <c r="HHE49" s="255"/>
      <c r="HHF49" s="255"/>
      <c r="HHG49" s="255"/>
      <c r="HHH49" s="255"/>
      <c r="HHI49" s="255"/>
      <c r="HHJ49" s="255"/>
      <c r="HHK49" s="255"/>
      <c r="HHL49" s="255"/>
      <c r="HHM49" s="255"/>
      <c r="HHN49" s="255"/>
      <c r="HHO49" s="255"/>
      <c r="HHP49" s="255"/>
      <c r="HHQ49" s="255"/>
      <c r="HHR49" s="255"/>
      <c r="HHS49" s="255"/>
      <c r="HHT49" s="255"/>
      <c r="HHU49" s="255"/>
      <c r="HHV49" s="255"/>
      <c r="HHW49" s="255"/>
      <c r="HHX49" s="255"/>
      <c r="HHY49" s="255"/>
      <c r="HHZ49" s="255"/>
      <c r="HIA49" s="255"/>
      <c r="HIB49" s="255"/>
      <c r="HIC49" s="255"/>
      <c r="HID49" s="255"/>
      <c r="HIE49" s="255"/>
      <c r="HIF49" s="255"/>
      <c r="HIG49" s="255"/>
      <c r="HIH49" s="255"/>
      <c r="HII49" s="255"/>
      <c r="HIJ49" s="255"/>
      <c r="HIK49" s="255"/>
      <c r="HIL49" s="255"/>
      <c r="HIM49" s="255"/>
      <c r="HIN49" s="255"/>
      <c r="HIO49" s="255"/>
      <c r="HIP49" s="255"/>
      <c r="HIQ49" s="255"/>
      <c r="HIR49" s="255"/>
      <c r="HIS49" s="255"/>
      <c r="HIT49" s="255"/>
      <c r="HIU49" s="255"/>
      <c r="HIV49" s="255"/>
      <c r="HIW49" s="255"/>
      <c r="HIX49" s="255"/>
      <c r="HIY49" s="255"/>
      <c r="HIZ49" s="255"/>
      <c r="HJA49" s="255"/>
      <c r="HJB49" s="255"/>
      <c r="HJC49" s="255"/>
      <c r="HJD49" s="255"/>
      <c r="HJE49" s="255"/>
      <c r="HJF49" s="255"/>
      <c r="HJG49" s="255"/>
      <c r="HJH49" s="255"/>
      <c r="HJI49" s="255"/>
      <c r="HJJ49" s="255"/>
      <c r="HJK49" s="255"/>
      <c r="HJL49" s="255"/>
      <c r="HJM49" s="255"/>
      <c r="HJN49" s="255"/>
      <c r="HJO49" s="255"/>
      <c r="HJP49" s="255"/>
      <c r="HJQ49" s="255"/>
      <c r="HJR49" s="255"/>
      <c r="HJS49" s="255"/>
      <c r="HJT49" s="255"/>
      <c r="HJU49" s="255"/>
      <c r="HJV49" s="255"/>
      <c r="HJW49" s="255"/>
      <c r="HJX49" s="255"/>
      <c r="HJY49" s="255"/>
      <c r="HJZ49" s="255"/>
      <c r="HKA49" s="255"/>
      <c r="HKB49" s="255"/>
      <c r="HKC49" s="255"/>
      <c r="HKD49" s="255"/>
      <c r="HKE49" s="255"/>
      <c r="HKF49" s="255"/>
      <c r="HKG49" s="255"/>
      <c r="HKH49" s="255"/>
      <c r="HKI49" s="255"/>
      <c r="HKJ49" s="255"/>
      <c r="HKK49" s="255"/>
      <c r="HKL49" s="255"/>
      <c r="HKM49" s="255"/>
      <c r="HKN49" s="255"/>
      <c r="HKO49" s="255"/>
      <c r="HKP49" s="255"/>
      <c r="HKQ49" s="255"/>
      <c r="HKR49" s="255"/>
      <c r="HKS49" s="255"/>
      <c r="HKT49" s="255"/>
      <c r="HKU49" s="255"/>
      <c r="HKV49" s="255"/>
      <c r="HKW49" s="255"/>
      <c r="HKX49" s="255"/>
      <c r="HKY49" s="255"/>
      <c r="HKZ49" s="255"/>
      <c r="HLA49" s="255"/>
      <c r="HLB49" s="255"/>
      <c r="HLC49" s="255"/>
      <c r="HLD49" s="255"/>
      <c r="HLE49" s="255"/>
      <c r="HLF49" s="255"/>
      <c r="HLG49" s="255"/>
      <c r="HLH49" s="255"/>
      <c r="HLI49" s="255"/>
      <c r="HLJ49" s="255"/>
      <c r="HLK49" s="255"/>
      <c r="HLL49" s="255"/>
      <c r="HLM49" s="255"/>
      <c r="HLN49" s="255"/>
      <c r="HLO49" s="255"/>
      <c r="HLP49" s="255"/>
      <c r="HLQ49" s="255"/>
      <c r="HLR49" s="255"/>
      <c r="HLS49" s="255"/>
      <c r="HLT49" s="255"/>
      <c r="HLU49" s="255"/>
      <c r="HLV49" s="255"/>
      <c r="HLW49" s="255"/>
      <c r="HLX49" s="255"/>
      <c r="HLY49" s="255"/>
      <c r="HLZ49" s="255"/>
      <c r="HMA49" s="255"/>
      <c r="HMB49" s="255"/>
      <c r="HMC49" s="255"/>
      <c r="HMD49" s="255"/>
      <c r="HME49" s="255"/>
      <c r="HMF49" s="255"/>
      <c r="HMG49" s="255"/>
      <c r="HMH49" s="255"/>
      <c r="HMI49" s="255"/>
      <c r="HMJ49" s="255"/>
      <c r="HMK49" s="255"/>
      <c r="HML49" s="255"/>
      <c r="HMM49" s="255"/>
      <c r="HMN49" s="255"/>
      <c r="HMO49" s="255"/>
      <c r="HMP49" s="255"/>
      <c r="HMQ49" s="255"/>
      <c r="HMR49" s="255"/>
      <c r="HMS49" s="255"/>
      <c r="HMT49" s="255"/>
      <c r="HMU49" s="255"/>
      <c r="HMV49" s="255"/>
      <c r="HMW49" s="255"/>
      <c r="HMX49" s="255"/>
      <c r="HMY49" s="255"/>
      <c r="HMZ49" s="255"/>
      <c r="HNA49" s="255"/>
      <c r="HNB49" s="255"/>
      <c r="HNC49" s="255"/>
      <c r="HND49" s="255"/>
      <c r="HNE49" s="255"/>
      <c r="HNF49" s="255"/>
      <c r="HNG49" s="255"/>
      <c r="HNH49" s="255"/>
      <c r="HNI49" s="255"/>
      <c r="HNJ49" s="255"/>
      <c r="HNK49" s="255"/>
      <c r="HNL49" s="255"/>
      <c r="HNM49" s="255"/>
      <c r="HNN49" s="255"/>
      <c r="HNO49" s="255"/>
      <c r="HNP49" s="255"/>
      <c r="HNQ49" s="255"/>
      <c r="HNR49" s="255"/>
      <c r="HNS49" s="255"/>
      <c r="HNT49" s="255"/>
      <c r="HNU49" s="255"/>
      <c r="HNV49" s="255"/>
      <c r="HNW49" s="255"/>
      <c r="HNX49" s="255"/>
      <c r="HNY49" s="255"/>
      <c r="HNZ49" s="255"/>
      <c r="HOA49" s="255"/>
      <c r="HOB49" s="255"/>
      <c r="HOC49" s="255"/>
      <c r="HOD49" s="255"/>
      <c r="HOE49" s="255"/>
      <c r="HOF49" s="255"/>
      <c r="HOG49" s="255"/>
      <c r="HOH49" s="255"/>
      <c r="HOI49" s="255"/>
      <c r="HOJ49" s="255"/>
      <c r="HOK49" s="255"/>
      <c r="HOL49" s="255"/>
      <c r="HOM49" s="255"/>
      <c r="HON49" s="255"/>
      <c r="HOO49" s="255"/>
      <c r="HOP49" s="255"/>
      <c r="HOQ49" s="255"/>
      <c r="HOR49" s="255"/>
      <c r="HOS49" s="255"/>
      <c r="HOT49" s="255"/>
      <c r="HOU49" s="255"/>
      <c r="HOV49" s="255"/>
      <c r="HOW49" s="255"/>
      <c r="HOX49" s="255"/>
      <c r="HOY49" s="255"/>
      <c r="HOZ49" s="255"/>
      <c r="HPA49" s="255"/>
      <c r="HPB49" s="255"/>
      <c r="HPC49" s="255"/>
      <c r="HPD49" s="255"/>
      <c r="HPE49" s="255"/>
      <c r="HPF49" s="255"/>
      <c r="HPG49" s="255"/>
      <c r="HPH49" s="255"/>
      <c r="HPI49" s="255"/>
      <c r="HPJ49" s="255"/>
      <c r="HPK49" s="255"/>
      <c r="HPL49" s="255"/>
      <c r="HPM49" s="255"/>
      <c r="HPN49" s="255"/>
      <c r="HPO49" s="255"/>
      <c r="HPP49" s="255"/>
      <c r="HPQ49" s="255"/>
      <c r="HPR49" s="255"/>
      <c r="HPS49" s="255"/>
      <c r="HPT49" s="255"/>
      <c r="HPU49" s="255"/>
      <c r="HPV49" s="255"/>
      <c r="HPW49" s="255"/>
      <c r="HPX49" s="255"/>
      <c r="HPY49" s="255"/>
      <c r="HPZ49" s="255"/>
      <c r="HQA49" s="255"/>
      <c r="HQB49" s="255"/>
      <c r="HQC49" s="255"/>
      <c r="HQD49" s="255"/>
      <c r="HQE49" s="255"/>
      <c r="HQF49" s="255"/>
      <c r="HQG49" s="255"/>
      <c r="HQH49" s="255"/>
      <c r="HQI49" s="255"/>
      <c r="HQJ49" s="255"/>
      <c r="HQK49" s="255"/>
      <c r="HQL49" s="255"/>
      <c r="HQM49" s="255"/>
      <c r="HQN49" s="255"/>
      <c r="HQO49" s="255"/>
      <c r="HQP49" s="255"/>
      <c r="HQQ49" s="255"/>
      <c r="HQR49" s="255"/>
      <c r="HQS49" s="255"/>
      <c r="HQT49" s="255"/>
      <c r="HQU49" s="255"/>
      <c r="HQV49" s="255"/>
      <c r="HQW49" s="255"/>
      <c r="HQX49" s="255"/>
      <c r="HQY49" s="255"/>
      <c r="HQZ49" s="255"/>
      <c r="HRA49" s="255"/>
      <c r="HRB49" s="255"/>
      <c r="HRC49" s="255"/>
      <c r="HRD49" s="255"/>
      <c r="HRE49" s="255"/>
      <c r="HRF49" s="255"/>
      <c r="HRG49" s="255"/>
      <c r="HRH49" s="255"/>
      <c r="HRI49" s="255"/>
      <c r="HRJ49" s="255"/>
      <c r="HRK49" s="255"/>
      <c r="HRL49" s="255"/>
      <c r="HRM49" s="255"/>
      <c r="HRN49" s="255"/>
      <c r="HRO49" s="255"/>
      <c r="HRP49" s="255"/>
      <c r="HRQ49" s="255"/>
      <c r="HRR49" s="255"/>
      <c r="HRS49" s="255"/>
      <c r="HRT49" s="255"/>
      <c r="HRU49" s="255"/>
      <c r="HRV49" s="255"/>
      <c r="HRW49" s="255"/>
      <c r="HRX49" s="255"/>
      <c r="HRY49" s="255"/>
      <c r="HRZ49" s="255"/>
      <c r="HSA49" s="255"/>
      <c r="HSB49" s="255"/>
      <c r="HSC49" s="255"/>
      <c r="HSD49" s="255"/>
      <c r="HSE49" s="255"/>
      <c r="HSF49" s="255"/>
      <c r="HSG49" s="255"/>
      <c r="HSH49" s="255"/>
      <c r="HSI49" s="255"/>
      <c r="HSJ49" s="255"/>
      <c r="HSK49" s="255"/>
      <c r="HSL49" s="255"/>
      <c r="HSM49" s="255"/>
      <c r="HSN49" s="255"/>
      <c r="HSO49" s="255"/>
      <c r="HSP49" s="255"/>
      <c r="HSQ49" s="255"/>
      <c r="HSR49" s="255"/>
      <c r="HSS49" s="255"/>
      <c r="HST49" s="255"/>
      <c r="HSU49" s="255"/>
      <c r="HSV49" s="255"/>
      <c r="HSW49" s="255"/>
      <c r="HSX49" s="255"/>
      <c r="HSY49" s="255"/>
      <c r="HSZ49" s="255"/>
      <c r="HTA49" s="255"/>
      <c r="HTB49" s="255"/>
      <c r="HTC49" s="255"/>
      <c r="HTD49" s="255"/>
      <c r="HTE49" s="255"/>
      <c r="HTF49" s="255"/>
      <c r="HTG49" s="255"/>
      <c r="HTH49" s="255"/>
      <c r="HTI49" s="255"/>
      <c r="HTJ49" s="255"/>
      <c r="HTK49" s="255"/>
      <c r="HTL49" s="255"/>
      <c r="HTM49" s="255"/>
      <c r="HTN49" s="255"/>
      <c r="HTO49" s="255"/>
      <c r="HTP49" s="255"/>
      <c r="HTQ49" s="255"/>
      <c r="HTR49" s="255"/>
      <c r="HTS49" s="255"/>
      <c r="HTT49" s="255"/>
      <c r="HTU49" s="255"/>
      <c r="HTV49" s="255"/>
      <c r="HTW49" s="255"/>
      <c r="HTX49" s="255"/>
      <c r="HTY49" s="255"/>
      <c r="HTZ49" s="255"/>
      <c r="HUA49" s="255"/>
      <c r="HUB49" s="255"/>
      <c r="HUC49" s="255"/>
      <c r="HUD49" s="255"/>
      <c r="HUE49" s="255"/>
      <c r="HUF49" s="255"/>
      <c r="HUG49" s="255"/>
      <c r="HUH49" s="255"/>
      <c r="HUI49" s="255"/>
      <c r="HUJ49" s="255"/>
      <c r="HUK49" s="255"/>
      <c r="HUL49" s="255"/>
      <c r="HUM49" s="255"/>
      <c r="HUN49" s="255"/>
      <c r="HUO49" s="255"/>
      <c r="HUP49" s="255"/>
      <c r="HUQ49" s="255"/>
      <c r="HUR49" s="255"/>
      <c r="HUS49" s="255"/>
      <c r="HUT49" s="255"/>
      <c r="HUU49" s="255"/>
      <c r="HUV49" s="255"/>
      <c r="HUW49" s="255"/>
      <c r="HUX49" s="255"/>
      <c r="HUY49" s="255"/>
      <c r="HUZ49" s="255"/>
      <c r="HVA49" s="255"/>
      <c r="HVB49" s="255"/>
      <c r="HVC49" s="255"/>
      <c r="HVD49" s="255"/>
      <c r="HVE49" s="255"/>
      <c r="HVF49" s="255"/>
      <c r="HVG49" s="255"/>
      <c r="HVH49" s="255"/>
      <c r="HVI49" s="255"/>
      <c r="HVJ49" s="255"/>
      <c r="HVK49" s="255"/>
      <c r="HVL49" s="255"/>
      <c r="HVM49" s="255"/>
      <c r="HVN49" s="255"/>
      <c r="HVO49" s="255"/>
      <c r="HVP49" s="255"/>
      <c r="HVQ49" s="255"/>
      <c r="HVR49" s="255"/>
      <c r="HVS49" s="255"/>
      <c r="HVT49" s="255"/>
      <c r="HVU49" s="255"/>
      <c r="HVV49" s="255"/>
      <c r="HVW49" s="255"/>
      <c r="HVX49" s="255"/>
      <c r="HVY49" s="255"/>
      <c r="HVZ49" s="255"/>
      <c r="HWA49" s="255"/>
      <c r="HWB49" s="255"/>
      <c r="HWC49" s="255"/>
      <c r="HWD49" s="255"/>
      <c r="HWE49" s="255"/>
      <c r="HWF49" s="255"/>
      <c r="HWG49" s="255"/>
      <c r="HWH49" s="255"/>
      <c r="HWI49" s="255"/>
      <c r="HWJ49" s="255"/>
      <c r="HWK49" s="255"/>
      <c r="HWL49" s="255"/>
      <c r="HWM49" s="255"/>
      <c r="HWN49" s="255"/>
      <c r="HWO49" s="255"/>
      <c r="HWP49" s="255"/>
      <c r="HWQ49" s="255"/>
      <c r="HWR49" s="255"/>
      <c r="HWS49" s="255"/>
      <c r="HWT49" s="255"/>
      <c r="HWU49" s="255"/>
      <c r="HWV49" s="255"/>
      <c r="HWW49" s="255"/>
      <c r="HWX49" s="255"/>
      <c r="HWY49" s="255"/>
      <c r="HWZ49" s="255"/>
      <c r="HXA49" s="255"/>
      <c r="HXB49" s="255"/>
      <c r="HXC49" s="255"/>
      <c r="HXD49" s="255"/>
      <c r="HXE49" s="255"/>
      <c r="HXF49" s="255"/>
      <c r="HXG49" s="255"/>
      <c r="HXH49" s="255"/>
      <c r="HXI49" s="255"/>
      <c r="HXJ49" s="255"/>
      <c r="HXK49" s="255"/>
      <c r="HXL49" s="255"/>
      <c r="HXM49" s="255"/>
      <c r="HXN49" s="255"/>
      <c r="HXO49" s="255"/>
      <c r="HXP49" s="255"/>
      <c r="HXQ49" s="255"/>
      <c r="HXR49" s="255"/>
      <c r="HXS49" s="255"/>
      <c r="HXT49" s="255"/>
      <c r="HXU49" s="255"/>
      <c r="HXV49" s="255"/>
      <c r="HXW49" s="255"/>
      <c r="HXX49" s="255"/>
      <c r="HXY49" s="255"/>
      <c r="HXZ49" s="255"/>
      <c r="HYA49" s="255"/>
      <c r="HYB49" s="255"/>
      <c r="HYC49" s="255"/>
      <c r="HYD49" s="255"/>
      <c r="HYE49" s="255"/>
      <c r="HYF49" s="255"/>
      <c r="HYG49" s="255"/>
      <c r="HYH49" s="255"/>
      <c r="HYI49" s="255"/>
      <c r="HYJ49" s="255"/>
      <c r="HYK49" s="255"/>
      <c r="HYL49" s="255"/>
      <c r="HYM49" s="255"/>
      <c r="HYN49" s="255"/>
      <c r="HYO49" s="255"/>
      <c r="HYP49" s="255"/>
      <c r="HYQ49" s="255"/>
      <c r="HYR49" s="255"/>
      <c r="HYS49" s="255"/>
      <c r="HYT49" s="255"/>
      <c r="HYU49" s="255"/>
      <c r="HYV49" s="255"/>
      <c r="HYW49" s="255"/>
      <c r="HYX49" s="255"/>
      <c r="HYY49" s="255"/>
      <c r="HYZ49" s="255"/>
      <c r="HZA49" s="255"/>
      <c r="HZB49" s="255"/>
      <c r="HZC49" s="255"/>
      <c r="HZD49" s="255"/>
      <c r="HZE49" s="255"/>
      <c r="HZF49" s="255"/>
      <c r="HZG49" s="255"/>
      <c r="HZH49" s="255"/>
      <c r="HZI49" s="255"/>
      <c r="HZJ49" s="255"/>
      <c r="HZK49" s="255"/>
      <c r="HZL49" s="255"/>
      <c r="HZM49" s="255"/>
      <c r="HZN49" s="255"/>
      <c r="HZO49" s="255"/>
      <c r="HZP49" s="255"/>
      <c r="HZQ49" s="255"/>
      <c r="HZR49" s="255"/>
      <c r="HZS49" s="255"/>
      <c r="HZT49" s="255"/>
      <c r="HZU49" s="255"/>
      <c r="HZV49" s="255"/>
      <c r="HZW49" s="255"/>
      <c r="HZX49" s="255"/>
      <c r="HZY49" s="255"/>
      <c r="HZZ49" s="255"/>
      <c r="IAA49" s="255"/>
      <c r="IAB49" s="255"/>
      <c r="IAC49" s="255"/>
      <c r="IAD49" s="255"/>
      <c r="IAE49" s="255"/>
      <c r="IAF49" s="255"/>
      <c r="IAG49" s="255"/>
      <c r="IAH49" s="255"/>
      <c r="IAI49" s="255"/>
      <c r="IAJ49" s="255"/>
      <c r="IAK49" s="255"/>
      <c r="IAL49" s="255"/>
      <c r="IAM49" s="255"/>
      <c r="IAN49" s="255"/>
      <c r="IAO49" s="255"/>
      <c r="IAP49" s="255"/>
      <c r="IAQ49" s="255"/>
      <c r="IAR49" s="255"/>
      <c r="IAS49" s="255"/>
      <c r="IAT49" s="255"/>
      <c r="IAU49" s="255"/>
      <c r="IAV49" s="255"/>
      <c r="IAW49" s="255"/>
      <c r="IAX49" s="255"/>
      <c r="IAY49" s="255"/>
      <c r="IAZ49" s="255"/>
      <c r="IBA49" s="255"/>
      <c r="IBB49" s="255"/>
      <c r="IBC49" s="255"/>
      <c r="IBD49" s="255"/>
      <c r="IBE49" s="255"/>
      <c r="IBF49" s="255"/>
      <c r="IBG49" s="255"/>
      <c r="IBH49" s="255"/>
      <c r="IBI49" s="255"/>
      <c r="IBJ49" s="255"/>
      <c r="IBK49" s="255"/>
      <c r="IBL49" s="255"/>
      <c r="IBM49" s="255"/>
      <c r="IBN49" s="255"/>
      <c r="IBO49" s="255"/>
      <c r="IBP49" s="255"/>
      <c r="IBQ49" s="255"/>
      <c r="IBR49" s="255"/>
      <c r="IBS49" s="255"/>
      <c r="IBT49" s="255"/>
      <c r="IBU49" s="255"/>
      <c r="IBV49" s="255"/>
      <c r="IBW49" s="255"/>
      <c r="IBX49" s="255"/>
      <c r="IBY49" s="255"/>
      <c r="IBZ49" s="255"/>
      <c r="ICA49" s="255"/>
      <c r="ICB49" s="255"/>
      <c r="ICC49" s="255"/>
      <c r="ICD49" s="255"/>
      <c r="ICE49" s="255"/>
      <c r="ICF49" s="255"/>
      <c r="ICG49" s="255"/>
      <c r="ICH49" s="255"/>
      <c r="ICI49" s="255"/>
      <c r="ICJ49" s="255"/>
      <c r="ICK49" s="255"/>
      <c r="ICL49" s="255"/>
      <c r="ICM49" s="255"/>
      <c r="ICN49" s="255"/>
      <c r="ICO49" s="255"/>
      <c r="ICP49" s="255"/>
      <c r="ICQ49" s="255"/>
      <c r="ICR49" s="255"/>
      <c r="ICS49" s="255"/>
      <c r="ICT49" s="255"/>
      <c r="ICU49" s="255"/>
      <c r="ICV49" s="255"/>
      <c r="ICW49" s="255"/>
      <c r="ICX49" s="255"/>
      <c r="ICY49" s="255"/>
      <c r="ICZ49" s="255"/>
      <c r="IDA49" s="255"/>
      <c r="IDB49" s="255"/>
      <c r="IDC49" s="255"/>
      <c r="IDD49" s="255"/>
      <c r="IDE49" s="255"/>
      <c r="IDF49" s="255"/>
      <c r="IDG49" s="255"/>
      <c r="IDH49" s="255"/>
      <c r="IDI49" s="255"/>
      <c r="IDJ49" s="255"/>
      <c r="IDK49" s="255"/>
      <c r="IDL49" s="255"/>
      <c r="IDM49" s="255"/>
      <c r="IDN49" s="255"/>
      <c r="IDO49" s="255"/>
      <c r="IDP49" s="255"/>
      <c r="IDQ49" s="255"/>
      <c r="IDR49" s="255"/>
      <c r="IDS49" s="255"/>
      <c r="IDT49" s="255"/>
      <c r="IDU49" s="255"/>
      <c r="IDV49" s="255"/>
      <c r="IDW49" s="255"/>
      <c r="IDX49" s="255"/>
      <c r="IDY49" s="255"/>
      <c r="IDZ49" s="255"/>
      <c r="IEA49" s="255"/>
      <c r="IEB49" s="255"/>
      <c r="IEC49" s="255"/>
      <c r="IED49" s="255"/>
      <c r="IEE49" s="255"/>
      <c r="IEF49" s="255"/>
      <c r="IEG49" s="255"/>
      <c r="IEH49" s="255"/>
      <c r="IEI49" s="255"/>
      <c r="IEJ49" s="255"/>
      <c r="IEK49" s="255"/>
      <c r="IEL49" s="255"/>
      <c r="IEM49" s="255"/>
      <c r="IEN49" s="255"/>
      <c r="IEO49" s="255"/>
      <c r="IEP49" s="255"/>
      <c r="IEQ49" s="255"/>
      <c r="IER49" s="255"/>
      <c r="IES49" s="255"/>
      <c r="IET49" s="255"/>
      <c r="IEU49" s="255"/>
      <c r="IEV49" s="255"/>
      <c r="IEW49" s="255"/>
      <c r="IEX49" s="255"/>
      <c r="IEY49" s="255"/>
      <c r="IEZ49" s="255"/>
      <c r="IFA49" s="255"/>
      <c r="IFB49" s="255"/>
      <c r="IFC49" s="255"/>
      <c r="IFD49" s="255"/>
      <c r="IFE49" s="255"/>
      <c r="IFF49" s="255"/>
      <c r="IFG49" s="255"/>
      <c r="IFH49" s="255"/>
      <c r="IFI49" s="255"/>
      <c r="IFJ49" s="255"/>
      <c r="IFK49" s="255"/>
      <c r="IFL49" s="255"/>
      <c r="IFM49" s="255"/>
      <c r="IFN49" s="255"/>
      <c r="IFO49" s="255"/>
      <c r="IFP49" s="255"/>
      <c r="IFQ49" s="255"/>
      <c r="IFR49" s="255"/>
      <c r="IFS49" s="255"/>
      <c r="IFT49" s="255"/>
      <c r="IFU49" s="255"/>
      <c r="IFV49" s="255"/>
      <c r="IFW49" s="255"/>
      <c r="IFX49" s="255"/>
      <c r="IFY49" s="255"/>
      <c r="IFZ49" s="255"/>
      <c r="IGA49" s="255"/>
      <c r="IGB49" s="255"/>
      <c r="IGC49" s="255"/>
      <c r="IGD49" s="255"/>
      <c r="IGE49" s="255"/>
      <c r="IGF49" s="255"/>
      <c r="IGG49" s="255"/>
      <c r="IGH49" s="255"/>
      <c r="IGI49" s="255"/>
      <c r="IGJ49" s="255"/>
      <c r="IGK49" s="255"/>
      <c r="IGL49" s="255"/>
      <c r="IGM49" s="255"/>
      <c r="IGN49" s="255"/>
      <c r="IGO49" s="255"/>
      <c r="IGP49" s="255"/>
      <c r="IGQ49" s="255"/>
      <c r="IGR49" s="255"/>
      <c r="IGS49" s="255"/>
      <c r="IGT49" s="255"/>
      <c r="IGU49" s="255"/>
      <c r="IGV49" s="255"/>
      <c r="IGW49" s="255"/>
      <c r="IGX49" s="255"/>
      <c r="IGY49" s="255"/>
      <c r="IGZ49" s="255"/>
      <c r="IHA49" s="255"/>
      <c r="IHB49" s="255"/>
      <c r="IHC49" s="255"/>
      <c r="IHD49" s="255"/>
      <c r="IHE49" s="255"/>
      <c r="IHF49" s="255"/>
      <c r="IHG49" s="255"/>
      <c r="IHH49" s="255"/>
      <c r="IHI49" s="255"/>
      <c r="IHJ49" s="255"/>
      <c r="IHK49" s="255"/>
      <c r="IHL49" s="255"/>
      <c r="IHM49" s="255"/>
      <c r="IHN49" s="255"/>
      <c r="IHO49" s="255"/>
      <c r="IHP49" s="255"/>
      <c r="IHQ49" s="255"/>
      <c r="IHR49" s="255"/>
      <c r="IHS49" s="255"/>
      <c r="IHT49" s="255"/>
      <c r="IHU49" s="255"/>
      <c r="IHV49" s="255"/>
      <c r="IHW49" s="255"/>
      <c r="IHX49" s="255"/>
      <c r="IHY49" s="255"/>
      <c r="IHZ49" s="255"/>
      <c r="IIA49" s="255"/>
      <c r="IIB49" s="255"/>
      <c r="IIC49" s="255"/>
      <c r="IID49" s="255"/>
      <c r="IIE49" s="255"/>
      <c r="IIF49" s="255"/>
      <c r="IIG49" s="255"/>
      <c r="IIH49" s="255"/>
      <c r="III49" s="255"/>
      <c r="IIJ49" s="255"/>
      <c r="IIK49" s="255"/>
      <c r="IIL49" s="255"/>
      <c r="IIM49" s="255"/>
      <c r="IIN49" s="255"/>
      <c r="IIO49" s="255"/>
      <c r="IIP49" s="255"/>
      <c r="IIQ49" s="255"/>
      <c r="IIR49" s="255"/>
      <c r="IIS49" s="255"/>
      <c r="IIT49" s="255"/>
      <c r="IIU49" s="255"/>
      <c r="IIV49" s="255"/>
      <c r="IIW49" s="255"/>
      <c r="IIX49" s="255"/>
      <c r="IIY49" s="255"/>
      <c r="IIZ49" s="255"/>
      <c r="IJA49" s="255"/>
      <c r="IJB49" s="255"/>
      <c r="IJC49" s="255"/>
      <c r="IJD49" s="255"/>
      <c r="IJE49" s="255"/>
      <c r="IJF49" s="255"/>
      <c r="IJG49" s="255"/>
      <c r="IJH49" s="255"/>
      <c r="IJI49" s="255"/>
      <c r="IJJ49" s="255"/>
      <c r="IJK49" s="255"/>
      <c r="IJL49" s="255"/>
      <c r="IJM49" s="255"/>
      <c r="IJN49" s="255"/>
      <c r="IJO49" s="255"/>
      <c r="IJP49" s="255"/>
      <c r="IJQ49" s="255"/>
      <c r="IJR49" s="255"/>
      <c r="IJS49" s="255"/>
      <c r="IJT49" s="255"/>
      <c r="IJU49" s="255"/>
      <c r="IJV49" s="255"/>
      <c r="IJW49" s="255"/>
      <c r="IJX49" s="255"/>
      <c r="IJY49" s="255"/>
      <c r="IJZ49" s="255"/>
      <c r="IKA49" s="255"/>
      <c r="IKB49" s="255"/>
      <c r="IKC49" s="255"/>
      <c r="IKD49" s="255"/>
      <c r="IKE49" s="255"/>
      <c r="IKF49" s="255"/>
      <c r="IKG49" s="255"/>
      <c r="IKH49" s="255"/>
      <c r="IKI49" s="255"/>
      <c r="IKJ49" s="255"/>
      <c r="IKK49" s="255"/>
      <c r="IKL49" s="255"/>
      <c r="IKM49" s="255"/>
      <c r="IKN49" s="255"/>
      <c r="IKO49" s="255"/>
      <c r="IKP49" s="255"/>
      <c r="IKQ49" s="255"/>
      <c r="IKR49" s="255"/>
      <c r="IKS49" s="255"/>
      <c r="IKT49" s="255"/>
      <c r="IKU49" s="255"/>
      <c r="IKV49" s="255"/>
      <c r="IKW49" s="255"/>
      <c r="IKX49" s="255"/>
      <c r="IKY49" s="255"/>
      <c r="IKZ49" s="255"/>
      <c r="ILA49" s="255"/>
      <c r="ILB49" s="255"/>
      <c r="ILC49" s="255"/>
      <c r="ILD49" s="255"/>
      <c r="ILE49" s="255"/>
      <c r="ILF49" s="255"/>
      <c r="ILG49" s="255"/>
      <c r="ILH49" s="255"/>
      <c r="ILI49" s="255"/>
      <c r="ILJ49" s="255"/>
      <c r="ILK49" s="255"/>
      <c r="ILL49" s="255"/>
      <c r="ILM49" s="255"/>
      <c r="ILN49" s="255"/>
      <c r="ILO49" s="255"/>
      <c r="ILP49" s="255"/>
      <c r="ILQ49" s="255"/>
      <c r="ILR49" s="255"/>
      <c r="ILS49" s="255"/>
      <c r="ILT49" s="255"/>
      <c r="ILU49" s="255"/>
      <c r="ILV49" s="255"/>
      <c r="ILW49" s="255"/>
      <c r="ILX49" s="255"/>
      <c r="ILY49" s="255"/>
      <c r="ILZ49" s="255"/>
      <c r="IMA49" s="255"/>
      <c r="IMB49" s="255"/>
      <c r="IMC49" s="255"/>
      <c r="IMD49" s="255"/>
      <c r="IME49" s="255"/>
      <c r="IMF49" s="255"/>
      <c r="IMG49" s="255"/>
      <c r="IMH49" s="255"/>
      <c r="IMI49" s="255"/>
      <c r="IMJ49" s="255"/>
      <c r="IMK49" s="255"/>
      <c r="IML49" s="255"/>
      <c r="IMM49" s="255"/>
      <c r="IMN49" s="255"/>
      <c r="IMO49" s="255"/>
      <c r="IMP49" s="255"/>
      <c r="IMQ49" s="255"/>
      <c r="IMR49" s="255"/>
      <c r="IMS49" s="255"/>
      <c r="IMT49" s="255"/>
      <c r="IMU49" s="255"/>
      <c r="IMV49" s="255"/>
      <c r="IMW49" s="255"/>
      <c r="IMX49" s="255"/>
      <c r="IMY49" s="255"/>
      <c r="IMZ49" s="255"/>
      <c r="INA49" s="255"/>
      <c r="INB49" s="255"/>
      <c r="INC49" s="255"/>
      <c r="IND49" s="255"/>
      <c r="INE49" s="255"/>
      <c r="INF49" s="255"/>
      <c r="ING49" s="255"/>
      <c r="INH49" s="255"/>
      <c r="INI49" s="255"/>
      <c r="INJ49" s="255"/>
      <c r="INK49" s="255"/>
      <c r="INL49" s="255"/>
      <c r="INM49" s="255"/>
      <c r="INN49" s="255"/>
      <c r="INO49" s="255"/>
      <c r="INP49" s="255"/>
      <c r="INQ49" s="255"/>
      <c r="INR49" s="255"/>
      <c r="INS49" s="255"/>
      <c r="INT49" s="255"/>
      <c r="INU49" s="255"/>
      <c r="INV49" s="255"/>
      <c r="INW49" s="255"/>
      <c r="INX49" s="255"/>
      <c r="INY49" s="255"/>
      <c r="INZ49" s="255"/>
      <c r="IOA49" s="255"/>
      <c r="IOB49" s="255"/>
      <c r="IOC49" s="255"/>
      <c r="IOD49" s="255"/>
      <c r="IOE49" s="255"/>
      <c r="IOF49" s="255"/>
      <c r="IOG49" s="255"/>
      <c r="IOH49" s="255"/>
      <c r="IOI49" s="255"/>
      <c r="IOJ49" s="255"/>
      <c r="IOK49" s="255"/>
      <c r="IOL49" s="255"/>
      <c r="IOM49" s="255"/>
      <c r="ION49" s="255"/>
      <c r="IOO49" s="255"/>
      <c r="IOP49" s="255"/>
      <c r="IOQ49" s="255"/>
      <c r="IOR49" s="255"/>
      <c r="IOS49" s="255"/>
      <c r="IOT49" s="255"/>
      <c r="IOU49" s="255"/>
      <c r="IOV49" s="255"/>
      <c r="IOW49" s="255"/>
      <c r="IOX49" s="255"/>
      <c r="IOY49" s="255"/>
      <c r="IOZ49" s="255"/>
      <c r="IPA49" s="255"/>
      <c r="IPB49" s="255"/>
      <c r="IPC49" s="255"/>
      <c r="IPD49" s="255"/>
      <c r="IPE49" s="255"/>
      <c r="IPF49" s="255"/>
      <c r="IPG49" s="255"/>
      <c r="IPH49" s="255"/>
      <c r="IPI49" s="255"/>
      <c r="IPJ49" s="255"/>
      <c r="IPK49" s="255"/>
      <c r="IPL49" s="255"/>
      <c r="IPM49" s="255"/>
      <c r="IPN49" s="255"/>
      <c r="IPO49" s="255"/>
      <c r="IPP49" s="255"/>
      <c r="IPQ49" s="255"/>
      <c r="IPR49" s="255"/>
      <c r="IPS49" s="255"/>
      <c r="IPT49" s="255"/>
      <c r="IPU49" s="255"/>
      <c r="IPV49" s="255"/>
      <c r="IPW49" s="255"/>
      <c r="IPX49" s="255"/>
      <c r="IPY49" s="255"/>
      <c r="IPZ49" s="255"/>
      <c r="IQA49" s="255"/>
      <c r="IQB49" s="255"/>
      <c r="IQC49" s="255"/>
      <c r="IQD49" s="255"/>
      <c r="IQE49" s="255"/>
      <c r="IQF49" s="255"/>
      <c r="IQG49" s="255"/>
      <c r="IQH49" s="255"/>
      <c r="IQI49" s="255"/>
      <c r="IQJ49" s="255"/>
      <c r="IQK49" s="255"/>
      <c r="IQL49" s="255"/>
      <c r="IQM49" s="255"/>
      <c r="IQN49" s="255"/>
      <c r="IQO49" s="255"/>
      <c r="IQP49" s="255"/>
      <c r="IQQ49" s="255"/>
      <c r="IQR49" s="255"/>
      <c r="IQS49" s="255"/>
      <c r="IQT49" s="255"/>
      <c r="IQU49" s="255"/>
      <c r="IQV49" s="255"/>
      <c r="IQW49" s="255"/>
      <c r="IQX49" s="255"/>
      <c r="IQY49" s="255"/>
      <c r="IQZ49" s="255"/>
      <c r="IRA49" s="255"/>
      <c r="IRB49" s="255"/>
      <c r="IRC49" s="255"/>
      <c r="IRD49" s="255"/>
      <c r="IRE49" s="255"/>
      <c r="IRF49" s="255"/>
      <c r="IRG49" s="255"/>
      <c r="IRH49" s="255"/>
      <c r="IRI49" s="255"/>
      <c r="IRJ49" s="255"/>
      <c r="IRK49" s="255"/>
      <c r="IRL49" s="255"/>
      <c r="IRM49" s="255"/>
      <c r="IRN49" s="255"/>
      <c r="IRO49" s="255"/>
      <c r="IRP49" s="255"/>
      <c r="IRQ49" s="255"/>
      <c r="IRR49" s="255"/>
      <c r="IRS49" s="255"/>
      <c r="IRT49" s="255"/>
      <c r="IRU49" s="255"/>
      <c r="IRV49" s="255"/>
      <c r="IRW49" s="255"/>
      <c r="IRX49" s="255"/>
      <c r="IRY49" s="255"/>
      <c r="IRZ49" s="255"/>
      <c r="ISA49" s="255"/>
      <c r="ISB49" s="255"/>
      <c r="ISC49" s="255"/>
      <c r="ISD49" s="255"/>
      <c r="ISE49" s="255"/>
      <c r="ISF49" s="255"/>
      <c r="ISG49" s="255"/>
      <c r="ISH49" s="255"/>
      <c r="ISI49" s="255"/>
      <c r="ISJ49" s="255"/>
      <c r="ISK49" s="255"/>
      <c r="ISL49" s="255"/>
      <c r="ISM49" s="255"/>
      <c r="ISN49" s="255"/>
      <c r="ISO49" s="255"/>
      <c r="ISP49" s="255"/>
      <c r="ISQ49" s="255"/>
      <c r="ISR49" s="255"/>
      <c r="ISS49" s="255"/>
      <c r="IST49" s="255"/>
      <c r="ISU49" s="255"/>
      <c r="ISV49" s="255"/>
      <c r="ISW49" s="255"/>
      <c r="ISX49" s="255"/>
      <c r="ISY49" s="255"/>
      <c r="ISZ49" s="255"/>
      <c r="ITA49" s="255"/>
      <c r="ITB49" s="255"/>
      <c r="ITC49" s="255"/>
      <c r="ITD49" s="255"/>
      <c r="ITE49" s="255"/>
      <c r="ITF49" s="255"/>
      <c r="ITG49" s="255"/>
      <c r="ITH49" s="255"/>
      <c r="ITI49" s="255"/>
      <c r="ITJ49" s="255"/>
      <c r="ITK49" s="255"/>
      <c r="ITL49" s="255"/>
      <c r="ITM49" s="255"/>
      <c r="ITN49" s="255"/>
      <c r="ITO49" s="255"/>
      <c r="ITP49" s="255"/>
      <c r="ITQ49" s="255"/>
      <c r="ITR49" s="255"/>
      <c r="ITS49" s="255"/>
      <c r="ITT49" s="255"/>
      <c r="ITU49" s="255"/>
      <c r="ITV49" s="255"/>
      <c r="ITW49" s="255"/>
      <c r="ITX49" s="255"/>
      <c r="ITY49" s="255"/>
      <c r="ITZ49" s="255"/>
      <c r="IUA49" s="255"/>
      <c r="IUB49" s="255"/>
      <c r="IUC49" s="255"/>
      <c r="IUD49" s="255"/>
      <c r="IUE49" s="255"/>
      <c r="IUF49" s="255"/>
      <c r="IUG49" s="255"/>
      <c r="IUH49" s="255"/>
      <c r="IUI49" s="255"/>
      <c r="IUJ49" s="255"/>
      <c r="IUK49" s="255"/>
      <c r="IUL49" s="255"/>
      <c r="IUM49" s="255"/>
      <c r="IUN49" s="255"/>
      <c r="IUO49" s="255"/>
      <c r="IUP49" s="255"/>
      <c r="IUQ49" s="255"/>
      <c r="IUR49" s="255"/>
      <c r="IUS49" s="255"/>
      <c r="IUT49" s="255"/>
      <c r="IUU49" s="255"/>
      <c r="IUV49" s="255"/>
      <c r="IUW49" s="255"/>
      <c r="IUX49" s="255"/>
      <c r="IUY49" s="255"/>
      <c r="IUZ49" s="255"/>
      <c r="IVA49" s="255"/>
      <c r="IVB49" s="255"/>
      <c r="IVC49" s="255"/>
      <c r="IVD49" s="255"/>
      <c r="IVE49" s="255"/>
      <c r="IVF49" s="255"/>
      <c r="IVG49" s="255"/>
      <c r="IVH49" s="255"/>
      <c r="IVI49" s="255"/>
      <c r="IVJ49" s="255"/>
      <c r="IVK49" s="255"/>
      <c r="IVL49" s="255"/>
      <c r="IVM49" s="255"/>
      <c r="IVN49" s="255"/>
      <c r="IVO49" s="255"/>
      <c r="IVP49" s="255"/>
      <c r="IVQ49" s="255"/>
      <c r="IVR49" s="255"/>
      <c r="IVS49" s="255"/>
      <c r="IVT49" s="255"/>
      <c r="IVU49" s="255"/>
      <c r="IVV49" s="255"/>
      <c r="IVW49" s="255"/>
      <c r="IVX49" s="255"/>
      <c r="IVY49" s="255"/>
      <c r="IVZ49" s="255"/>
      <c r="IWA49" s="255"/>
      <c r="IWB49" s="255"/>
      <c r="IWC49" s="255"/>
      <c r="IWD49" s="255"/>
      <c r="IWE49" s="255"/>
      <c r="IWF49" s="255"/>
      <c r="IWG49" s="255"/>
      <c r="IWH49" s="255"/>
      <c r="IWI49" s="255"/>
      <c r="IWJ49" s="255"/>
      <c r="IWK49" s="255"/>
      <c r="IWL49" s="255"/>
      <c r="IWM49" s="255"/>
      <c r="IWN49" s="255"/>
      <c r="IWO49" s="255"/>
      <c r="IWP49" s="255"/>
      <c r="IWQ49" s="255"/>
      <c r="IWR49" s="255"/>
      <c r="IWS49" s="255"/>
      <c r="IWT49" s="255"/>
      <c r="IWU49" s="255"/>
      <c r="IWV49" s="255"/>
      <c r="IWW49" s="255"/>
      <c r="IWX49" s="255"/>
      <c r="IWY49" s="255"/>
      <c r="IWZ49" s="255"/>
      <c r="IXA49" s="255"/>
      <c r="IXB49" s="255"/>
      <c r="IXC49" s="255"/>
      <c r="IXD49" s="255"/>
      <c r="IXE49" s="255"/>
      <c r="IXF49" s="255"/>
      <c r="IXG49" s="255"/>
      <c r="IXH49" s="255"/>
      <c r="IXI49" s="255"/>
      <c r="IXJ49" s="255"/>
      <c r="IXK49" s="255"/>
      <c r="IXL49" s="255"/>
      <c r="IXM49" s="255"/>
      <c r="IXN49" s="255"/>
      <c r="IXO49" s="255"/>
      <c r="IXP49" s="255"/>
      <c r="IXQ49" s="255"/>
      <c r="IXR49" s="255"/>
      <c r="IXS49" s="255"/>
      <c r="IXT49" s="255"/>
      <c r="IXU49" s="255"/>
      <c r="IXV49" s="255"/>
      <c r="IXW49" s="255"/>
      <c r="IXX49" s="255"/>
      <c r="IXY49" s="255"/>
      <c r="IXZ49" s="255"/>
      <c r="IYA49" s="255"/>
      <c r="IYB49" s="255"/>
      <c r="IYC49" s="255"/>
      <c r="IYD49" s="255"/>
      <c r="IYE49" s="255"/>
      <c r="IYF49" s="255"/>
      <c r="IYG49" s="255"/>
      <c r="IYH49" s="255"/>
      <c r="IYI49" s="255"/>
      <c r="IYJ49" s="255"/>
      <c r="IYK49" s="255"/>
      <c r="IYL49" s="255"/>
      <c r="IYM49" s="255"/>
      <c r="IYN49" s="255"/>
      <c r="IYO49" s="255"/>
      <c r="IYP49" s="255"/>
      <c r="IYQ49" s="255"/>
      <c r="IYR49" s="255"/>
      <c r="IYS49" s="255"/>
      <c r="IYT49" s="255"/>
      <c r="IYU49" s="255"/>
      <c r="IYV49" s="255"/>
      <c r="IYW49" s="255"/>
      <c r="IYX49" s="255"/>
      <c r="IYY49" s="255"/>
      <c r="IYZ49" s="255"/>
      <c r="IZA49" s="255"/>
      <c r="IZB49" s="255"/>
      <c r="IZC49" s="255"/>
      <c r="IZD49" s="255"/>
      <c r="IZE49" s="255"/>
      <c r="IZF49" s="255"/>
      <c r="IZG49" s="255"/>
      <c r="IZH49" s="255"/>
      <c r="IZI49" s="255"/>
      <c r="IZJ49" s="255"/>
      <c r="IZK49" s="255"/>
      <c r="IZL49" s="255"/>
      <c r="IZM49" s="255"/>
      <c r="IZN49" s="255"/>
      <c r="IZO49" s="255"/>
      <c r="IZP49" s="255"/>
      <c r="IZQ49" s="255"/>
      <c r="IZR49" s="255"/>
      <c r="IZS49" s="255"/>
      <c r="IZT49" s="255"/>
      <c r="IZU49" s="255"/>
      <c r="IZV49" s="255"/>
      <c r="IZW49" s="255"/>
      <c r="IZX49" s="255"/>
      <c r="IZY49" s="255"/>
      <c r="IZZ49" s="255"/>
      <c r="JAA49" s="255"/>
      <c r="JAB49" s="255"/>
      <c r="JAC49" s="255"/>
      <c r="JAD49" s="255"/>
      <c r="JAE49" s="255"/>
      <c r="JAF49" s="255"/>
      <c r="JAG49" s="255"/>
      <c r="JAH49" s="255"/>
      <c r="JAI49" s="255"/>
      <c r="JAJ49" s="255"/>
      <c r="JAK49" s="255"/>
      <c r="JAL49" s="255"/>
      <c r="JAM49" s="255"/>
      <c r="JAN49" s="255"/>
      <c r="JAO49" s="255"/>
      <c r="JAP49" s="255"/>
      <c r="JAQ49" s="255"/>
      <c r="JAR49" s="255"/>
      <c r="JAS49" s="255"/>
      <c r="JAT49" s="255"/>
      <c r="JAU49" s="255"/>
      <c r="JAV49" s="255"/>
      <c r="JAW49" s="255"/>
      <c r="JAX49" s="255"/>
      <c r="JAY49" s="255"/>
      <c r="JAZ49" s="255"/>
      <c r="JBA49" s="255"/>
      <c r="JBB49" s="255"/>
      <c r="JBC49" s="255"/>
      <c r="JBD49" s="255"/>
      <c r="JBE49" s="255"/>
      <c r="JBF49" s="255"/>
      <c r="JBG49" s="255"/>
      <c r="JBH49" s="255"/>
      <c r="JBI49" s="255"/>
      <c r="JBJ49" s="255"/>
      <c r="JBK49" s="255"/>
      <c r="JBL49" s="255"/>
      <c r="JBM49" s="255"/>
      <c r="JBN49" s="255"/>
      <c r="JBO49" s="255"/>
      <c r="JBP49" s="255"/>
      <c r="JBQ49" s="255"/>
      <c r="JBR49" s="255"/>
      <c r="JBS49" s="255"/>
      <c r="JBT49" s="255"/>
      <c r="JBU49" s="255"/>
      <c r="JBV49" s="255"/>
      <c r="JBW49" s="255"/>
      <c r="JBX49" s="255"/>
      <c r="JBY49" s="255"/>
      <c r="JBZ49" s="255"/>
      <c r="JCA49" s="255"/>
      <c r="JCB49" s="255"/>
      <c r="JCC49" s="255"/>
      <c r="JCD49" s="255"/>
      <c r="JCE49" s="255"/>
      <c r="JCF49" s="255"/>
      <c r="JCG49" s="255"/>
      <c r="JCH49" s="255"/>
      <c r="JCI49" s="255"/>
      <c r="JCJ49" s="255"/>
      <c r="JCK49" s="255"/>
      <c r="JCL49" s="255"/>
      <c r="JCM49" s="255"/>
      <c r="JCN49" s="255"/>
      <c r="JCO49" s="255"/>
      <c r="JCP49" s="255"/>
      <c r="JCQ49" s="255"/>
      <c r="JCR49" s="255"/>
      <c r="JCS49" s="255"/>
      <c r="JCT49" s="255"/>
      <c r="JCU49" s="255"/>
      <c r="JCV49" s="255"/>
      <c r="JCW49" s="255"/>
      <c r="JCX49" s="255"/>
      <c r="JCY49" s="255"/>
      <c r="JCZ49" s="255"/>
      <c r="JDA49" s="255"/>
      <c r="JDB49" s="255"/>
      <c r="JDC49" s="255"/>
      <c r="JDD49" s="255"/>
      <c r="JDE49" s="255"/>
      <c r="JDF49" s="255"/>
      <c r="JDG49" s="255"/>
      <c r="JDH49" s="255"/>
      <c r="JDI49" s="255"/>
      <c r="JDJ49" s="255"/>
      <c r="JDK49" s="255"/>
      <c r="JDL49" s="255"/>
      <c r="JDM49" s="255"/>
      <c r="JDN49" s="255"/>
      <c r="JDO49" s="255"/>
      <c r="JDP49" s="255"/>
      <c r="JDQ49" s="255"/>
      <c r="JDR49" s="255"/>
      <c r="JDS49" s="255"/>
      <c r="JDT49" s="255"/>
      <c r="JDU49" s="255"/>
      <c r="JDV49" s="255"/>
      <c r="JDW49" s="255"/>
      <c r="JDX49" s="255"/>
      <c r="JDY49" s="255"/>
      <c r="JDZ49" s="255"/>
      <c r="JEA49" s="255"/>
      <c r="JEB49" s="255"/>
      <c r="JEC49" s="255"/>
      <c r="JED49" s="255"/>
      <c r="JEE49" s="255"/>
      <c r="JEF49" s="255"/>
      <c r="JEG49" s="255"/>
      <c r="JEH49" s="255"/>
      <c r="JEI49" s="255"/>
      <c r="JEJ49" s="255"/>
      <c r="JEK49" s="255"/>
      <c r="JEL49" s="255"/>
      <c r="JEM49" s="255"/>
      <c r="JEN49" s="255"/>
      <c r="JEO49" s="255"/>
      <c r="JEP49" s="255"/>
      <c r="JEQ49" s="255"/>
      <c r="JER49" s="255"/>
      <c r="JES49" s="255"/>
      <c r="JET49" s="255"/>
      <c r="JEU49" s="255"/>
      <c r="JEV49" s="255"/>
      <c r="JEW49" s="255"/>
      <c r="JEX49" s="255"/>
      <c r="JEY49" s="255"/>
      <c r="JEZ49" s="255"/>
      <c r="JFA49" s="255"/>
      <c r="JFB49" s="255"/>
      <c r="JFC49" s="255"/>
      <c r="JFD49" s="255"/>
      <c r="JFE49" s="255"/>
      <c r="JFF49" s="255"/>
      <c r="JFG49" s="255"/>
      <c r="JFH49" s="255"/>
      <c r="JFI49" s="255"/>
      <c r="JFJ49" s="255"/>
      <c r="JFK49" s="255"/>
      <c r="JFL49" s="255"/>
      <c r="JFM49" s="255"/>
      <c r="JFN49" s="255"/>
      <c r="JFO49" s="255"/>
      <c r="JFP49" s="255"/>
      <c r="JFQ49" s="255"/>
      <c r="JFR49" s="255"/>
      <c r="JFS49" s="255"/>
      <c r="JFT49" s="255"/>
      <c r="JFU49" s="255"/>
      <c r="JFV49" s="255"/>
      <c r="JFW49" s="255"/>
      <c r="JFX49" s="255"/>
      <c r="JFY49" s="255"/>
      <c r="JFZ49" s="255"/>
      <c r="JGA49" s="255"/>
      <c r="JGB49" s="255"/>
      <c r="JGC49" s="255"/>
      <c r="JGD49" s="255"/>
      <c r="JGE49" s="255"/>
      <c r="JGF49" s="255"/>
      <c r="JGG49" s="255"/>
      <c r="JGH49" s="255"/>
      <c r="JGI49" s="255"/>
      <c r="JGJ49" s="255"/>
      <c r="JGK49" s="255"/>
      <c r="JGL49" s="255"/>
      <c r="JGM49" s="255"/>
      <c r="JGN49" s="255"/>
      <c r="JGO49" s="255"/>
      <c r="JGP49" s="255"/>
      <c r="JGQ49" s="255"/>
      <c r="JGR49" s="255"/>
      <c r="JGS49" s="255"/>
      <c r="JGT49" s="255"/>
      <c r="JGU49" s="255"/>
      <c r="JGV49" s="255"/>
      <c r="JGW49" s="255"/>
      <c r="JGX49" s="255"/>
      <c r="JGY49" s="255"/>
      <c r="JGZ49" s="255"/>
      <c r="JHA49" s="255"/>
      <c r="JHB49" s="255"/>
      <c r="JHC49" s="255"/>
      <c r="JHD49" s="255"/>
      <c r="JHE49" s="255"/>
      <c r="JHF49" s="255"/>
      <c r="JHG49" s="255"/>
      <c r="JHH49" s="255"/>
      <c r="JHI49" s="255"/>
      <c r="JHJ49" s="255"/>
      <c r="JHK49" s="255"/>
      <c r="JHL49" s="255"/>
      <c r="JHM49" s="255"/>
      <c r="JHN49" s="255"/>
      <c r="JHO49" s="255"/>
      <c r="JHP49" s="255"/>
      <c r="JHQ49" s="255"/>
      <c r="JHR49" s="255"/>
      <c r="JHS49" s="255"/>
      <c r="JHT49" s="255"/>
      <c r="JHU49" s="255"/>
      <c r="JHV49" s="255"/>
      <c r="JHW49" s="255"/>
      <c r="JHX49" s="255"/>
      <c r="JHY49" s="255"/>
      <c r="JHZ49" s="255"/>
      <c r="JIA49" s="255"/>
      <c r="JIB49" s="255"/>
      <c r="JIC49" s="255"/>
      <c r="JID49" s="255"/>
      <c r="JIE49" s="255"/>
      <c r="JIF49" s="255"/>
      <c r="JIG49" s="255"/>
      <c r="JIH49" s="255"/>
      <c r="JII49" s="255"/>
      <c r="JIJ49" s="255"/>
      <c r="JIK49" s="255"/>
      <c r="JIL49" s="255"/>
      <c r="JIM49" s="255"/>
      <c r="JIN49" s="255"/>
      <c r="JIO49" s="255"/>
      <c r="JIP49" s="255"/>
      <c r="JIQ49" s="255"/>
      <c r="JIR49" s="255"/>
      <c r="JIS49" s="255"/>
      <c r="JIT49" s="255"/>
      <c r="JIU49" s="255"/>
      <c r="JIV49" s="255"/>
      <c r="JIW49" s="255"/>
      <c r="JIX49" s="255"/>
      <c r="JIY49" s="255"/>
      <c r="JIZ49" s="255"/>
      <c r="JJA49" s="255"/>
      <c r="JJB49" s="255"/>
      <c r="JJC49" s="255"/>
      <c r="JJD49" s="255"/>
      <c r="JJE49" s="255"/>
      <c r="JJF49" s="255"/>
      <c r="JJG49" s="255"/>
      <c r="JJH49" s="255"/>
      <c r="JJI49" s="255"/>
      <c r="JJJ49" s="255"/>
      <c r="JJK49" s="255"/>
      <c r="JJL49" s="255"/>
      <c r="JJM49" s="255"/>
      <c r="JJN49" s="255"/>
      <c r="JJO49" s="255"/>
      <c r="JJP49" s="255"/>
      <c r="JJQ49" s="255"/>
      <c r="JJR49" s="255"/>
      <c r="JJS49" s="255"/>
      <c r="JJT49" s="255"/>
      <c r="JJU49" s="255"/>
      <c r="JJV49" s="255"/>
      <c r="JJW49" s="255"/>
      <c r="JJX49" s="255"/>
      <c r="JJY49" s="255"/>
      <c r="JJZ49" s="255"/>
      <c r="JKA49" s="255"/>
      <c r="JKB49" s="255"/>
      <c r="JKC49" s="255"/>
      <c r="JKD49" s="255"/>
      <c r="JKE49" s="255"/>
      <c r="JKF49" s="255"/>
      <c r="JKG49" s="255"/>
      <c r="JKH49" s="255"/>
      <c r="JKI49" s="255"/>
      <c r="JKJ49" s="255"/>
      <c r="JKK49" s="255"/>
      <c r="JKL49" s="255"/>
      <c r="JKM49" s="255"/>
      <c r="JKN49" s="255"/>
      <c r="JKO49" s="255"/>
      <c r="JKP49" s="255"/>
      <c r="JKQ49" s="255"/>
      <c r="JKR49" s="255"/>
      <c r="JKS49" s="255"/>
      <c r="JKT49" s="255"/>
      <c r="JKU49" s="255"/>
      <c r="JKV49" s="255"/>
      <c r="JKW49" s="255"/>
      <c r="JKX49" s="255"/>
      <c r="JKY49" s="255"/>
      <c r="JKZ49" s="255"/>
      <c r="JLA49" s="255"/>
      <c r="JLB49" s="255"/>
      <c r="JLC49" s="255"/>
      <c r="JLD49" s="255"/>
      <c r="JLE49" s="255"/>
      <c r="JLF49" s="255"/>
      <c r="JLG49" s="255"/>
      <c r="JLH49" s="255"/>
      <c r="JLI49" s="255"/>
      <c r="JLJ49" s="255"/>
      <c r="JLK49" s="255"/>
      <c r="JLL49" s="255"/>
      <c r="JLM49" s="255"/>
      <c r="JLN49" s="255"/>
      <c r="JLO49" s="255"/>
      <c r="JLP49" s="255"/>
      <c r="JLQ49" s="255"/>
      <c r="JLR49" s="255"/>
      <c r="JLS49" s="255"/>
      <c r="JLT49" s="255"/>
      <c r="JLU49" s="255"/>
      <c r="JLV49" s="255"/>
      <c r="JLW49" s="255"/>
      <c r="JLX49" s="255"/>
      <c r="JLY49" s="255"/>
      <c r="JLZ49" s="255"/>
      <c r="JMA49" s="255"/>
      <c r="JMB49" s="255"/>
      <c r="JMC49" s="255"/>
      <c r="JMD49" s="255"/>
      <c r="JME49" s="255"/>
      <c r="JMF49" s="255"/>
      <c r="JMG49" s="255"/>
      <c r="JMH49" s="255"/>
      <c r="JMI49" s="255"/>
      <c r="JMJ49" s="255"/>
      <c r="JMK49" s="255"/>
      <c r="JML49" s="255"/>
      <c r="JMM49" s="255"/>
      <c r="JMN49" s="255"/>
      <c r="JMO49" s="255"/>
      <c r="JMP49" s="255"/>
      <c r="JMQ49" s="255"/>
      <c r="JMR49" s="255"/>
      <c r="JMS49" s="255"/>
      <c r="JMT49" s="255"/>
      <c r="JMU49" s="255"/>
      <c r="JMV49" s="255"/>
      <c r="JMW49" s="255"/>
      <c r="JMX49" s="255"/>
      <c r="JMY49" s="255"/>
      <c r="JMZ49" s="255"/>
      <c r="JNA49" s="255"/>
      <c r="JNB49" s="255"/>
      <c r="JNC49" s="255"/>
      <c r="JND49" s="255"/>
      <c r="JNE49" s="255"/>
      <c r="JNF49" s="255"/>
      <c r="JNG49" s="255"/>
      <c r="JNH49" s="255"/>
      <c r="JNI49" s="255"/>
      <c r="JNJ49" s="255"/>
      <c r="JNK49" s="255"/>
      <c r="JNL49" s="255"/>
      <c r="JNM49" s="255"/>
      <c r="JNN49" s="255"/>
      <c r="JNO49" s="255"/>
      <c r="JNP49" s="255"/>
      <c r="JNQ49" s="255"/>
      <c r="JNR49" s="255"/>
      <c r="JNS49" s="255"/>
      <c r="JNT49" s="255"/>
      <c r="JNU49" s="255"/>
      <c r="JNV49" s="255"/>
      <c r="JNW49" s="255"/>
      <c r="JNX49" s="255"/>
      <c r="JNY49" s="255"/>
      <c r="JNZ49" s="255"/>
      <c r="JOA49" s="255"/>
      <c r="JOB49" s="255"/>
      <c r="JOC49" s="255"/>
      <c r="JOD49" s="255"/>
      <c r="JOE49" s="255"/>
      <c r="JOF49" s="255"/>
      <c r="JOG49" s="255"/>
      <c r="JOH49" s="255"/>
      <c r="JOI49" s="255"/>
      <c r="JOJ49" s="255"/>
      <c r="JOK49" s="255"/>
      <c r="JOL49" s="255"/>
      <c r="JOM49" s="255"/>
      <c r="JON49" s="255"/>
      <c r="JOO49" s="255"/>
      <c r="JOP49" s="255"/>
      <c r="JOQ49" s="255"/>
      <c r="JOR49" s="255"/>
      <c r="JOS49" s="255"/>
      <c r="JOT49" s="255"/>
      <c r="JOU49" s="255"/>
      <c r="JOV49" s="255"/>
      <c r="JOW49" s="255"/>
      <c r="JOX49" s="255"/>
      <c r="JOY49" s="255"/>
      <c r="JOZ49" s="255"/>
      <c r="JPA49" s="255"/>
      <c r="JPB49" s="255"/>
      <c r="JPC49" s="255"/>
      <c r="JPD49" s="255"/>
      <c r="JPE49" s="255"/>
      <c r="JPF49" s="255"/>
      <c r="JPG49" s="255"/>
      <c r="JPH49" s="255"/>
      <c r="JPI49" s="255"/>
      <c r="JPJ49" s="255"/>
      <c r="JPK49" s="255"/>
      <c r="JPL49" s="255"/>
      <c r="JPM49" s="255"/>
      <c r="JPN49" s="255"/>
      <c r="JPO49" s="255"/>
      <c r="JPP49" s="255"/>
      <c r="JPQ49" s="255"/>
      <c r="JPR49" s="255"/>
      <c r="JPS49" s="255"/>
      <c r="JPT49" s="255"/>
      <c r="JPU49" s="255"/>
      <c r="JPV49" s="255"/>
      <c r="JPW49" s="255"/>
      <c r="JPX49" s="255"/>
      <c r="JPY49" s="255"/>
      <c r="JPZ49" s="255"/>
      <c r="JQA49" s="255"/>
      <c r="JQB49" s="255"/>
      <c r="JQC49" s="255"/>
      <c r="JQD49" s="255"/>
      <c r="JQE49" s="255"/>
      <c r="JQF49" s="255"/>
      <c r="JQG49" s="255"/>
      <c r="JQH49" s="255"/>
      <c r="JQI49" s="255"/>
      <c r="JQJ49" s="255"/>
      <c r="JQK49" s="255"/>
      <c r="JQL49" s="255"/>
      <c r="JQM49" s="255"/>
      <c r="JQN49" s="255"/>
      <c r="JQO49" s="255"/>
      <c r="JQP49" s="255"/>
      <c r="JQQ49" s="255"/>
      <c r="JQR49" s="255"/>
      <c r="JQS49" s="255"/>
      <c r="JQT49" s="255"/>
      <c r="JQU49" s="255"/>
      <c r="JQV49" s="255"/>
      <c r="JQW49" s="255"/>
      <c r="JQX49" s="255"/>
      <c r="JQY49" s="255"/>
      <c r="JQZ49" s="255"/>
      <c r="JRA49" s="255"/>
      <c r="JRB49" s="255"/>
      <c r="JRC49" s="255"/>
      <c r="JRD49" s="255"/>
      <c r="JRE49" s="255"/>
      <c r="JRF49" s="255"/>
      <c r="JRG49" s="255"/>
      <c r="JRH49" s="255"/>
      <c r="JRI49" s="255"/>
      <c r="JRJ49" s="255"/>
      <c r="JRK49" s="255"/>
      <c r="JRL49" s="255"/>
      <c r="JRM49" s="255"/>
      <c r="JRN49" s="255"/>
      <c r="JRO49" s="255"/>
      <c r="JRP49" s="255"/>
      <c r="JRQ49" s="255"/>
      <c r="JRR49" s="255"/>
      <c r="JRS49" s="255"/>
      <c r="JRT49" s="255"/>
      <c r="JRU49" s="255"/>
      <c r="JRV49" s="255"/>
      <c r="JRW49" s="255"/>
      <c r="JRX49" s="255"/>
      <c r="JRY49" s="255"/>
      <c r="JRZ49" s="255"/>
      <c r="JSA49" s="255"/>
      <c r="JSB49" s="255"/>
      <c r="JSC49" s="255"/>
      <c r="JSD49" s="255"/>
      <c r="JSE49" s="255"/>
      <c r="JSF49" s="255"/>
      <c r="JSG49" s="255"/>
      <c r="JSH49" s="255"/>
      <c r="JSI49" s="255"/>
      <c r="JSJ49" s="255"/>
      <c r="JSK49" s="255"/>
      <c r="JSL49" s="255"/>
      <c r="JSM49" s="255"/>
      <c r="JSN49" s="255"/>
      <c r="JSO49" s="255"/>
      <c r="JSP49" s="255"/>
      <c r="JSQ49" s="255"/>
      <c r="JSR49" s="255"/>
      <c r="JSS49" s="255"/>
      <c r="JST49" s="255"/>
      <c r="JSU49" s="255"/>
      <c r="JSV49" s="255"/>
      <c r="JSW49" s="255"/>
      <c r="JSX49" s="255"/>
      <c r="JSY49" s="255"/>
      <c r="JSZ49" s="255"/>
      <c r="JTA49" s="255"/>
      <c r="JTB49" s="255"/>
      <c r="JTC49" s="255"/>
      <c r="JTD49" s="255"/>
      <c r="JTE49" s="255"/>
      <c r="JTF49" s="255"/>
      <c r="JTG49" s="255"/>
      <c r="JTH49" s="255"/>
      <c r="JTI49" s="255"/>
      <c r="JTJ49" s="255"/>
      <c r="JTK49" s="255"/>
      <c r="JTL49" s="255"/>
      <c r="JTM49" s="255"/>
      <c r="JTN49" s="255"/>
      <c r="JTO49" s="255"/>
      <c r="JTP49" s="255"/>
      <c r="JTQ49" s="255"/>
      <c r="JTR49" s="255"/>
      <c r="JTS49" s="255"/>
      <c r="JTT49" s="255"/>
      <c r="JTU49" s="255"/>
      <c r="JTV49" s="255"/>
      <c r="JTW49" s="255"/>
      <c r="JTX49" s="255"/>
      <c r="JTY49" s="255"/>
      <c r="JTZ49" s="255"/>
      <c r="JUA49" s="255"/>
      <c r="JUB49" s="255"/>
      <c r="JUC49" s="255"/>
      <c r="JUD49" s="255"/>
      <c r="JUE49" s="255"/>
      <c r="JUF49" s="255"/>
      <c r="JUG49" s="255"/>
      <c r="JUH49" s="255"/>
      <c r="JUI49" s="255"/>
      <c r="JUJ49" s="255"/>
      <c r="JUK49" s="255"/>
      <c r="JUL49" s="255"/>
      <c r="JUM49" s="255"/>
      <c r="JUN49" s="255"/>
      <c r="JUO49" s="255"/>
      <c r="JUP49" s="255"/>
      <c r="JUQ49" s="255"/>
      <c r="JUR49" s="255"/>
      <c r="JUS49" s="255"/>
      <c r="JUT49" s="255"/>
      <c r="JUU49" s="255"/>
      <c r="JUV49" s="255"/>
      <c r="JUW49" s="255"/>
      <c r="JUX49" s="255"/>
      <c r="JUY49" s="255"/>
      <c r="JUZ49" s="255"/>
      <c r="JVA49" s="255"/>
      <c r="JVB49" s="255"/>
      <c r="JVC49" s="255"/>
      <c r="JVD49" s="255"/>
      <c r="JVE49" s="255"/>
      <c r="JVF49" s="255"/>
      <c r="JVG49" s="255"/>
      <c r="JVH49" s="255"/>
      <c r="JVI49" s="255"/>
      <c r="JVJ49" s="255"/>
      <c r="JVK49" s="255"/>
      <c r="JVL49" s="255"/>
      <c r="JVM49" s="255"/>
      <c r="JVN49" s="255"/>
      <c r="JVO49" s="255"/>
      <c r="JVP49" s="255"/>
      <c r="JVQ49" s="255"/>
      <c r="JVR49" s="255"/>
      <c r="JVS49" s="255"/>
      <c r="JVT49" s="255"/>
      <c r="JVU49" s="255"/>
      <c r="JVV49" s="255"/>
      <c r="JVW49" s="255"/>
      <c r="JVX49" s="255"/>
      <c r="JVY49" s="255"/>
      <c r="JVZ49" s="255"/>
      <c r="JWA49" s="255"/>
      <c r="JWB49" s="255"/>
      <c r="JWC49" s="255"/>
      <c r="JWD49" s="255"/>
      <c r="JWE49" s="255"/>
      <c r="JWF49" s="255"/>
      <c r="JWG49" s="255"/>
      <c r="JWH49" s="255"/>
      <c r="JWI49" s="255"/>
      <c r="JWJ49" s="255"/>
      <c r="JWK49" s="255"/>
      <c r="JWL49" s="255"/>
      <c r="JWM49" s="255"/>
      <c r="JWN49" s="255"/>
      <c r="JWO49" s="255"/>
      <c r="JWP49" s="255"/>
      <c r="JWQ49" s="255"/>
      <c r="JWR49" s="255"/>
      <c r="JWS49" s="255"/>
      <c r="JWT49" s="255"/>
      <c r="JWU49" s="255"/>
      <c r="JWV49" s="255"/>
      <c r="JWW49" s="255"/>
      <c r="JWX49" s="255"/>
      <c r="JWY49" s="255"/>
      <c r="JWZ49" s="255"/>
      <c r="JXA49" s="255"/>
      <c r="JXB49" s="255"/>
      <c r="JXC49" s="255"/>
      <c r="JXD49" s="255"/>
      <c r="JXE49" s="255"/>
      <c r="JXF49" s="255"/>
      <c r="JXG49" s="255"/>
      <c r="JXH49" s="255"/>
      <c r="JXI49" s="255"/>
      <c r="JXJ49" s="255"/>
      <c r="JXK49" s="255"/>
      <c r="JXL49" s="255"/>
      <c r="JXM49" s="255"/>
      <c r="JXN49" s="255"/>
      <c r="JXO49" s="255"/>
      <c r="JXP49" s="255"/>
      <c r="JXQ49" s="255"/>
      <c r="JXR49" s="255"/>
      <c r="JXS49" s="255"/>
      <c r="JXT49" s="255"/>
      <c r="JXU49" s="255"/>
      <c r="JXV49" s="255"/>
      <c r="JXW49" s="255"/>
      <c r="JXX49" s="255"/>
      <c r="JXY49" s="255"/>
      <c r="JXZ49" s="255"/>
      <c r="JYA49" s="255"/>
      <c r="JYB49" s="255"/>
      <c r="JYC49" s="255"/>
      <c r="JYD49" s="255"/>
      <c r="JYE49" s="255"/>
      <c r="JYF49" s="255"/>
      <c r="JYG49" s="255"/>
      <c r="JYH49" s="255"/>
      <c r="JYI49" s="255"/>
      <c r="JYJ49" s="255"/>
      <c r="JYK49" s="255"/>
      <c r="JYL49" s="255"/>
      <c r="JYM49" s="255"/>
      <c r="JYN49" s="255"/>
      <c r="JYO49" s="255"/>
      <c r="JYP49" s="255"/>
      <c r="JYQ49" s="255"/>
      <c r="JYR49" s="255"/>
      <c r="JYS49" s="255"/>
      <c r="JYT49" s="255"/>
      <c r="JYU49" s="255"/>
      <c r="JYV49" s="255"/>
      <c r="JYW49" s="255"/>
      <c r="JYX49" s="255"/>
      <c r="JYY49" s="255"/>
      <c r="JYZ49" s="255"/>
      <c r="JZA49" s="255"/>
      <c r="JZB49" s="255"/>
      <c r="JZC49" s="255"/>
      <c r="JZD49" s="255"/>
      <c r="JZE49" s="255"/>
      <c r="JZF49" s="255"/>
      <c r="JZG49" s="255"/>
      <c r="JZH49" s="255"/>
      <c r="JZI49" s="255"/>
      <c r="JZJ49" s="255"/>
      <c r="JZK49" s="255"/>
      <c r="JZL49" s="255"/>
      <c r="JZM49" s="255"/>
      <c r="JZN49" s="255"/>
      <c r="JZO49" s="255"/>
      <c r="JZP49" s="255"/>
      <c r="JZQ49" s="255"/>
      <c r="JZR49" s="255"/>
      <c r="JZS49" s="255"/>
      <c r="JZT49" s="255"/>
      <c r="JZU49" s="255"/>
      <c r="JZV49" s="255"/>
      <c r="JZW49" s="255"/>
      <c r="JZX49" s="255"/>
      <c r="JZY49" s="255"/>
      <c r="JZZ49" s="255"/>
      <c r="KAA49" s="255"/>
      <c r="KAB49" s="255"/>
      <c r="KAC49" s="255"/>
      <c r="KAD49" s="255"/>
      <c r="KAE49" s="255"/>
      <c r="KAF49" s="255"/>
      <c r="KAG49" s="255"/>
      <c r="KAH49" s="255"/>
      <c r="KAI49" s="255"/>
      <c r="KAJ49" s="255"/>
      <c r="KAK49" s="255"/>
      <c r="KAL49" s="255"/>
      <c r="KAM49" s="255"/>
      <c r="KAN49" s="255"/>
      <c r="KAO49" s="255"/>
      <c r="KAP49" s="255"/>
      <c r="KAQ49" s="255"/>
      <c r="KAR49" s="255"/>
      <c r="KAS49" s="255"/>
      <c r="KAT49" s="255"/>
      <c r="KAU49" s="255"/>
      <c r="KAV49" s="255"/>
      <c r="KAW49" s="255"/>
      <c r="KAX49" s="255"/>
      <c r="KAY49" s="255"/>
      <c r="KAZ49" s="255"/>
      <c r="KBA49" s="255"/>
      <c r="KBB49" s="255"/>
      <c r="KBC49" s="255"/>
      <c r="KBD49" s="255"/>
      <c r="KBE49" s="255"/>
      <c r="KBF49" s="255"/>
      <c r="KBG49" s="255"/>
      <c r="KBH49" s="255"/>
      <c r="KBI49" s="255"/>
      <c r="KBJ49" s="255"/>
      <c r="KBK49" s="255"/>
      <c r="KBL49" s="255"/>
      <c r="KBM49" s="255"/>
      <c r="KBN49" s="255"/>
      <c r="KBO49" s="255"/>
      <c r="KBP49" s="255"/>
      <c r="KBQ49" s="255"/>
      <c r="KBR49" s="255"/>
      <c r="KBS49" s="255"/>
      <c r="KBT49" s="255"/>
      <c r="KBU49" s="255"/>
      <c r="KBV49" s="255"/>
      <c r="KBW49" s="255"/>
      <c r="KBX49" s="255"/>
      <c r="KBY49" s="255"/>
      <c r="KBZ49" s="255"/>
      <c r="KCA49" s="255"/>
      <c r="KCB49" s="255"/>
      <c r="KCC49" s="255"/>
      <c r="KCD49" s="255"/>
      <c r="KCE49" s="255"/>
      <c r="KCF49" s="255"/>
      <c r="KCG49" s="255"/>
      <c r="KCH49" s="255"/>
      <c r="KCI49" s="255"/>
      <c r="KCJ49" s="255"/>
      <c r="KCK49" s="255"/>
      <c r="KCL49" s="255"/>
      <c r="KCM49" s="255"/>
      <c r="KCN49" s="255"/>
      <c r="KCO49" s="255"/>
      <c r="KCP49" s="255"/>
      <c r="KCQ49" s="255"/>
      <c r="KCR49" s="255"/>
      <c r="KCS49" s="255"/>
      <c r="KCT49" s="255"/>
      <c r="KCU49" s="255"/>
      <c r="KCV49" s="255"/>
      <c r="KCW49" s="255"/>
      <c r="KCX49" s="255"/>
      <c r="KCY49" s="255"/>
      <c r="KCZ49" s="255"/>
      <c r="KDA49" s="255"/>
      <c r="KDB49" s="255"/>
      <c r="KDC49" s="255"/>
      <c r="KDD49" s="255"/>
      <c r="KDE49" s="255"/>
      <c r="KDF49" s="255"/>
      <c r="KDG49" s="255"/>
      <c r="KDH49" s="255"/>
      <c r="KDI49" s="255"/>
      <c r="KDJ49" s="255"/>
      <c r="KDK49" s="255"/>
      <c r="KDL49" s="255"/>
      <c r="KDM49" s="255"/>
      <c r="KDN49" s="255"/>
      <c r="KDO49" s="255"/>
      <c r="KDP49" s="255"/>
      <c r="KDQ49" s="255"/>
      <c r="KDR49" s="255"/>
      <c r="KDS49" s="255"/>
      <c r="KDT49" s="255"/>
      <c r="KDU49" s="255"/>
      <c r="KDV49" s="255"/>
      <c r="KDW49" s="255"/>
      <c r="KDX49" s="255"/>
      <c r="KDY49" s="255"/>
      <c r="KDZ49" s="255"/>
      <c r="KEA49" s="255"/>
      <c r="KEB49" s="255"/>
      <c r="KEC49" s="255"/>
      <c r="KED49" s="255"/>
      <c r="KEE49" s="255"/>
      <c r="KEF49" s="255"/>
      <c r="KEG49" s="255"/>
      <c r="KEH49" s="255"/>
      <c r="KEI49" s="255"/>
      <c r="KEJ49" s="255"/>
      <c r="KEK49" s="255"/>
      <c r="KEL49" s="255"/>
      <c r="KEM49" s="255"/>
      <c r="KEN49" s="255"/>
      <c r="KEO49" s="255"/>
      <c r="KEP49" s="255"/>
      <c r="KEQ49" s="255"/>
      <c r="KER49" s="255"/>
      <c r="KES49" s="255"/>
      <c r="KET49" s="255"/>
      <c r="KEU49" s="255"/>
      <c r="KEV49" s="255"/>
      <c r="KEW49" s="255"/>
      <c r="KEX49" s="255"/>
      <c r="KEY49" s="255"/>
      <c r="KEZ49" s="255"/>
      <c r="KFA49" s="255"/>
      <c r="KFB49" s="255"/>
      <c r="KFC49" s="255"/>
      <c r="KFD49" s="255"/>
      <c r="KFE49" s="255"/>
      <c r="KFF49" s="255"/>
      <c r="KFG49" s="255"/>
      <c r="KFH49" s="255"/>
      <c r="KFI49" s="255"/>
      <c r="KFJ49" s="255"/>
      <c r="KFK49" s="255"/>
      <c r="KFL49" s="255"/>
      <c r="KFM49" s="255"/>
      <c r="KFN49" s="255"/>
      <c r="KFO49" s="255"/>
      <c r="KFP49" s="255"/>
      <c r="KFQ49" s="255"/>
      <c r="KFR49" s="255"/>
      <c r="KFS49" s="255"/>
      <c r="KFT49" s="255"/>
      <c r="KFU49" s="255"/>
      <c r="KFV49" s="255"/>
      <c r="KFW49" s="255"/>
      <c r="KFX49" s="255"/>
      <c r="KFY49" s="255"/>
      <c r="KFZ49" s="255"/>
      <c r="KGA49" s="255"/>
      <c r="KGB49" s="255"/>
      <c r="KGC49" s="255"/>
      <c r="KGD49" s="255"/>
      <c r="KGE49" s="255"/>
      <c r="KGF49" s="255"/>
      <c r="KGG49" s="255"/>
      <c r="KGH49" s="255"/>
      <c r="KGI49" s="255"/>
      <c r="KGJ49" s="255"/>
      <c r="KGK49" s="255"/>
      <c r="KGL49" s="255"/>
      <c r="KGM49" s="255"/>
      <c r="KGN49" s="255"/>
      <c r="KGO49" s="255"/>
      <c r="KGP49" s="255"/>
      <c r="KGQ49" s="255"/>
      <c r="KGR49" s="255"/>
      <c r="KGS49" s="255"/>
      <c r="KGT49" s="255"/>
      <c r="KGU49" s="255"/>
      <c r="KGV49" s="255"/>
      <c r="KGW49" s="255"/>
      <c r="KGX49" s="255"/>
      <c r="KGY49" s="255"/>
      <c r="KGZ49" s="255"/>
      <c r="KHA49" s="255"/>
      <c r="KHB49" s="255"/>
      <c r="KHC49" s="255"/>
      <c r="KHD49" s="255"/>
      <c r="KHE49" s="255"/>
      <c r="KHF49" s="255"/>
      <c r="KHG49" s="255"/>
      <c r="KHH49" s="255"/>
      <c r="KHI49" s="255"/>
      <c r="KHJ49" s="255"/>
      <c r="KHK49" s="255"/>
      <c r="KHL49" s="255"/>
      <c r="KHM49" s="255"/>
      <c r="KHN49" s="255"/>
      <c r="KHO49" s="255"/>
      <c r="KHP49" s="255"/>
      <c r="KHQ49" s="255"/>
      <c r="KHR49" s="255"/>
      <c r="KHS49" s="255"/>
      <c r="KHT49" s="255"/>
      <c r="KHU49" s="255"/>
      <c r="KHV49" s="255"/>
      <c r="KHW49" s="255"/>
      <c r="KHX49" s="255"/>
      <c r="KHY49" s="255"/>
      <c r="KHZ49" s="255"/>
      <c r="KIA49" s="255"/>
      <c r="KIB49" s="255"/>
      <c r="KIC49" s="255"/>
      <c r="KID49" s="255"/>
      <c r="KIE49" s="255"/>
      <c r="KIF49" s="255"/>
      <c r="KIG49" s="255"/>
      <c r="KIH49" s="255"/>
      <c r="KII49" s="255"/>
      <c r="KIJ49" s="255"/>
      <c r="KIK49" s="255"/>
      <c r="KIL49" s="255"/>
      <c r="KIM49" s="255"/>
      <c r="KIN49" s="255"/>
      <c r="KIO49" s="255"/>
      <c r="KIP49" s="255"/>
      <c r="KIQ49" s="255"/>
      <c r="KIR49" s="255"/>
      <c r="KIS49" s="255"/>
      <c r="KIT49" s="255"/>
      <c r="KIU49" s="255"/>
      <c r="KIV49" s="255"/>
      <c r="KIW49" s="255"/>
      <c r="KIX49" s="255"/>
      <c r="KIY49" s="255"/>
      <c r="KIZ49" s="255"/>
      <c r="KJA49" s="255"/>
      <c r="KJB49" s="255"/>
      <c r="KJC49" s="255"/>
      <c r="KJD49" s="255"/>
      <c r="KJE49" s="255"/>
      <c r="KJF49" s="255"/>
      <c r="KJG49" s="255"/>
      <c r="KJH49" s="255"/>
      <c r="KJI49" s="255"/>
      <c r="KJJ49" s="255"/>
      <c r="KJK49" s="255"/>
      <c r="KJL49" s="255"/>
      <c r="KJM49" s="255"/>
      <c r="KJN49" s="255"/>
      <c r="KJO49" s="255"/>
      <c r="KJP49" s="255"/>
      <c r="KJQ49" s="255"/>
      <c r="KJR49" s="255"/>
      <c r="KJS49" s="255"/>
      <c r="KJT49" s="255"/>
      <c r="KJU49" s="255"/>
      <c r="KJV49" s="255"/>
      <c r="KJW49" s="255"/>
      <c r="KJX49" s="255"/>
      <c r="KJY49" s="255"/>
      <c r="KJZ49" s="255"/>
      <c r="KKA49" s="255"/>
      <c r="KKB49" s="255"/>
      <c r="KKC49" s="255"/>
      <c r="KKD49" s="255"/>
      <c r="KKE49" s="255"/>
      <c r="KKF49" s="255"/>
      <c r="KKG49" s="255"/>
      <c r="KKH49" s="255"/>
      <c r="KKI49" s="255"/>
      <c r="KKJ49" s="255"/>
      <c r="KKK49" s="255"/>
      <c r="KKL49" s="255"/>
      <c r="KKM49" s="255"/>
      <c r="KKN49" s="255"/>
      <c r="KKO49" s="255"/>
      <c r="KKP49" s="255"/>
      <c r="KKQ49" s="255"/>
      <c r="KKR49" s="255"/>
      <c r="KKS49" s="255"/>
      <c r="KKT49" s="255"/>
      <c r="KKU49" s="255"/>
      <c r="KKV49" s="255"/>
      <c r="KKW49" s="255"/>
      <c r="KKX49" s="255"/>
      <c r="KKY49" s="255"/>
      <c r="KKZ49" s="255"/>
      <c r="KLA49" s="255"/>
      <c r="KLB49" s="255"/>
      <c r="KLC49" s="255"/>
      <c r="KLD49" s="255"/>
      <c r="KLE49" s="255"/>
      <c r="KLF49" s="255"/>
      <c r="KLG49" s="255"/>
      <c r="KLH49" s="255"/>
      <c r="KLI49" s="255"/>
      <c r="KLJ49" s="255"/>
      <c r="KLK49" s="255"/>
      <c r="KLL49" s="255"/>
      <c r="KLM49" s="255"/>
      <c r="KLN49" s="255"/>
      <c r="KLO49" s="255"/>
      <c r="KLP49" s="255"/>
      <c r="KLQ49" s="255"/>
      <c r="KLR49" s="255"/>
      <c r="KLS49" s="255"/>
      <c r="KLT49" s="255"/>
      <c r="KLU49" s="255"/>
      <c r="KLV49" s="255"/>
      <c r="KLW49" s="255"/>
      <c r="KLX49" s="255"/>
      <c r="KLY49" s="255"/>
      <c r="KLZ49" s="255"/>
      <c r="KMA49" s="255"/>
      <c r="KMB49" s="255"/>
      <c r="KMC49" s="255"/>
      <c r="KMD49" s="255"/>
      <c r="KME49" s="255"/>
      <c r="KMF49" s="255"/>
      <c r="KMG49" s="255"/>
      <c r="KMH49" s="255"/>
      <c r="KMI49" s="255"/>
      <c r="KMJ49" s="255"/>
      <c r="KMK49" s="255"/>
      <c r="KML49" s="255"/>
      <c r="KMM49" s="255"/>
      <c r="KMN49" s="255"/>
      <c r="KMO49" s="255"/>
      <c r="KMP49" s="255"/>
      <c r="KMQ49" s="255"/>
      <c r="KMR49" s="255"/>
      <c r="KMS49" s="255"/>
      <c r="KMT49" s="255"/>
      <c r="KMU49" s="255"/>
      <c r="KMV49" s="255"/>
      <c r="KMW49" s="255"/>
      <c r="KMX49" s="255"/>
      <c r="KMY49" s="255"/>
      <c r="KMZ49" s="255"/>
      <c r="KNA49" s="255"/>
      <c r="KNB49" s="255"/>
      <c r="KNC49" s="255"/>
      <c r="KND49" s="255"/>
      <c r="KNE49" s="255"/>
      <c r="KNF49" s="255"/>
      <c r="KNG49" s="255"/>
      <c r="KNH49" s="255"/>
      <c r="KNI49" s="255"/>
      <c r="KNJ49" s="255"/>
      <c r="KNK49" s="255"/>
      <c r="KNL49" s="255"/>
      <c r="KNM49" s="255"/>
      <c r="KNN49" s="255"/>
      <c r="KNO49" s="255"/>
      <c r="KNP49" s="255"/>
      <c r="KNQ49" s="255"/>
      <c r="KNR49" s="255"/>
      <c r="KNS49" s="255"/>
      <c r="KNT49" s="255"/>
      <c r="KNU49" s="255"/>
      <c r="KNV49" s="255"/>
      <c r="KNW49" s="255"/>
      <c r="KNX49" s="255"/>
      <c r="KNY49" s="255"/>
      <c r="KNZ49" s="255"/>
      <c r="KOA49" s="255"/>
      <c r="KOB49" s="255"/>
      <c r="KOC49" s="255"/>
      <c r="KOD49" s="255"/>
      <c r="KOE49" s="255"/>
      <c r="KOF49" s="255"/>
      <c r="KOG49" s="255"/>
      <c r="KOH49" s="255"/>
      <c r="KOI49" s="255"/>
      <c r="KOJ49" s="255"/>
      <c r="KOK49" s="255"/>
      <c r="KOL49" s="255"/>
      <c r="KOM49" s="255"/>
      <c r="KON49" s="255"/>
      <c r="KOO49" s="255"/>
      <c r="KOP49" s="255"/>
      <c r="KOQ49" s="255"/>
      <c r="KOR49" s="255"/>
      <c r="KOS49" s="255"/>
      <c r="KOT49" s="255"/>
      <c r="KOU49" s="255"/>
      <c r="KOV49" s="255"/>
      <c r="KOW49" s="255"/>
      <c r="KOX49" s="255"/>
      <c r="KOY49" s="255"/>
      <c r="KOZ49" s="255"/>
      <c r="KPA49" s="255"/>
      <c r="KPB49" s="255"/>
      <c r="KPC49" s="255"/>
      <c r="KPD49" s="255"/>
      <c r="KPE49" s="255"/>
      <c r="KPF49" s="255"/>
      <c r="KPG49" s="255"/>
      <c r="KPH49" s="255"/>
      <c r="KPI49" s="255"/>
      <c r="KPJ49" s="255"/>
      <c r="KPK49" s="255"/>
      <c r="KPL49" s="255"/>
      <c r="KPM49" s="255"/>
      <c r="KPN49" s="255"/>
      <c r="KPO49" s="255"/>
      <c r="KPP49" s="255"/>
      <c r="KPQ49" s="255"/>
      <c r="KPR49" s="255"/>
      <c r="KPS49" s="255"/>
      <c r="KPT49" s="255"/>
      <c r="KPU49" s="255"/>
      <c r="KPV49" s="255"/>
      <c r="KPW49" s="255"/>
      <c r="KPX49" s="255"/>
      <c r="KPY49" s="255"/>
      <c r="KPZ49" s="255"/>
      <c r="KQA49" s="255"/>
      <c r="KQB49" s="255"/>
      <c r="KQC49" s="255"/>
      <c r="KQD49" s="255"/>
      <c r="KQE49" s="255"/>
      <c r="KQF49" s="255"/>
      <c r="KQG49" s="255"/>
      <c r="KQH49" s="255"/>
      <c r="KQI49" s="255"/>
      <c r="KQJ49" s="255"/>
      <c r="KQK49" s="255"/>
      <c r="KQL49" s="255"/>
      <c r="KQM49" s="255"/>
      <c r="KQN49" s="255"/>
      <c r="KQO49" s="255"/>
      <c r="KQP49" s="255"/>
      <c r="KQQ49" s="255"/>
      <c r="KQR49" s="255"/>
      <c r="KQS49" s="255"/>
      <c r="KQT49" s="255"/>
      <c r="KQU49" s="255"/>
      <c r="KQV49" s="255"/>
      <c r="KQW49" s="255"/>
      <c r="KQX49" s="255"/>
      <c r="KQY49" s="255"/>
      <c r="KQZ49" s="255"/>
      <c r="KRA49" s="255"/>
      <c r="KRB49" s="255"/>
      <c r="KRC49" s="255"/>
      <c r="KRD49" s="255"/>
      <c r="KRE49" s="255"/>
      <c r="KRF49" s="255"/>
      <c r="KRG49" s="255"/>
      <c r="KRH49" s="255"/>
      <c r="KRI49" s="255"/>
      <c r="KRJ49" s="255"/>
      <c r="KRK49" s="255"/>
      <c r="KRL49" s="255"/>
      <c r="KRM49" s="255"/>
      <c r="KRN49" s="255"/>
      <c r="KRO49" s="255"/>
      <c r="KRP49" s="255"/>
      <c r="KRQ49" s="255"/>
      <c r="KRR49" s="255"/>
      <c r="KRS49" s="255"/>
      <c r="KRT49" s="255"/>
      <c r="KRU49" s="255"/>
      <c r="KRV49" s="255"/>
      <c r="KRW49" s="255"/>
      <c r="KRX49" s="255"/>
      <c r="KRY49" s="255"/>
      <c r="KRZ49" s="255"/>
      <c r="KSA49" s="255"/>
      <c r="KSB49" s="255"/>
      <c r="KSC49" s="255"/>
      <c r="KSD49" s="255"/>
      <c r="KSE49" s="255"/>
      <c r="KSF49" s="255"/>
      <c r="KSG49" s="255"/>
      <c r="KSH49" s="255"/>
      <c r="KSI49" s="255"/>
      <c r="KSJ49" s="255"/>
      <c r="KSK49" s="255"/>
      <c r="KSL49" s="255"/>
      <c r="KSM49" s="255"/>
      <c r="KSN49" s="255"/>
      <c r="KSO49" s="255"/>
      <c r="KSP49" s="255"/>
      <c r="KSQ49" s="255"/>
      <c r="KSR49" s="255"/>
      <c r="KSS49" s="255"/>
      <c r="KST49" s="255"/>
      <c r="KSU49" s="255"/>
      <c r="KSV49" s="255"/>
      <c r="KSW49" s="255"/>
      <c r="KSX49" s="255"/>
      <c r="KSY49" s="255"/>
      <c r="KSZ49" s="255"/>
      <c r="KTA49" s="255"/>
      <c r="KTB49" s="255"/>
      <c r="KTC49" s="255"/>
      <c r="KTD49" s="255"/>
      <c r="KTE49" s="255"/>
      <c r="KTF49" s="255"/>
      <c r="KTG49" s="255"/>
      <c r="KTH49" s="255"/>
      <c r="KTI49" s="255"/>
      <c r="KTJ49" s="255"/>
      <c r="KTK49" s="255"/>
      <c r="KTL49" s="255"/>
      <c r="KTM49" s="255"/>
      <c r="KTN49" s="255"/>
      <c r="KTO49" s="255"/>
      <c r="KTP49" s="255"/>
      <c r="KTQ49" s="255"/>
      <c r="KTR49" s="255"/>
      <c r="KTS49" s="255"/>
      <c r="KTT49" s="255"/>
      <c r="KTU49" s="255"/>
      <c r="KTV49" s="255"/>
      <c r="KTW49" s="255"/>
      <c r="KTX49" s="255"/>
      <c r="KTY49" s="255"/>
      <c r="KTZ49" s="255"/>
      <c r="KUA49" s="255"/>
      <c r="KUB49" s="255"/>
      <c r="KUC49" s="255"/>
      <c r="KUD49" s="255"/>
      <c r="KUE49" s="255"/>
      <c r="KUF49" s="255"/>
      <c r="KUG49" s="255"/>
      <c r="KUH49" s="255"/>
      <c r="KUI49" s="255"/>
      <c r="KUJ49" s="255"/>
      <c r="KUK49" s="255"/>
      <c r="KUL49" s="255"/>
      <c r="KUM49" s="255"/>
      <c r="KUN49" s="255"/>
      <c r="KUO49" s="255"/>
      <c r="KUP49" s="255"/>
      <c r="KUQ49" s="255"/>
      <c r="KUR49" s="255"/>
      <c r="KUS49" s="255"/>
      <c r="KUT49" s="255"/>
      <c r="KUU49" s="255"/>
      <c r="KUV49" s="255"/>
      <c r="KUW49" s="255"/>
      <c r="KUX49" s="255"/>
      <c r="KUY49" s="255"/>
      <c r="KUZ49" s="255"/>
      <c r="KVA49" s="255"/>
      <c r="KVB49" s="255"/>
      <c r="KVC49" s="255"/>
      <c r="KVD49" s="255"/>
      <c r="KVE49" s="255"/>
      <c r="KVF49" s="255"/>
      <c r="KVG49" s="255"/>
      <c r="KVH49" s="255"/>
      <c r="KVI49" s="255"/>
      <c r="KVJ49" s="255"/>
      <c r="KVK49" s="255"/>
      <c r="KVL49" s="255"/>
      <c r="KVM49" s="255"/>
      <c r="KVN49" s="255"/>
      <c r="KVO49" s="255"/>
      <c r="KVP49" s="255"/>
      <c r="KVQ49" s="255"/>
      <c r="KVR49" s="255"/>
      <c r="KVS49" s="255"/>
      <c r="KVT49" s="255"/>
      <c r="KVU49" s="255"/>
      <c r="KVV49" s="255"/>
      <c r="KVW49" s="255"/>
      <c r="KVX49" s="255"/>
      <c r="KVY49" s="255"/>
      <c r="KVZ49" s="255"/>
      <c r="KWA49" s="255"/>
      <c r="KWB49" s="255"/>
      <c r="KWC49" s="255"/>
      <c r="KWD49" s="255"/>
      <c r="KWE49" s="255"/>
      <c r="KWF49" s="255"/>
      <c r="KWG49" s="255"/>
      <c r="KWH49" s="255"/>
      <c r="KWI49" s="255"/>
      <c r="KWJ49" s="255"/>
      <c r="KWK49" s="255"/>
      <c r="KWL49" s="255"/>
      <c r="KWM49" s="255"/>
      <c r="KWN49" s="255"/>
      <c r="KWO49" s="255"/>
      <c r="KWP49" s="255"/>
      <c r="KWQ49" s="255"/>
      <c r="KWR49" s="255"/>
      <c r="KWS49" s="255"/>
      <c r="KWT49" s="255"/>
      <c r="KWU49" s="255"/>
      <c r="KWV49" s="255"/>
      <c r="KWW49" s="255"/>
      <c r="KWX49" s="255"/>
      <c r="KWY49" s="255"/>
      <c r="KWZ49" s="255"/>
      <c r="KXA49" s="255"/>
      <c r="KXB49" s="255"/>
      <c r="KXC49" s="255"/>
      <c r="KXD49" s="255"/>
      <c r="KXE49" s="255"/>
      <c r="KXF49" s="255"/>
      <c r="KXG49" s="255"/>
      <c r="KXH49" s="255"/>
      <c r="KXI49" s="255"/>
      <c r="KXJ49" s="255"/>
      <c r="KXK49" s="255"/>
      <c r="KXL49" s="255"/>
      <c r="KXM49" s="255"/>
      <c r="KXN49" s="255"/>
      <c r="KXO49" s="255"/>
      <c r="KXP49" s="255"/>
      <c r="KXQ49" s="255"/>
      <c r="KXR49" s="255"/>
      <c r="KXS49" s="255"/>
      <c r="KXT49" s="255"/>
      <c r="KXU49" s="255"/>
      <c r="KXV49" s="255"/>
      <c r="KXW49" s="255"/>
      <c r="KXX49" s="255"/>
      <c r="KXY49" s="255"/>
      <c r="KXZ49" s="255"/>
      <c r="KYA49" s="255"/>
      <c r="KYB49" s="255"/>
      <c r="KYC49" s="255"/>
      <c r="KYD49" s="255"/>
      <c r="KYE49" s="255"/>
      <c r="KYF49" s="255"/>
      <c r="KYG49" s="255"/>
      <c r="KYH49" s="255"/>
      <c r="KYI49" s="255"/>
      <c r="KYJ49" s="255"/>
      <c r="KYK49" s="255"/>
      <c r="KYL49" s="255"/>
      <c r="KYM49" s="255"/>
      <c r="KYN49" s="255"/>
      <c r="KYO49" s="255"/>
      <c r="KYP49" s="255"/>
      <c r="KYQ49" s="255"/>
      <c r="KYR49" s="255"/>
      <c r="KYS49" s="255"/>
      <c r="KYT49" s="255"/>
      <c r="KYU49" s="255"/>
      <c r="KYV49" s="255"/>
      <c r="KYW49" s="255"/>
      <c r="KYX49" s="255"/>
      <c r="KYY49" s="255"/>
      <c r="KYZ49" s="255"/>
      <c r="KZA49" s="255"/>
      <c r="KZB49" s="255"/>
      <c r="KZC49" s="255"/>
      <c r="KZD49" s="255"/>
      <c r="KZE49" s="255"/>
      <c r="KZF49" s="255"/>
      <c r="KZG49" s="255"/>
      <c r="KZH49" s="255"/>
      <c r="KZI49" s="255"/>
      <c r="KZJ49" s="255"/>
      <c r="KZK49" s="255"/>
      <c r="KZL49" s="255"/>
      <c r="KZM49" s="255"/>
      <c r="KZN49" s="255"/>
      <c r="KZO49" s="255"/>
      <c r="KZP49" s="255"/>
      <c r="KZQ49" s="255"/>
      <c r="KZR49" s="255"/>
      <c r="KZS49" s="255"/>
      <c r="KZT49" s="255"/>
      <c r="KZU49" s="255"/>
      <c r="KZV49" s="255"/>
      <c r="KZW49" s="255"/>
      <c r="KZX49" s="255"/>
      <c r="KZY49" s="255"/>
      <c r="KZZ49" s="255"/>
      <c r="LAA49" s="255"/>
      <c r="LAB49" s="255"/>
      <c r="LAC49" s="255"/>
      <c r="LAD49" s="255"/>
      <c r="LAE49" s="255"/>
      <c r="LAF49" s="255"/>
      <c r="LAG49" s="255"/>
      <c r="LAH49" s="255"/>
      <c r="LAI49" s="255"/>
      <c r="LAJ49" s="255"/>
      <c r="LAK49" s="255"/>
      <c r="LAL49" s="255"/>
      <c r="LAM49" s="255"/>
      <c r="LAN49" s="255"/>
      <c r="LAO49" s="255"/>
      <c r="LAP49" s="255"/>
      <c r="LAQ49" s="255"/>
      <c r="LAR49" s="255"/>
      <c r="LAS49" s="255"/>
      <c r="LAT49" s="255"/>
      <c r="LAU49" s="255"/>
      <c r="LAV49" s="255"/>
      <c r="LAW49" s="255"/>
      <c r="LAX49" s="255"/>
      <c r="LAY49" s="255"/>
      <c r="LAZ49" s="255"/>
      <c r="LBA49" s="255"/>
      <c r="LBB49" s="255"/>
      <c r="LBC49" s="255"/>
      <c r="LBD49" s="255"/>
      <c r="LBE49" s="255"/>
      <c r="LBF49" s="255"/>
      <c r="LBG49" s="255"/>
      <c r="LBH49" s="255"/>
      <c r="LBI49" s="255"/>
      <c r="LBJ49" s="255"/>
      <c r="LBK49" s="255"/>
      <c r="LBL49" s="255"/>
      <c r="LBM49" s="255"/>
      <c r="LBN49" s="255"/>
      <c r="LBO49" s="255"/>
      <c r="LBP49" s="255"/>
      <c r="LBQ49" s="255"/>
      <c r="LBR49" s="255"/>
      <c r="LBS49" s="255"/>
      <c r="LBT49" s="255"/>
      <c r="LBU49" s="255"/>
      <c r="LBV49" s="255"/>
      <c r="LBW49" s="255"/>
      <c r="LBX49" s="255"/>
      <c r="LBY49" s="255"/>
      <c r="LBZ49" s="255"/>
      <c r="LCA49" s="255"/>
      <c r="LCB49" s="255"/>
      <c r="LCC49" s="255"/>
      <c r="LCD49" s="255"/>
      <c r="LCE49" s="255"/>
      <c r="LCF49" s="255"/>
      <c r="LCG49" s="255"/>
      <c r="LCH49" s="255"/>
      <c r="LCI49" s="255"/>
      <c r="LCJ49" s="255"/>
      <c r="LCK49" s="255"/>
      <c r="LCL49" s="255"/>
      <c r="LCM49" s="255"/>
      <c r="LCN49" s="255"/>
      <c r="LCO49" s="255"/>
      <c r="LCP49" s="255"/>
      <c r="LCQ49" s="255"/>
      <c r="LCR49" s="255"/>
      <c r="LCS49" s="255"/>
      <c r="LCT49" s="255"/>
      <c r="LCU49" s="255"/>
      <c r="LCV49" s="255"/>
      <c r="LCW49" s="255"/>
      <c r="LCX49" s="255"/>
      <c r="LCY49" s="255"/>
      <c r="LCZ49" s="255"/>
      <c r="LDA49" s="255"/>
      <c r="LDB49" s="255"/>
      <c r="LDC49" s="255"/>
      <c r="LDD49" s="255"/>
      <c r="LDE49" s="255"/>
      <c r="LDF49" s="255"/>
      <c r="LDG49" s="255"/>
      <c r="LDH49" s="255"/>
      <c r="LDI49" s="255"/>
      <c r="LDJ49" s="255"/>
      <c r="LDK49" s="255"/>
      <c r="LDL49" s="255"/>
      <c r="LDM49" s="255"/>
      <c r="LDN49" s="255"/>
      <c r="LDO49" s="255"/>
      <c r="LDP49" s="255"/>
      <c r="LDQ49" s="255"/>
      <c r="LDR49" s="255"/>
      <c r="LDS49" s="255"/>
      <c r="LDT49" s="255"/>
      <c r="LDU49" s="255"/>
      <c r="LDV49" s="255"/>
      <c r="LDW49" s="255"/>
      <c r="LDX49" s="255"/>
      <c r="LDY49" s="255"/>
      <c r="LDZ49" s="255"/>
      <c r="LEA49" s="255"/>
      <c r="LEB49" s="255"/>
      <c r="LEC49" s="255"/>
      <c r="LED49" s="255"/>
      <c r="LEE49" s="255"/>
      <c r="LEF49" s="255"/>
      <c r="LEG49" s="255"/>
      <c r="LEH49" s="255"/>
      <c r="LEI49" s="255"/>
      <c r="LEJ49" s="255"/>
      <c r="LEK49" s="255"/>
      <c r="LEL49" s="255"/>
      <c r="LEM49" s="255"/>
      <c r="LEN49" s="255"/>
      <c r="LEO49" s="255"/>
      <c r="LEP49" s="255"/>
      <c r="LEQ49" s="255"/>
      <c r="LER49" s="255"/>
      <c r="LES49" s="255"/>
      <c r="LET49" s="255"/>
      <c r="LEU49" s="255"/>
      <c r="LEV49" s="255"/>
      <c r="LEW49" s="255"/>
      <c r="LEX49" s="255"/>
      <c r="LEY49" s="255"/>
      <c r="LEZ49" s="255"/>
      <c r="LFA49" s="255"/>
      <c r="LFB49" s="255"/>
      <c r="LFC49" s="255"/>
      <c r="LFD49" s="255"/>
      <c r="LFE49" s="255"/>
      <c r="LFF49" s="255"/>
      <c r="LFG49" s="255"/>
      <c r="LFH49" s="255"/>
      <c r="LFI49" s="255"/>
      <c r="LFJ49" s="255"/>
      <c r="LFK49" s="255"/>
      <c r="LFL49" s="255"/>
      <c r="LFM49" s="255"/>
      <c r="LFN49" s="255"/>
      <c r="LFO49" s="255"/>
      <c r="LFP49" s="255"/>
      <c r="LFQ49" s="255"/>
      <c r="LFR49" s="255"/>
      <c r="LFS49" s="255"/>
      <c r="LFT49" s="255"/>
      <c r="LFU49" s="255"/>
      <c r="LFV49" s="255"/>
      <c r="LFW49" s="255"/>
      <c r="LFX49" s="255"/>
      <c r="LFY49" s="255"/>
      <c r="LFZ49" s="255"/>
      <c r="LGA49" s="255"/>
      <c r="LGB49" s="255"/>
      <c r="LGC49" s="255"/>
      <c r="LGD49" s="255"/>
      <c r="LGE49" s="255"/>
      <c r="LGF49" s="255"/>
      <c r="LGG49" s="255"/>
      <c r="LGH49" s="255"/>
      <c r="LGI49" s="255"/>
      <c r="LGJ49" s="255"/>
      <c r="LGK49" s="255"/>
      <c r="LGL49" s="255"/>
      <c r="LGM49" s="255"/>
      <c r="LGN49" s="255"/>
      <c r="LGO49" s="255"/>
      <c r="LGP49" s="255"/>
      <c r="LGQ49" s="255"/>
      <c r="LGR49" s="255"/>
      <c r="LGS49" s="255"/>
      <c r="LGT49" s="255"/>
      <c r="LGU49" s="255"/>
      <c r="LGV49" s="255"/>
      <c r="LGW49" s="255"/>
      <c r="LGX49" s="255"/>
      <c r="LGY49" s="255"/>
      <c r="LGZ49" s="255"/>
      <c r="LHA49" s="255"/>
      <c r="LHB49" s="255"/>
      <c r="LHC49" s="255"/>
      <c r="LHD49" s="255"/>
      <c r="LHE49" s="255"/>
      <c r="LHF49" s="255"/>
      <c r="LHG49" s="255"/>
      <c r="LHH49" s="255"/>
      <c r="LHI49" s="255"/>
      <c r="LHJ49" s="255"/>
      <c r="LHK49" s="255"/>
      <c r="LHL49" s="255"/>
      <c r="LHM49" s="255"/>
      <c r="LHN49" s="255"/>
      <c r="LHO49" s="255"/>
      <c r="LHP49" s="255"/>
      <c r="LHQ49" s="255"/>
      <c r="LHR49" s="255"/>
      <c r="LHS49" s="255"/>
      <c r="LHT49" s="255"/>
      <c r="LHU49" s="255"/>
      <c r="LHV49" s="255"/>
      <c r="LHW49" s="255"/>
      <c r="LHX49" s="255"/>
      <c r="LHY49" s="255"/>
      <c r="LHZ49" s="255"/>
      <c r="LIA49" s="255"/>
      <c r="LIB49" s="255"/>
      <c r="LIC49" s="255"/>
      <c r="LID49" s="255"/>
      <c r="LIE49" s="255"/>
      <c r="LIF49" s="255"/>
      <c r="LIG49" s="255"/>
      <c r="LIH49" s="255"/>
      <c r="LII49" s="255"/>
      <c r="LIJ49" s="255"/>
      <c r="LIK49" s="255"/>
      <c r="LIL49" s="255"/>
      <c r="LIM49" s="255"/>
      <c r="LIN49" s="255"/>
      <c r="LIO49" s="255"/>
      <c r="LIP49" s="255"/>
      <c r="LIQ49" s="255"/>
      <c r="LIR49" s="255"/>
      <c r="LIS49" s="255"/>
      <c r="LIT49" s="255"/>
      <c r="LIU49" s="255"/>
      <c r="LIV49" s="255"/>
      <c r="LIW49" s="255"/>
      <c r="LIX49" s="255"/>
      <c r="LIY49" s="255"/>
      <c r="LIZ49" s="255"/>
      <c r="LJA49" s="255"/>
      <c r="LJB49" s="255"/>
      <c r="LJC49" s="255"/>
      <c r="LJD49" s="255"/>
      <c r="LJE49" s="255"/>
      <c r="LJF49" s="255"/>
      <c r="LJG49" s="255"/>
      <c r="LJH49" s="255"/>
      <c r="LJI49" s="255"/>
      <c r="LJJ49" s="255"/>
      <c r="LJK49" s="255"/>
      <c r="LJL49" s="255"/>
      <c r="LJM49" s="255"/>
      <c r="LJN49" s="255"/>
      <c r="LJO49" s="255"/>
      <c r="LJP49" s="255"/>
      <c r="LJQ49" s="255"/>
      <c r="LJR49" s="255"/>
      <c r="LJS49" s="255"/>
      <c r="LJT49" s="255"/>
      <c r="LJU49" s="255"/>
      <c r="LJV49" s="255"/>
      <c r="LJW49" s="255"/>
      <c r="LJX49" s="255"/>
      <c r="LJY49" s="255"/>
      <c r="LJZ49" s="255"/>
      <c r="LKA49" s="255"/>
      <c r="LKB49" s="255"/>
      <c r="LKC49" s="255"/>
      <c r="LKD49" s="255"/>
      <c r="LKE49" s="255"/>
      <c r="LKF49" s="255"/>
      <c r="LKG49" s="255"/>
      <c r="LKH49" s="255"/>
      <c r="LKI49" s="255"/>
      <c r="LKJ49" s="255"/>
      <c r="LKK49" s="255"/>
      <c r="LKL49" s="255"/>
      <c r="LKM49" s="255"/>
      <c r="LKN49" s="255"/>
      <c r="LKO49" s="255"/>
      <c r="LKP49" s="255"/>
      <c r="LKQ49" s="255"/>
      <c r="LKR49" s="255"/>
      <c r="LKS49" s="255"/>
      <c r="LKT49" s="255"/>
      <c r="LKU49" s="255"/>
      <c r="LKV49" s="255"/>
      <c r="LKW49" s="255"/>
      <c r="LKX49" s="255"/>
      <c r="LKY49" s="255"/>
      <c r="LKZ49" s="255"/>
      <c r="LLA49" s="255"/>
      <c r="LLB49" s="255"/>
      <c r="LLC49" s="255"/>
      <c r="LLD49" s="255"/>
      <c r="LLE49" s="255"/>
      <c r="LLF49" s="255"/>
      <c r="LLG49" s="255"/>
      <c r="LLH49" s="255"/>
      <c r="LLI49" s="255"/>
      <c r="LLJ49" s="255"/>
      <c r="LLK49" s="255"/>
      <c r="LLL49" s="255"/>
      <c r="LLM49" s="255"/>
      <c r="LLN49" s="255"/>
      <c r="LLO49" s="255"/>
      <c r="LLP49" s="255"/>
      <c r="LLQ49" s="255"/>
      <c r="LLR49" s="255"/>
      <c r="LLS49" s="255"/>
      <c r="LLT49" s="255"/>
      <c r="LLU49" s="255"/>
      <c r="LLV49" s="255"/>
      <c r="LLW49" s="255"/>
      <c r="LLX49" s="255"/>
      <c r="LLY49" s="255"/>
      <c r="LLZ49" s="255"/>
      <c r="LMA49" s="255"/>
      <c r="LMB49" s="255"/>
      <c r="LMC49" s="255"/>
      <c r="LMD49" s="255"/>
      <c r="LME49" s="255"/>
      <c r="LMF49" s="255"/>
      <c r="LMG49" s="255"/>
      <c r="LMH49" s="255"/>
      <c r="LMI49" s="255"/>
      <c r="LMJ49" s="255"/>
      <c r="LMK49" s="255"/>
      <c r="LML49" s="255"/>
      <c r="LMM49" s="255"/>
      <c r="LMN49" s="255"/>
      <c r="LMO49" s="255"/>
      <c r="LMP49" s="255"/>
      <c r="LMQ49" s="255"/>
      <c r="LMR49" s="255"/>
      <c r="LMS49" s="255"/>
      <c r="LMT49" s="255"/>
      <c r="LMU49" s="255"/>
      <c r="LMV49" s="255"/>
      <c r="LMW49" s="255"/>
      <c r="LMX49" s="255"/>
      <c r="LMY49" s="255"/>
      <c r="LMZ49" s="255"/>
      <c r="LNA49" s="255"/>
      <c r="LNB49" s="255"/>
      <c r="LNC49" s="255"/>
      <c r="LND49" s="255"/>
      <c r="LNE49" s="255"/>
      <c r="LNF49" s="255"/>
      <c r="LNG49" s="255"/>
      <c r="LNH49" s="255"/>
      <c r="LNI49" s="255"/>
      <c r="LNJ49" s="255"/>
      <c r="LNK49" s="255"/>
      <c r="LNL49" s="255"/>
      <c r="LNM49" s="255"/>
      <c r="LNN49" s="255"/>
      <c r="LNO49" s="255"/>
      <c r="LNP49" s="255"/>
      <c r="LNQ49" s="255"/>
      <c r="LNR49" s="255"/>
      <c r="LNS49" s="255"/>
      <c r="LNT49" s="255"/>
      <c r="LNU49" s="255"/>
      <c r="LNV49" s="255"/>
      <c r="LNW49" s="255"/>
      <c r="LNX49" s="255"/>
      <c r="LNY49" s="255"/>
      <c r="LNZ49" s="255"/>
      <c r="LOA49" s="255"/>
      <c r="LOB49" s="255"/>
      <c r="LOC49" s="255"/>
      <c r="LOD49" s="255"/>
      <c r="LOE49" s="255"/>
      <c r="LOF49" s="255"/>
      <c r="LOG49" s="255"/>
      <c r="LOH49" s="255"/>
      <c r="LOI49" s="255"/>
      <c r="LOJ49" s="255"/>
      <c r="LOK49" s="255"/>
      <c r="LOL49" s="255"/>
      <c r="LOM49" s="255"/>
      <c r="LON49" s="255"/>
      <c r="LOO49" s="255"/>
      <c r="LOP49" s="255"/>
      <c r="LOQ49" s="255"/>
      <c r="LOR49" s="255"/>
      <c r="LOS49" s="255"/>
      <c r="LOT49" s="255"/>
      <c r="LOU49" s="255"/>
      <c r="LOV49" s="255"/>
      <c r="LOW49" s="255"/>
      <c r="LOX49" s="255"/>
      <c r="LOY49" s="255"/>
      <c r="LOZ49" s="255"/>
      <c r="LPA49" s="255"/>
      <c r="LPB49" s="255"/>
      <c r="LPC49" s="255"/>
      <c r="LPD49" s="255"/>
      <c r="LPE49" s="255"/>
      <c r="LPF49" s="255"/>
      <c r="LPG49" s="255"/>
      <c r="LPH49" s="255"/>
      <c r="LPI49" s="255"/>
      <c r="LPJ49" s="255"/>
      <c r="LPK49" s="255"/>
      <c r="LPL49" s="255"/>
      <c r="LPM49" s="255"/>
      <c r="LPN49" s="255"/>
      <c r="LPO49" s="255"/>
      <c r="LPP49" s="255"/>
      <c r="LPQ49" s="255"/>
      <c r="LPR49" s="255"/>
      <c r="LPS49" s="255"/>
      <c r="LPT49" s="255"/>
      <c r="LPU49" s="255"/>
      <c r="LPV49" s="255"/>
      <c r="LPW49" s="255"/>
      <c r="LPX49" s="255"/>
      <c r="LPY49" s="255"/>
      <c r="LPZ49" s="255"/>
      <c r="LQA49" s="255"/>
      <c r="LQB49" s="255"/>
      <c r="LQC49" s="255"/>
      <c r="LQD49" s="255"/>
      <c r="LQE49" s="255"/>
      <c r="LQF49" s="255"/>
      <c r="LQG49" s="255"/>
      <c r="LQH49" s="255"/>
      <c r="LQI49" s="255"/>
      <c r="LQJ49" s="255"/>
      <c r="LQK49" s="255"/>
      <c r="LQL49" s="255"/>
      <c r="LQM49" s="255"/>
      <c r="LQN49" s="255"/>
      <c r="LQO49" s="255"/>
      <c r="LQP49" s="255"/>
      <c r="LQQ49" s="255"/>
      <c r="LQR49" s="255"/>
      <c r="LQS49" s="255"/>
      <c r="LQT49" s="255"/>
      <c r="LQU49" s="255"/>
      <c r="LQV49" s="255"/>
      <c r="LQW49" s="255"/>
      <c r="LQX49" s="255"/>
      <c r="LQY49" s="255"/>
      <c r="LQZ49" s="255"/>
      <c r="LRA49" s="255"/>
      <c r="LRB49" s="255"/>
      <c r="LRC49" s="255"/>
      <c r="LRD49" s="255"/>
      <c r="LRE49" s="255"/>
      <c r="LRF49" s="255"/>
      <c r="LRG49" s="255"/>
      <c r="LRH49" s="255"/>
      <c r="LRI49" s="255"/>
      <c r="LRJ49" s="255"/>
      <c r="LRK49" s="255"/>
      <c r="LRL49" s="255"/>
      <c r="LRM49" s="255"/>
      <c r="LRN49" s="255"/>
      <c r="LRO49" s="255"/>
      <c r="LRP49" s="255"/>
      <c r="LRQ49" s="255"/>
      <c r="LRR49" s="255"/>
      <c r="LRS49" s="255"/>
      <c r="LRT49" s="255"/>
      <c r="LRU49" s="255"/>
      <c r="LRV49" s="255"/>
      <c r="LRW49" s="255"/>
      <c r="LRX49" s="255"/>
      <c r="LRY49" s="255"/>
      <c r="LRZ49" s="255"/>
      <c r="LSA49" s="255"/>
      <c r="LSB49" s="255"/>
      <c r="LSC49" s="255"/>
      <c r="LSD49" s="255"/>
      <c r="LSE49" s="255"/>
      <c r="LSF49" s="255"/>
      <c r="LSG49" s="255"/>
      <c r="LSH49" s="255"/>
      <c r="LSI49" s="255"/>
      <c r="LSJ49" s="255"/>
      <c r="LSK49" s="255"/>
      <c r="LSL49" s="255"/>
      <c r="LSM49" s="255"/>
      <c r="LSN49" s="255"/>
      <c r="LSO49" s="255"/>
      <c r="LSP49" s="255"/>
      <c r="LSQ49" s="255"/>
      <c r="LSR49" s="255"/>
      <c r="LSS49" s="255"/>
      <c r="LST49" s="255"/>
      <c r="LSU49" s="255"/>
      <c r="LSV49" s="255"/>
      <c r="LSW49" s="255"/>
      <c r="LSX49" s="255"/>
      <c r="LSY49" s="255"/>
      <c r="LSZ49" s="255"/>
      <c r="LTA49" s="255"/>
      <c r="LTB49" s="255"/>
      <c r="LTC49" s="255"/>
      <c r="LTD49" s="255"/>
      <c r="LTE49" s="255"/>
      <c r="LTF49" s="255"/>
      <c r="LTG49" s="255"/>
      <c r="LTH49" s="255"/>
      <c r="LTI49" s="255"/>
      <c r="LTJ49" s="255"/>
      <c r="LTK49" s="255"/>
      <c r="LTL49" s="255"/>
      <c r="LTM49" s="255"/>
      <c r="LTN49" s="255"/>
      <c r="LTO49" s="255"/>
      <c r="LTP49" s="255"/>
      <c r="LTQ49" s="255"/>
      <c r="LTR49" s="255"/>
      <c r="LTS49" s="255"/>
      <c r="LTT49" s="255"/>
      <c r="LTU49" s="255"/>
      <c r="LTV49" s="255"/>
      <c r="LTW49" s="255"/>
      <c r="LTX49" s="255"/>
      <c r="LTY49" s="255"/>
      <c r="LTZ49" s="255"/>
      <c r="LUA49" s="255"/>
      <c r="LUB49" s="255"/>
      <c r="LUC49" s="255"/>
      <c r="LUD49" s="255"/>
      <c r="LUE49" s="255"/>
      <c r="LUF49" s="255"/>
      <c r="LUG49" s="255"/>
      <c r="LUH49" s="255"/>
      <c r="LUI49" s="255"/>
      <c r="LUJ49" s="255"/>
      <c r="LUK49" s="255"/>
      <c r="LUL49" s="255"/>
      <c r="LUM49" s="255"/>
      <c r="LUN49" s="255"/>
      <c r="LUO49" s="255"/>
      <c r="LUP49" s="255"/>
      <c r="LUQ49" s="255"/>
      <c r="LUR49" s="255"/>
      <c r="LUS49" s="255"/>
      <c r="LUT49" s="255"/>
      <c r="LUU49" s="255"/>
      <c r="LUV49" s="255"/>
      <c r="LUW49" s="255"/>
      <c r="LUX49" s="255"/>
      <c r="LUY49" s="255"/>
      <c r="LUZ49" s="255"/>
      <c r="LVA49" s="255"/>
      <c r="LVB49" s="255"/>
      <c r="LVC49" s="255"/>
      <c r="LVD49" s="255"/>
      <c r="LVE49" s="255"/>
      <c r="LVF49" s="255"/>
      <c r="LVG49" s="255"/>
      <c r="LVH49" s="255"/>
      <c r="LVI49" s="255"/>
      <c r="LVJ49" s="255"/>
      <c r="LVK49" s="255"/>
      <c r="LVL49" s="255"/>
      <c r="LVM49" s="255"/>
      <c r="LVN49" s="255"/>
      <c r="LVO49" s="255"/>
      <c r="LVP49" s="255"/>
      <c r="LVQ49" s="255"/>
      <c r="LVR49" s="255"/>
      <c r="LVS49" s="255"/>
      <c r="LVT49" s="255"/>
      <c r="LVU49" s="255"/>
      <c r="LVV49" s="255"/>
      <c r="LVW49" s="255"/>
      <c r="LVX49" s="255"/>
      <c r="LVY49" s="255"/>
      <c r="LVZ49" s="255"/>
      <c r="LWA49" s="255"/>
      <c r="LWB49" s="255"/>
      <c r="LWC49" s="255"/>
      <c r="LWD49" s="255"/>
      <c r="LWE49" s="255"/>
      <c r="LWF49" s="255"/>
      <c r="LWG49" s="255"/>
      <c r="LWH49" s="255"/>
      <c r="LWI49" s="255"/>
      <c r="LWJ49" s="255"/>
      <c r="LWK49" s="255"/>
      <c r="LWL49" s="255"/>
      <c r="LWM49" s="255"/>
      <c r="LWN49" s="255"/>
      <c r="LWO49" s="255"/>
      <c r="LWP49" s="255"/>
      <c r="LWQ49" s="255"/>
      <c r="LWR49" s="255"/>
      <c r="LWS49" s="255"/>
      <c r="LWT49" s="255"/>
      <c r="LWU49" s="255"/>
      <c r="LWV49" s="255"/>
      <c r="LWW49" s="255"/>
      <c r="LWX49" s="255"/>
      <c r="LWY49" s="255"/>
      <c r="LWZ49" s="255"/>
      <c r="LXA49" s="255"/>
      <c r="LXB49" s="255"/>
      <c r="LXC49" s="255"/>
      <c r="LXD49" s="255"/>
      <c r="LXE49" s="255"/>
      <c r="LXF49" s="255"/>
      <c r="LXG49" s="255"/>
      <c r="LXH49" s="255"/>
      <c r="LXI49" s="255"/>
      <c r="LXJ49" s="255"/>
      <c r="LXK49" s="255"/>
      <c r="LXL49" s="255"/>
      <c r="LXM49" s="255"/>
      <c r="LXN49" s="255"/>
      <c r="LXO49" s="255"/>
      <c r="LXP49" s="255"/>
      <c r="LXQ49" s="255"/>
      <c r="LXR49" s="255"/>
      <c r="LXS49" s="255"/>
      <c r="LXT49" s="255"/>
      <c r="LXU49" s="255"/>
      <c r="LXV49" s="255"/>
      <c r="LXW49" s="255"/>
      <c r="LXX49" s="255"/>
      <c r="LXY49" s="255"/>
      <c r="LXZ49" s="255"/>
      <c r="LYA49" s="255"/>
      <c r="LYB49" s="255"/>
      <c r="LYC49" s="255"/>
      <c r="LYD49" s="255"/>
      <c r="LYE49" s="255"/>
      <c r="LYF49" s="255"/>
      <c r="LYG49" s="255"/>
      <c r="LYH49" s="255"/>
      <c r="LYI49" s="255"/>
      <c r="LYJ49" s="255"/>
      <c r="LYK49" s="255"/>
      <c r="LYL49" s="255"/>
      <c r="LYM49" s="255"/>
      <c r="LYN49" s="255"/>
      <c r="LYO49" s="255"/>
      <c r="LYP49" s="255"/>
      <c r="LYQ49" s="255"/>
      <c r="LYR49" s="255"/>
      <c r="LYS49" s="255"/>
      <c r="LYT49" s="255"/>
      <c r="LYU49" s="255"/>
      <c r="LYV49" s="255"/>
      <c r="LYW49" s="255"/>
      <c r="LYX49" s="255"/>
      <c r="LYY49" s="255"/>
      <c r="LYZ49" s="255"/>
      <c r="LZA49" s="255"/>
      <c r="LZB49" s="255"/>
      <c r="LZC49" s="255"/>
      <c r="LZD49" s="255"/>
      <c r="LZE49" s="255"/>
      <c r="LZF49" s="255"/>
      <c r="LZG49" s="255"/>
      <c r="LZH49" s="255"/>
      <c r="LZI49" s="255"/>
      <c r="LZJ49" s="255"/>
      <c r="LZK49" s="255"/>
      <c r="LZL49" s="255"/>
      <c r="LZM49" s="255"/>
      <c r="LZN49" s="255"/>
      <c r="LZO49" s="255"/>
      <c r="LZP49" s="255"/>
      <c r="LZQ49" s="255"/>
      <c r="LZR49" s="255"/>
      <c r="LZS49" s="255"/>
      <c r="LZT49" s="255"/>
      <c r="LZU49" s="255"/>
      <c r="LZV49" s="255"/>
      <c r="LZW49" s="255"/>
      <c r="LZX49" s="255"/>
      <c r="LZY49" s="255"/>
      <c r="LZZ49" s="255"/>
      <c r="MAA49" s="255"/>
      <c r="MAB49" s="255"/>
      <c r="MAC49" s="255"/>
      <c r="MAD49" s="255"/>
      <c r="MAE49" s="255"/>
      <c r="MAF49" s="255"/>
      <c r="MAG49" s="255"/>
      <c r="MAH49" s="255"/>
      <c r="MAI49" s="255"/>
      <c r="MAJ49" s="255"/>
      <c r="MAK49" s="255"/>
      <c r="MAL49" s="255"/>
      <c r="MAM49" s="255"/>
      <c r="MAN49" s="255"/>
      <c r="MAO49" s="255"/>
      <c r="MAP49" s="255"/>
      <c r="MAQ49" s="255"/>
      <c r="MAR49" s="255"/>
      <c r="MAS49" s="255"/>
      <c r="MAT49" s="255"/>
      <c r="MAU49" s="255"/>
      <c r="MAV49" s="255"/>
      <c r="MAW49" s="255"/>
      <c r="MAX49" s="255"/>
      <c r="MAY49" s="255"/>
      <c r="MAZ49" s="255"/>
      <c r="MBA49" s="255"/>
      <c r="MBB49" s="255"/>
      <c r="MBC49" s="255"/>
      <c r="MBD49" s="255"/>
      <c r="MBE49" s="255"/>
      <c r="MBF49" s="255"/>
      <c r="MBG49" s="255"/>
      <c r="MBH49" s="255"/>
      <c r="MBI49" s="255"/>
      <c r="MBJ49" s="255"/>
      <c r="MBK49" s="255"/>
      <c r="MBL49" s="255"/>
      <c r="MBM49" s="255"/>
      <c r="MBN49" s="255"/>
      <c r="MBO49" s="255"/>
      <c r="MBP49" s="255"/>
      <c r="MBQ49" s="255"/>
      <c r="MBR49" s="255"/>
      <c r="MBS49" s="255"/>
      <c r="MBT49" s="255"/>
      <c r="MBU49" s="255"/>
      <c r="MBV49" s="255"/>
      <c r="MBW49" s="255"/>
      <c r="MBX49" s="255"/>
      <c r="MBY49" s="255"/>
      <c r="MBZ49" s="255"/>
      <c r="MCA49" s="255"/>
      <c r="MCB49" s="255"/>
      <c r="MCC49" s="255"/>
      <c r="MCD49" s="255"/>
      <c r="MCE49" s="255"/>
      <c r="MCF49" s="255"/>
      <c r="MCG49" s="255"/>
      <c r="MCH49" s="255"/>
      <c r="MCI49" s="255"/>
      <c r="MCJ49" s="255"/>
      <c r="MCK49" s="255"/>
      <c r="MCL49" s="255"/>
      <c r="MCM49" s="255"/>
      <c r="MCN49" s="255"/>
      <c r="MCO49" s="255"/>
      <c r="MCP49" s="255"/>
      <c r="MCQ49" s="255"/>
      <c r="MCR49" s="255"/>
      <c r="MCS49" s="255"/>
      <c r="MCT49" s="255"/>
      <c r="MCU49" s="255"/>
      <c r="MCV49" s="255"/>
      <c r="MCW49" s="255"/>
      <c r="MCX49" s="255"/>
      <c r="MCY49" s="255"/>
      <c r="MCZ49" s="255"/>
      <c r="MDA49" s="255"/>
      <c r="MDB49" s="255"/>
      <c r="MDC49" s="255"/>
      <c r="MDD49" s="255"/>
      <c r="MDE49" s="255"/>
      <c r="MDF49" s="255"/>
      <c r="MDG49" s="255"/>
      <c r="MDH49" s="255"/>
      <c r="MDI49" s="255"/>
      <c r="MDJ49" s="255"/>
      <c r="MDK49" s="255"/>
      <c r="MDL49" s="255"/>
      <c r="MDM49" s="255"/>
      <c r="MDN49" s="255"/>
      <c r="MDO49" s="255"/>
      <c r="MDP49" s="255"/>
      <c r="MDQ49" s="255"/>
      <c r="MDR49" s="255"/>
      <c r="MDS49" s="255"/>
      <c r="MDT49" s="255"/>
      <c r="MDU49" s="255"/>
      <c r="MDV49" s="255"/>
      <c r="MDW49" s="255"/>
      <c r="MDX49" s="255"/>
      <c r="MDY49" s="255"/>
      <c r="MDZ49" s="255"/>
      <c r="MEA49" s="255"/>
      <c r="MEB49" s="255"/>
      <c r="MEC49" s="255"/>
      <c r="MED49" s="255"/>
      <c r="MEE49" s="255"/>
      <c r="MEF49" s="255"/>
      <c r="MEG49" s="255"/>
      <c r="MEH49" s="255"/>
      <c r="MEI49" s="255"/>
      <c r="MEJ49" s="255"/>
      <c r="MEK49" s="255"/>
      <c r="MEL49" s="255"/>
      <c r="MEM49" s="255"/>
      <c r="MEN49" s="255"/>
      <c r="MEO49" s="255"/>
      <c r="MEP49" s="255"/>
      <c r="MEQ49" s="255"/>
      <c r="MER49" s="255"/>
      <c r="MES49" s="255"/>
      <c r="MET49" s="255"/>
      <c r="MEU49" s="255"/>
      <c r="MEV49" s="255"/>
      <c r="MEW49" s="255"/>
      <c r="MEX49" s="255"/>
      <c r="MEY49" s="255"/>
      <c r="MEZ49" s="255"/>
      <c r="MFA49" s="255"/>
      <c r="MFB49" s="255"/>
      <c r="MFC49" s="255"/>
      <c r="MFD49" s="255"/>
      <c r="MFE49" s="255"/>
      <c r="MFF49" s="255"/>
      <c r="MFG49" s="255"/>
      <c r="MFH49" s="255"/>
      <c r="MFI49" s="255"/>
      <c r="MFJ49" s="255"/>
      <c r="MFK49" s="255"/>
      <c r="MFL49" s="255"/>
      <c r="MFM49" s="255"/>
      <c r="MFN49" s="255"/>
      <c r="MFO49" s="255"/>
      <c r="MFP49" s="255"/>
      <c r="MFQ49" s="255"/>
      <c r="MFR49" s="255"/>
      <c r="MFS49" s="255"/>
      <c r="MFT49" s="255"/>
      <c r="MFU49" s="255"/>
      <c r="MFV49" s="255"/>
      <c r="MFW49" s="255"/>
      <c r="MFX49" s="255"/>
      <c r="MFY49" s="255"/>
      <c r="MFZ49" s="255"/>
      <c r="MGA49" s="255"/>
      <c r="MGB49" s="255"/>
      <c r="MGC49" s="255"/>
      <c r="MGD49" s="255"/>
      <c r="MGE49" s="255"/>
      <c r="MGF49" s="255"/>
      <c r="MGG49" s="255"/>
      <c r="MGH49" s="255"/>
      <c r="MGI49" s="255"/>
      <c r="MGJ49" s="255"/>
      <c r="MGK49" s="255"/>
      <c r="MGL49" s="255"/>
      <c r="MGM49" s="255"/>
      <c r="MGN49" s="255"/>
      <c r="MGO49" s="255"/>
      <c r="MGP49" s="255"/>
      <c r="MGQ49" s="255"/>
      <c r="MGR49" s="255"/>
      <c r="MGS49" s="255"/>
      <c r="MGT49" s="255"/>
      <c r="MGU49" s="255"/>
      <c r="MGV49" s="255"/>
      <c r="MGW49" s="255"/>
      <c r="MGX49" s="255"/>
      <c r="MGY49" s="255"/>
      <c r="MGZ49" s="255"/>
      <c r="MHA49" s="255"/>
      <c r="MHB49" s="255"/>
      <c r="MHC49" s="255"/>
      <c r="MHD49" s="255"/>
      <c r="MHE49" s="255"/>
      <c r="MHF49" s="255"/>
      <c r="MHG49" s="255"/>
      <c r="MHH49" s="255"/>
      <c r="MHI49" s="255"/>
      <c r="MHJ49" s="255"/>
      <c r="MHK49" s="255"/>
      <c r="MHL49" s="255"/>
      <c r="MHM49" s="255"/>
      <c r="MHN49" s="255"/>
      <c r="MHO49" s="255"/>
      <c r="MHP49" s="255"/>
      <c r="MHQ49" s="255"/>
      <c r="MHR49" s="255"/>
      <c r="MHS49" s="255"/>
      <c r="MHT49" s="255"/>
      <c r="MHU49" s="255"/>
      <c r="MHV49" s="255"/>
      <c r="MHW49" s="255"/>
      <c r="MHX49" s="255"/>
      <c r="MHY49" s="255"/>
      <c r="MHZ49" s="255"/>
      <c r="MIA49" s="255"/>
      <c r="MIB49" s="255"/>
      <c r="MIC49" s="255"/>
      <c r="MID49" s="255"/>
      <c r="MIE49" s="255"/>
      <c r="MIF49" s="255"/>
      <c r="MIG49" s="255"/>
      <c r="MIH49" s="255"/>
      <c r="MII49" s="255"/>
      <c r="MIJ49" s="255"/>
      <c r="MIK49" s="255"/>
      <c r="MIL49" s="255"/>
      <c r="MIM49" s="255"/>
      <c r="MIN49" s="255"/>
      <c r="MIO49" s="255"/>
      <c r="MIP49" s="255"/>
      <c r="MIQ49" s="255"/>
      <c r="MIR49" s="255"/>
      <c r="MIS49" s="255"/>
      <c r="MIT49" s="255"/>
      <c r="MIU49" s="255"/>
      <c r="MIV49" s="255"/>
      <c r="MIW49" s="255"/>
      <c r="MIX49" s="255"/>
      <c r="MIY49" s="255"/>
      <c r="MIZ49" s="255"/>
      <c r="MJA49" s="255"/>
      <c r="MJB49" s="255"/>
      <c r="MJC49" s="255"/>
      <c r="MJD49" s="255"/>
      <c r="MJE49" s="255"/>
      <c r="MJF49" s="255"/>
      <c r="MJG49" s="255"/>
      <c r="MJH49" s="255"/>
      <c r="MJI49" s="255"/>
      <c r="MJJ49" s="255"/>
      <c r="MJK49" s="255"/>
      <c r="MJL49" s="255"/>
      <c r="MJM49" s="255"/>
      <c r="MJN49" s="255"/>
      <c r="MJO49" s="255"/>
      <c r="MJP49" s="255"/>
      <c r="MJQ49" s="255"/>
      <c r="MJR49" s="255"/>
      <c r="MJS49" s="255"/>
      <c r="MJT49" s="255"/>
      <c r="MJU49" s="255"/>
      <c r="MJV49" s="255"/>
      <c r="MJW49" s="255"/>
      <c r="MJX49" s="255"/>
      <c r="MJY49" s="255"/>
      <c r="MJZ49" s="255"/>
      <c r="MKA49" s="255"/>
      <c r="MKB49" s="255"/>
      <c r="MKC49" s="255"/>
      <c r="MKD49" s="255"/>
      <c r="MKE49" s="255"/>
      <c r="MKF49" s="255"/>
      <c r="MKG49" s="255"/>
      <c r="MKH49" s="255"/>
      <c r="MKI49" s="255"/>
      <c r="MKJ49" s="255"/>
      <c r="MKK49" s="255"/>
      <c r="MKL49" s="255"/>
      <c r="MKM49" s="255"/>
      <c r="MKN49" s="255"/>
      <c r="MKO49" s="255"/>
      <c r="MKP49" s="255"/>
      <c r="MKQ49" s="255"/>
      <c r="MKR49" s="255"/>
      <c r="MKS49" s="255"/>
      <c r="MKT49" s="255"/>
      <c r="MKU49" s="255"/>
      <c r="MKV49" s="255"/>
      <c r="MKW49" s="255"/>
      <c r="MKX49" s="255"/>
      <c r="MKY49" s="255"/>
      <c r="MKZ49" s="255"/>
      <c r="MLA49" s="255"/>
      <c r="MLB49" s="255"/>
      <c r="MLC49" s="255"/>
      <c r="MLD49" s="255"/>
      <c r="MLE49" s="255"/>
      <c r="MLF49" s="255"/>
      <c r="MLG49" s="255"/>
      <c r="MLH49" s="255"/>
      <c r="MLI49" s="255"/>
      <c r="MLJ49" s="255"/>
      <c r="MLK49" s="255"/>
      <c r="MLL49" s="255"/>
      <c r="MLM49" s="255"/>
      <c r="MLN49" s="255"/>
      <c r="MLO49" s="255"/>
      <c r="MLP49" s="255"/>
      <c r="MLQ49" s="255"/>
      <c r="MLR49" s="255"/>
      <c r="MLS49" s="255"/>
      <c r="MLT49" s="255"/>
      <c r="MLU49" s="255"/>
      <c r="MLV49" s="255"/>
      <c r="MLW49" s="255"/>
      <c r="MLX49" s="255"/>
      <c r="MLY49" s="255"/>
      <c r="MLZ49" s="255"/>
      <c r="MMA49" s="255"/>
      <c r="MMB49" s="255"/>
      <c r="MMC49" s="255"/>
      <c r="MMD49" s="255"/>
      <c r="MME49" s="255"/>
      <c r="MMF49" s="255"/>
      <c r="MMG49" s="255"/>
      <c r="MMH49" s="255"/>
      <c r="MMI49" s="255"/>
      <c r="MMJ49" s="255"/>
      <c r="MMK49" s="255"/>
      <c r="MML49" s="255"/>
      <c r="MMM49" s="255"/>
      <c r="MMN49" s="255"/>
      <c r="MMO49" s="255"/>
      <c r="MMP49" s="255"/>
      <c r="MMQ49" s="255"/>
      <c r="MMR49" s="255"/>
      <c r="MMS49" s="255"/>
      <c r="MMT49" s="255"/>
      <c r="MMU49" s="255"/>
      <c r="MMV49" s="255"/>
      <c r="MMW49" s="255"/>
      <c r="MMX49" s="255"/>
      <c r="MMY49" s="255"/>
      <c r="MMZ49" s="255"/>
      <c r="MNA49" s="255"/>
      <c r="MNB49" s="255"/>
      <c r="MNC49" s="255"/>
      <c r="MND49" s="255"/>
      <c r="MNE49" s="255"/>
      <c r="MNF49" s="255"/>
      <c r="MNG49" s="255"/>
      <c r="MNH49" s="255"/>
      <c r="MNI49" s="255"/>
      <c r="MNJ49" s="255"/>
      <c r="MNK49" s="255"/>
      <c r="MNL49" s="255"/>
      <c r="MNM49" s="255"/>
      <c r="MNN49" s="255"/>
      <c r="MNO49" s="255"/>
      <c r="MNP49" s="255"/>
      <c r="MNQ49" s="255"/>
      <c r="MNR49" s="255"/>
      <c r="MNS49" s="255"/>
      <c r="MNT49" s="255"/>
      <c r="MNU49" s="255"/>
      <c r="MNV49" s="255"/>
      <c r="MNW49" s="255"/>
      <c r="MNX49" s="255"/>
      <c r="MNY49" s="255"/>
      <c r="MNZ49" s="255"/>
      <c r="MOA49" s="255"/>
      <c r="MOB49" s="255"/>
      <c r="MOC49" s="255"/>
      <c r="MOD49" s="255"/>
      <c r="MOE49" s="255"/>
      <c r="MOF49" s="255"/>
      <c r="MOG49" s="255"/>
      <c r="MOH49" s="255"/>
      <c r="MOI49" s="255"/>
      <c r="MOJ49" s="255"/>
      <c r="MOK49" s="255"/>
      <c r="MOL49" s="255"/>
      <c r="MOM49" s="255"/>
      <c r="MON49" s="255"/>
      <c r="MOO49" s="255"/>
      <c r="MOP49" s="255"/>
      <c r="MOQ49" s="255"/>
      <c r="MOR49" s="255"/>
      <c r="MOS49" s="255"/>
      <c r="MOT49" s="255"/>
      <c r="MOU49" s="255"/>
      <c r="MOV49" s="255"/>
      <c r="MOW49" s="255"/>
      <c r="MOX49" s="255"/>
      <c r="MOY49" s="255"/>
      <c r="MOZ49" s="255"/>
      <c r="MPA49" s="255"/>
      <c r="MPB49" s="255"/>
      <c r="MPC49" s="255"/>
      <c r="MPD49" s="255"/>
      <c r="MPE49" s="255"/>
      <c r="MPF49" s="255"/>
      <c r="MPG49" s="255"/>
      <c r="MPH49" s="255"/>
      <c r="MPI49" s="255"/>
      <c r="MPJ49" s="255"/>
      <c r="MPK49" s="255"/>
      <c r="MPL49" s="255"/>
      <c r="MPM49" s="255"/>
      <c r="MPN49" s="255"/>
      <c r="MPO49" s="255"/>
      <c r="MPP49" s="255"/>
      <c r="MPQ49" s="255"/>
      <c r="MPR49" s="255"/>
      <c r="MPS49" s="255"/>
      <c r="MPT49" s="255"/>
      <c r="MPU49" s="255"/>
      <c r="MPV49" s="255"/>
      <c r="MPW49" s="255"/>
      <c r="MPX49" s="255"/>
      <c r="MPY49" s="255"/>
      <c r="MPZ49" s="255"/>
      <c r="MQA49" s="255"/>
      <c r="MQB49" s="255"/>
      <c r="MQC49" s="255"/>
      <c r="MQD49" s="255"/>
      <c r="MQE49" s="255"/>
      <c r="MQF49" s="255"/>
      <c r="MQG49" s="255"/>
      <c r="MQH49" s="255"/>
      <c r="MQI49" s="255"/>
      <c r="MQJ49" s="255"/>
      <c r="MQK49" s="255"/>
      <c r="MQL49" s="255"/>
      <c r="MQM49" s="255"/>
      <c r="MQN49" s="255"/>
      <c r="MQO49" s="255"/>
      <c r="MQP49" s="255"/>
      <c r="MQQ49" s="255"/>
      <c r="MQR49" s="255"/>
      <c r="MQS49" s="255"/>
      <c r="MQT49" s="255"/>
      <c r="MQU49" s="255"/>
      <c r="MQV49" s="255"/>
      <c r="MQW49" s="255"/>
      <c r="MQX49" s="255"/>
      <c r="MQY49" s="255"/>
      <c r="MQZ49" s="255"/>
      <c r="MRA49" s="255"/>
      <c r="MRB49" s="255"/>
      <c r="MRC49" s="255"/>
      <c r="MRD49" s="255"/>
      <c r="MRE49" s="255"/>
      <c r="MRF49" s="255"/>
      <c r="MRG49" s="255"/>
      <c r="MRH49" s="255"/>
      <c r="MRI49" s="255"/>
      <c r="MRJ49" s="255"/>
      <c r="MRK49" s="255"/>
      <c r="MRL49" s="255"/>
      <c r="MRM49" s="255"/>
      <c r="MRN49" s="255"/>
      <c r="MRO49" s="255"/>
      <c r="MRP49" s="255"/>
      <c r="MRQ49" s="255"/>
      <c r="MRR49" s="255"/>
      <c r="MRS49" s="255"/>
      <c r="MRT49" s="255"/>
      <c r="MRU49" s="255"/>
      <c r="MRV49" s="255"/>
      <c r="MRW49" s="255"/>
      <c r="MRX49" s="255"/>
      <c r="MRY49" s="255"/>
      <c r="MRZ49" s="255"/>
      <c r="MSA49" s="255"/>
      <c r="MSB49" s="255"/>
      <c r="MSC49" s="255"/>
      <c r="MSD49" s="255"/>
      <c r="MSE49" s="255"/>
      <c r="MSF49" s="255"/>
      <c r="MSG49" s="255"/>
      <c r="MSH49" s="255"/>
      <c r="MSI49" s="255"/>
      <c r="MSJ49" s="255"/>
      <c r="MSK49" s="255"/>
      <c r="MSL49" s="255"/>
      <c r="MSM49" s="255"/>
      <c r="MSN49" s="255"/>
      <c r="MSO49" s="255"/>
      <c r="MSP49" s="255"/>
      <c r="MSQ49" s="255"/>
      <c r="MSR49" s="255"/>
      <c r="MSS49" s="255"/>
      <c r="MST49" s="255"/>
      <c r="MSU49" s="255"/>
      <c r="MSV49" s="255"/>
      <c r="MSW49" s="255"/>
      <c r="MSX49" s="255"/>
      <c r="MSY49" s="255"/>
      <c r="MSZ49" s="255"/>
      <c r="MTA49" s="255"/>
      <c r="MTB49" s="255"/>
      <c r="MTC49" s="255"/>
      <c r="MTD49" s="255"/>
      <c r="MTE49" s="255"/>
      <c r="MTF49" s="255"/>
      <c r="MTG49" s="255"/>
      <c r="MTH49" s="255"/>
      <c r="MTI49" s="255"/>
      <c r="MTJ49" s="255"/>
      <c r="MTK49" s="255"/>
      <c r="MTL49" s="255"/>
      <c r="MTM49" s="255"/>
      <c r="MTN49" s="255"/>
      <c r="MTO49" s="255"/>
      <c r="MTP49" s="255"/>
      <c r="MTQ49" s="255"/>
      <c r="MTR49" s="255"/>
      <c r="MTS49" s="255"/>
      <c r="MTT49" s="255"/>
      <c r="MTU49" s="255"/>
      <c r="MTV49" s="255"/>
      <c r="MTW49" s="255"/>
      <c r="MTX49" s="255"/>
      <c r="MTY49" s="255"/>
      <c r="MTZ49" s="255"/>
      <c r="MUA49" s="255"/>
      <c r="MUB49" s="255"/>
      <c r="MUC49" s="255"/>
      <c r="MUD49" s="255"/>
      <c r="MUE49" s="255"/>
      <c r="MUF49" s="255"/>
      <c r="MUG49" s="255"/>
      <c r="MUH49" s="255"/>
      <c r="MUI49" s="255"/>
      <c r="MUJ49" s="255"/>
      <c r="MUK49" s="255"/>
      <c r="MUL49" s="255"/>
      <c r="MUM49" s="255"/>
      <c r="MUN49" s="255"/>
      <c r="MUO49" s="255"/>
      <c r="MUP49" s="255"/>
      <c r="MUQ49" s="255"/>
      <c r="MUR49" s="255"/>
      <c r="MUS49" s="255"/>
      <c r="MUT49" s="255"/>
      <c r="MUU49" s="255"/>
      <c r="MUV49" s="255"/>
      <c r="MUW49" s="255"/>
      <c r="MUX49" s="255"/>
      <c r="MUY49" s="255"/>
      <c r="MUZ49" s="255"/>
      <c r="MVA49" s="255"/>
      <c r="MVB49" s="255"/>
      <c r="MVC49" s="255"/>
      <c r="MVD49" s="255"/>
      <c r="MVE49" s="255"/>
      <c r="MVF49" s="255"/>
      <c r="MVG49" s="255"/>
      <c r="MVH49" s="255"/>
      <c r="MVI49" s="255"/>
      <c r="MVJ49" s="255"/>
      <c r="MVK49" s="255"/>
      <c r="MVL49" s="255"/>
      <c r="MVM49" s="255"/>
      <c r="MVN49" s="255"/>
      <c r="MVO49" s="255"/>
      <c r="MVP49" s="255"/>
      <c r="MVQ49" s="255"/>
      <c r="MVR49" s="255"/>
      <c r="MVS49" s="255"/>
      <c r="MVT49" s="255"/>
      <c r="MVU49" s="255"/>
      <c r="MVV49" s="255"/>
      <c r="MVW49" s="255"/>
      <c r="MVX49" s="255"/>
      <c r="MVY49" s="255"/>
      <c r="MVZ49" s="255"/>
      <c r="MWA49" s="255"/>
      <c r="MWB49" s="255"/>
      <c r="MWC49" s="255"/>
      <c r="MWD49" s="255"/>
      <c r="MWE49" s="255"/>
      <c r="MWF49" s="255"/>
      <c r="MWG49" s="255"/>
      <c r="MWH49" s="255"/>
      <c r="MWI49" s="255"/>
      <c r="MWJ49" s="255"/>
      <c r="MWK49" s="255"/>
      <c r="MWL49" s="255"/>
      <c r="MWM49" s="255"/>
      <c r="MWN49" s="255"/>
      <c r="MWO49" s="255"/>
      <c r="MWP49" s="255"/>
      <c r="MWQ49" s="255"/>
      <c r="MWR49" s="255"/>
      <c r="MWS49" s="255"/>
      <c r="MWT49" s="255"/>
      <c r="MWU49" s="255"/>
      <c r="MWV49" s="255"/>
      <c r="MWW49" s="255"/>
      <c r="MWX49" s="255"/>
      <c r="MWY49" s="255"/>
      <c r="MWZ49" s="255"/>
      <c r="MXA49" s="255"/>
      <c r="MXB49" s="255"/>
      <c r="MXC49" s="255"/>
      <c r="MXD49" s="255"/>
      <c r="MXE49" s="255"/>
      <c r="MXF49" s="255"/>
      <c r="MXG49" s="255"/>
      <c r="MXH49" s="255"/>
      <c r="MXI49" s="255"/>
      <c r="MXJ49" s="255"/>
      <c r="MXK49" s="255"/>
      <c r="MXL49" s="255"/>
      <c r="MXM49" s="255"/>
      <c r="MXN49" s="255"/>
      <c r="MXO49" s="255"/>
      <c r="MXP49" s="255"/>
      <c r="MXQ49" s="255"/>
      <c r="MXR49" s="255"/>
      <c r="MXS49" s="255"/>
      <c r="MXT49" s="255"/>
      <c r="MXU49" s="255"/>
      <c r="MXV49" s="255"/>
      <c r="MXW49" s="255"/>
      <c r="MXX49" s="255"/>
      <c r="MXY49" s="255"/>
      <c r="MXZ49" s="255"/>
      <c r="MYA49" s="255"/>
      <c r="MYB49" s="255"/>
      <c r="MYC49" s="255"/>
      <c r="MYD49" s="255"/>
      <c r="MYE49" s="255"/>
      <c r="MYF49" s="255"/>
      <c r="MYG49" s="255"/>
      <c r="MYH49" s="255"/>
      <c r="MYI49" s="255"/>
      <c r="MYJ49" s="255"/>
      <c r="MYK49" s="255"/>
      <c r="MYL49" s="255"/>
      <c r="MYM49" s="255"/>
      <c r="MYN49" s="255"/>
      <c r="MYO49" s="255"/>
      <c r="MYP49" s="255"/>
      <c r="MYQ49" s="255"/>
      <c r="MYR49" s="255"/>
      <c r="MYS49" s="255"/>
      <c r="MYT49" s="255"/>
      <c r="MYU49" s="255"/>
      <c r="MYV49" s="255"/>
      <c r="MYW49" s="255"/>
      <c r="MYX49" s="255"/>
      <c r="MYY49" s="255"/>
      <c r="MYZ49" s="255"/>
      <c r="MZA49" s="255"/>
      <c r="MZB49" s="255"/>
      <c r="MZC49" s="255"/>
      <c r="MZD49" s="255"/>
      <c r="MZE49" s="255"/>
      <c r="MZF49" s="255"/>
      <c r="MZG49" s="255"/>
      <c r="MZH49" s="255"/>
      <c r="MZI49" s="255"/>
      <c r="MZJ49" s="255"/>
      <c r="MZK49" s="255"/>
      <c r="MZL49" s="255"/>
      <c r="MZM49" s="255"/>
      <c r="MZN49" s="255"/>
      <c r="MZO49" s="255"/>
      <c r="MZP49" s="255"/>
      <c r="MZQ49" s="255"/>
      <c r="MZR49" s="255"/>
      <c r="MZS49" s="255"/>
      <c r="MZT49" s="255"/>
      <c r="MZU49" s="255"/>
      <c r="MZV49" s="255"/>
      <c r="MZW49" s="255"/>
      <c r="MZX49" s="255"/>
      <c r="MZY49" s="255"/>
      <c r="MZZ49" s="255"/>
      <c r="NAA49" s="255"/>
      <c r="NAB49" s="255"/>
      <c r="NAC49" s="255"/>
      <c r="NAD49" s="255"/>
      <c r="NAE49" s="255"/>
      <c r="NAF49" s="255"/>
      <c r="NAG49" s="255"/>
      <c r="NAH49" s="255"/>
      <c r="NAI49" s="255"/>
      <c r="NAJ49" s="255"/>
      <c r="NAK49" s="255"/>
      <c r="NAL49" s="255"/>
      <c r="NAM49" s="255"/>
      <c r="NAN49" s="255"/>
      <c r="NAO49" s="255"/>
      <c r="NAP49" s="255"/>
      <c r="NAQ49" s="255"/>
      <c r="NAR49" s="255"/>
      <c r="NAS49" s="255"/>
      <c r="NAT49" s="255"/>
      <c r="NAU49" s="255"/>
      <c r="NAV49" s="255"/>
      <c r="NAW49" s="255"/>
      <c r="NAX49" s="255"/>
      <c r="NAY49" s="255"/>
      <c r="NAZ49" s="255"/>
      <c r="NBA49" s="255"/>
      <c r="NBB49" s="255"/>
      <c r="NBC49" s="255"/>
      <c r="NBD49" s="255"/>
      <c r="NBE49" s="255"/>
      <c r="NBF49" s="255"/>
      <c r="NBG49" s="255"/>
      <c r="NBH49" s="255"/>
      <c r="NBI49" s="255"/>
      <c r="NBJ49" s="255"/>
      <c r="NBK49" s="255"/>
      <c r="NBL49" s="255"/>
      <c r="NBM49" s="255"/>
      <c r="NBN49" s="255"/>
      <c r="NBO49" s="255"/>
      <c r="NBP49" s="255"/>
      <c r="NBQ49" s="255"/>
      <c r="NBR49" s="255"/>
      <c r="NBS49" s="255"/>
      <c r="NBT49" s="255"/>
      <c r="NBU49" s="255"/>
      <c r="NBV49" s="255"/>
      <c r="NBW49" s="255"/>
      <c r="NBX49" s="255"/>
      <c r="NBY49" s="255"/>
      <c r="NBZ49" s="255"/>
      <c r="NCA49" s="255"/>
      <c r="NCB49" s="255"/>
      <c r="NCC49" s="255"/>
      <c r="NCD49" s="255"/>
      <c r="NCE49" s="255"/>
      <c r="NCF49" s="255"/>
      <c r="NCG49" s="255"/>
      <c r="NCH49" s="255"/>
      <c r="NCI49" s="255"/>
      <c r="NCJ49" s="255"/>
      <c r="NCK49" s="255"/>
      <c r="NCL49" s="255"/>
      <c r="NCM49" s="255"/>
      <c r="NCN49" s="255"/>
      <c r="NCO49" s="255"/>
      <c r="NCP49" s="255"/>
      <c r="NCQ49" s="255"/>
      <c r="NCR49" s="255"/>
      <c r="NCS49" s="255"/>
      <c r="NCT49" s="255"/>
      <c r="NCU49" s="255"/>
      <c r="NCV49" s="255"/>
      <c r="NCW49" s="255"/>
      <c r="NCX49" s="255"/>
      <c r="NCY49" s="255"/>
      <c r="NCZ49" s="255"/>
      <c r="NDA49" s="255"/>
      <c r="NDB49" s="255"/>
      <c r="NDC49" s="255"/>
      <c r="NDD49" s="255"/>
      <c r="NDE49" s="255"/>
      <c r="NDF49" s="255"/>
      <c r="NDG49" s="255"/>
      <c r="NDH49" s="255"/>
      <c r="NDI49" s="255"/>
      <c r="NDJ49" s="255"/>
      <c r="NDK49" s="255"/>
      <c r="NDL49" s="255"/>
      <c r="NDM49" s="255"/>
      <c r="NDN49" s="255"/>
      <c r="NDO49" s="255"/>
      <c r="NDP49" s="255"/>
      <c r="NDQ49" s="255"/>
      <c r="NDR49" s="255"/>
      <c r="NDS49" s="255"/>
      <c r="NDT49" s="255"/>
      <c r="NDU49" s="255"/>
      <c r="NDV49" s="255"/>
      <c r="NDW49" s="255"/>
      <c r="NDX49" s="255"/>
      <c r="NDY49" s="255"/>
      <c r="NDZ49" s="255"/>
      <c r="NEA49" s="255"/>
      <c r="NEB49" s="255"/>
      <c r="NEC49" s="255"/>
      <c r="NED49" s="255"/>
      <c r="NEE49" s="255"/>
      <c r="NEF49" s="255"/>
      <c r="NEG49" s="255"/>
      <c r="NEH49" s="255"/>
      <c r="NEI49" s="255"/>
      <c r="NEJ49" s="255"/>
      <c r="NEK49" s="255"/>
      <c r="NEL49" s="255"/>
      <c r="NEM49" s="255"/>
      <c r="NEN49" s="255"/>
      <c r="NEO49" s="255"/>
      <c r="NEP49" s="255"/>
      <c r="NEQ49" s="255"/>
      <c r="NER49" s="255"/>
      <c r="NES49" s="255"/>
      <c r="NET49" s="255"/>
      <c r="NEU49" s="255"/>
      <c r="NEV49" s="255"/>
      <c r="NEW49" s="255"/>
      <c r="NEX49" s="255"/>
      <c r="NEY49" s="255"/>
      <c r="NEZ49" s="255"/>
      <c r="NFA49" s="255"/>
      <c r="NFB49" s="255"/>
      <c r="NFC49" s="255"/>
      <c r="NFD49" s="255"/>
      <c r="NFE49" s="255"/>
      <c r="NFF49" s="255"/>
      <c r="NFG49" s="255"/>
      <c r="NFH49" s="255"/>
      <c r="NFI49" s="255"/>
      <c r="NFJ49" s="255"/>
      <c r="NFK49" s="255"/>
      <c r="NFL49" s="255"/>
      <c r="NFM49" s="255"/>
      <c r="NFN49" s="255"/>
      <c r="NFO49" s="255"/>
      <c r="NFP49" s="255"/>
      <c r="NFQ49" s="255"/>
      <c r="NFR49" s="255"/>
      <c r="NFS49" s="255"/>
      <c r="NFT49" s="255"/>
      <c r="NFU49" s="255"/>
      <c r="NFV49" s="255"/>
      <c r="NFW49" s="255"/>
      <c r="NFX49" s="255"/>
      <c r="NFY49" s="255"/>
      <c r="NFZ49" s="255"/>
      <c r="NGA49" s="255"/>
      <c r="NGB49" s="255"/>
      <c r="NGC49" s="255"/>
      <c r="NGD49" s="255"/>
      <c r="NGE49" s="255"/>
      <c r="NGF49" s="255"/>
      <c r="NGG49" s="255"/>
      <c r="NGH49" s="255"/>
      <c r="NGI49" s="255"/>
      <c r="NGJ49" s="255"/>
      <c r="NGK49" s="255"/>
      <c r="NGL49" s="255"/>
      <c r="NGM49" s="255"/>
      <c r="NGN49" s="255"/>
      <c r="NGO49" s="255"/>
      <c r="NGP49" s="255"/>
      <c r="NGQ49" s="255"/>
      <c r="NGR49" s="255"/>
      <c r="NGS49" s="255"/>
      <c r="NGT49" s="255"/>
      <c r="NGU49" s="255"/>
      <c r="NGV49" s="255"/>
      <c r="NGW49" s="255"/>
      <c r="NGX49" s="255"/>
      <c r="NGY49" s="255"/>
      <c r="NGZ49" s="255"/>
      <c r="NHA49" s="255"/>
      <c r="NHB49" s="255"/>
      <c r="NHC49" s="255"/>
      <c r="NHD49" s="255"/>
      <c r="NHE49" s="255"/>
      <c r="NHF49" s="255"/>
      <c r="NHG49" s="255"/>
      <c r="NHH49" s="255"/>
      <c r="NHI49" s="255"/>
      <c r="NHJ49" s="255"/>
      <c r="NHK49" s="255"/>
      <c r="NHL49" s="255"/>
      <c r="NHM49" s="255"/>
      <c r="NHN49" s="255"/>
      <c r="NHO49" s="255"/>
      <c r="NHP49" s="255"/>
      <c r="NHQ49" s="255"/>
      <c r="NHR49" s="255"/>
      <c r="NHS49" s="255"/>
      <c r="NHT49" s="255"/>
      <c r="NHU49" s="255"/>
      <c r="NHV49" s="255"/>
      <c r="NHW49" s="255"/>
      <c r="NHX49" s="255"/>
      <c r="NHY49" s="255"/>
      <c r="NHZ49" s="255"/>
      <c r="NIA49" s="255"/>
      <c r="NIB49" s="255"/>
      <c r="NIC49" s="255"/>
      <c r="NID49" s="255"/>
      <c r="NIE49" s="255"/>
      <c r="NIF49" s="255"/>
      <c r="NIG49" s="255"/>
      <c r="NIH49" s="255"/>
      <c r="NII49" s="255"/>
      <c r="NIJ49" s="255"/>
      <c r="NIK49" s="255"/>
      <c r="NIL49" s="255"/>
      <c r="NIM49" s="255"/>
      <c r="NIN49" s="255"/>
      <c r="NIO49" s="255"/>
      <c r="NIP49" s="255"/>
      <c r="NIQ49" s="255"/>
      <c r="NIR49" s="255"/>
      <c r="NIS49" s="255"/>
      <c r="NIT49" s="255"/>
      <c r="NIU49" s="255"/>
      <c r="NIV49" s="255"/>
      <c r="NIW49" s="255"/>
      <c r="NIX49" s="255"/>
      <c r="NIY49" s="255"/>
      <c r="NIZ49" s="255"/>
      <c r="NJA49" s="255"/>
      <c r="NJB49" s="255"/>
      <c r="NJC49" s="255"/>
      <c r="NJD49" s="255"/>
      <c r="NJE49" s="255"/>
      <c r="NJF49" s="255"/>
      <c r="NJG49" s="255"/>
      <c r="NJH49" s="255"/>
      <c r="NJI49" s="255"/>
      <c r="NJJ49" s="255"/>
      <c r="NJK49" s="255"/>
      <c r="NJL49" s="255"/>
      <c r="NJM49" s="255"/>
      <c r="NJN49" s="255"/>
      <c r="NJO49" s="255"/>
      <c r="NJP49" s="255"/>
      <c r="NJQ49" s="255"/>
      <c r="NJR49" s="255"/>
      <c r="NJS49" s="255"/>
      <c r="NJT49" s="255"/>
      <c r="NJU49" s="255"/>
      <c r="NJV49" s="255"/>
      <c r="NJW49" s="255"/>
      <c r="NJX49" s="255"/>
      <c r="NJY49" s="255"/>
      <c r="NJZ49" s="255"/>
      <c r="NKA49" s="255"/>
      <c r="NKB49" s="255"/>
      <c r="NKC49" s="255"/>
      <c r="NKD49" s="255"/>
      <c r="NKE49" s="255"/>
      <c r="NKF49" s="255"/>
      <c r="NKG49" s="255"/>
      <c r="NKH49" s="255"/>
      <c r="NKI49" s="255"/>
      <c r="NKJ49" s="255"/>
      <c r="NKK49" s="255"/>
      <c r="NKL49" s="255"/>
      <c r="NKM49" s="255"/>
      <c r="NKN49" s="255"/>
      <c r="NKO49" s="255"/>
      <c r="NKP49" s="255"/>
      <c r="NKQ49" s="255"/>
      <c r="NKR49" s="255"/>
      <c r="NKS49" s="255"/>
      <c r="NKT49" s="255"/>
      <c r="NKU49" s="255"/>
      <c r="NKV49" s="255"/>
      <c r="NKW49" s="255"/>
      <c r="NKX49" s="255"/>
      <c r="NKY49" s="255"/>
      <c r="NKZ49" s="255"/>
      <c r="NLA49" s="255"/>
      <c r="NLB49" s="255"/>
      <c r="NLC49" s="255"/>
      <c r="NLD49" s="255"/>
      <c r="NLE49" s="255"/>
      <c r="NLF49" s="255"/>
      <c r="NLG49" s="255"/>
      <c r="NLH49" s="255"/>
      <c r="NLI49" s="255"/>
      <c r="NLJ49" s="255"/>
      <c r="NLK49" s="255"/>
      <c r="NLL49" s="255"/>
      <c r="NLM49" s="255"/>
      <c r="NLN49" s="255"/>
      <c r="NLO49" s="255"/>
      <c r="NLP49" s="255"/>
      <c r="NLQ49" s="255"/>
      <c r="NLR49" s="255"/>
      <c r="NLS49" s="255"/>
      <c r="NLT49" s="255"/>
      <c r="NLU49" s="255"/>
      <c r="NLV49" s="255"/>
      <c r="NLW49" s="255"/>
      <c r="NLX49" s="255"/>
      <c r="NLY49" s="255"/>
      <c r="NLZ49" s="255"/>
      <c r="NMA49" s="255"/>
      <c r="NMB49" s="255"/>
      <c r="NMC49" s="255"/>
      <c r="NMD49" s="255"/>
      <c r="NME49" s="255"/>
      <c r="NMF49" s="255"/>
      <c r="NMG49" s="255"/>
      <c r="NMH49" s="255"/>
      <c r="NMI49" s="255"/>
      <c r="NMJ49" s="255"/>
      <c r="NMK49" s="255"/>
      <c r="NML49" s="255"/>
      <c r="NMM49" s="255"/>
      <c r="NMN49" s="255"/>
      <c r="NMO49" s="255"/>
      <c r="NMP49" s="255"/>
      <c r="NMQ49" s="255"/>
      <c r="NMR49" s="255"/>
      <c r="NMS49" s="255"/>
      <c r="NMT49" s="255"/>
      <c r="NMU49" s="255"/>
      <c r="NMV49" s="255"/>
      <c r="NMW49" s="255"/>
      <c r="NMX49" s="255"/>
      <c r="NMY49" s="255"/>
      <c r="NMZ49" s="255"/>
      <c r="NNA49" s="255"/>
      <c r="NNB49" s="255"/>
      <c r="NNC49" s="255"/>
      <c r="NND49" s="255"/>
      <c r="NNE49" s="255"/>
      <c r="NNF49" s="255"/>
      <c r="NNG49" s="255"/>
      <c r="NNH49" s="255"/>
      <c r="NNI49" s="255"/>
      <c r="NNJ49" s="255"/>
      <c r="NNK49" s="255"/>
      <c r="NNL49" s="255"/>
      <c r="NNM49" s="255"/>
      <c r="NNN49" s="255"/>
      <c r="NNO49" s="255"/>
      <c r="NNP49" s="255"/>
      <c r="NNQ49" s="255"/>
      <c r="NNR49" s="255"/>
      <c r="NNS49" s="255"/>
      <c r="NNT49" s="255"/>
      <c r="NNU49" s="255"/>
      <c r="NNV49" s="255"/>
      <c r="NNW49" s="255"/>
      <c r="NNX49" s="255"/>
      <c r="NNY49" s="255"/>
      <c r="NNZ49" s="255"/>
      <c r="NOA49" s="255"/>
      <c r="NOB49" s="255"/>
      <c r="NOC49" s="255"/>
      <c r="NOD49" s="255"/>
      <c r="NOE49" s="255"/>
      <c r="NOF49" s="255"/>
      <c r="NOG49" s="255"/>
      <c r="NOH49" s="255"/>
      <c r="NOI49" s="255"/>
      <c r="NOJ49" s="255"/>
      <c r="NOK49" s="255"/>
      <c r="NOL49" s="255"/>
      <c r="NOM49" s="255"/>
      <c r="NON49" s="255"/>
      <c r="NOO49" s="255"/>
      <c r="NOP49" s="255"/>
      <c r="NOQ49" s="255"/>
      <c r="NOR49" s="255"/>
      <c r="NOS49" s="255"/>
      <c r="NOT49" s="255"/>
      <c r="NOU49" s="255"/>
      <c r="NOV49" s="255"/>
      <c r="NOW49" s="255"/>
      <c r="NOX49" s="255"/>
      <c r="NOY49" s="255"/>
      <c r="NOZ49" s="255"/>
      <c r="NPA49" s="255"/>
      <c r="NPB49" s="255"/>
      <c r="NPC49" s="255"/>
      <c r="NPD49" s="255"/>
      <c r="NPE49" s="255"/>
      <c r="NPF49" s="255"/>
      <c r="NPG49" s="255"/>
      <c r="NPH49" s="255"/>
      <c r="NPI49" s="255"/>
      <c r="NPJ49" s="255"/>
      <c r="NPK49" s="255"/>
      <c r="NPL49" s="255"/>
      <c r="NPM49" s="255"/>
      <c r="NPN49" s="255"/>
      <c r="NPO49" s="255"/>
      <c r="NPP49" s="255"/>
      <c r="NPQ49" s="255"/>
      <c r="NPR49" s="255"/>
      <c r="NPS49" s="255"/>
      <c r="NPT49" s="255"/>
      <c r="NPU49" s="255"/>
      <c r="NPV49" s="255"/>
      <c r="NPW49" s="255"/>
      <c r="NPX49" s="255"/>
      <c r="NPY49" s="255"/>
      <c r="NPZ49" s="255"/>
      <c r="NQA49" s="255"/>
      <c r="NQB49" s="255"/>
      <c r="NQC49" s="255"/>
      <c r="NQD49" s="255"/>
      <c r="NQE49" s="255"/>
      <c r="NQF49" s="255"/>
      <c r="NQG49" s="255"/>
      <c r="NQH49" s="255"/>
      <c r="NQI49" s="255"/>
      <c r="NQJ49" s="255"/>
      <c r="NQK49" s="255"/>
      <c r="NQL49" s="255"/>
      <c r="NQM49" s="255"/>
      <c r="NQN49" s="255"/>
      <c r="NQO49" s="255"/>
      <c r="NQP49" s="255"/>
      <c r="NQQ49" s="255"/>
      <c r="NQR49" s="255"/>
      <c r="NQS49" s="255"/>
      <c r="NQT49" s="255"/>
      <c r="NQU49" s="255"/>
      <c r="NQV49" s="255"/>
      <c r="NQW49" s="255"/>
      <c r="NQX49" s="255"/>
      <c r="NQY49" s="255"/>
      <c r="NQZ49" s="255"/>
      <c r="NRA49" s="255"/>
      <c r="NRB49" s="255"/>
      <c r="NRC49" s="255"/>
      <c r="NRD49" s="255"/>
      <c r="NRE49" s="255"/>
      <c r="NRF49" s="255"/>
      <c r="NRG49" s="255"/>
      <c r="NRH49" s="255"/>
      <c r="NRI49" s="255"/>
      <c r="NRJ49" s="255"/>
      <c r="NRK49" s="255"/>
      <c r="NRL49" s="255"/>
      <c r="NRM49" s="255"/>
      <c r="NRN49" s="255"/>
      <c r="NRO49" s="255"/>
      <c r="NRP49" s="255"/>
      <c r="NRQ49" s="255"/>
      <c r="NRR49" s="255"/>
      <c r="NRS49" s="255"/>
      <c r="NRT49" s="255"/>
      <c r="NRU49" s="255"/>
      <c r="NRV49" s="255"/>
      <c r="NRW49" s="255"/>
      <c r="NRX49" s="255"/>
      <c r="NRY49" s="255"/>
      <c r="NRZ49" s="255"/>
      <c r="NSA49" s="255"/>
      <c r="NSB49" s="255"/>
      <c r="NSC49" s="255"/>
      <c r="NSD49" s="255"/>
      <c r="NSE49" s="255"/>
      <c r="NSF49" s="255"/>
      <c r="NSG49" s="255"/>
      <c r="NSH49" s="255"/>
      <c r="NSI49" s="255"/>
      <c r="NSJ49" s="255"/>
      <c r="NSK49" s="255"/>
      <c r="NSL49" s="255"/>
      <c r="NSM49" s="255"/>
      <c r="NSN49" s="255"/>
      <c r="NSO49" s="255"/>
      <c r="NSP49" s="255"/>
      <c r="NSQ49" s="255"/>
      <c r="NSR49" s="255"/>
      <c r="NSS49" s="255"/>
      <c r="NST49" s="255"/>
      <c r="NSU49" s="255"/>
      <c r="NSV49" s="255"/>
      <c r="NSW49" s="255"/>
      <c r="NSX49" s="255"/>
      <c r="NSY49" s="255"/>
      <c r="NSZ49" s="255"/>
      <c r="NTA49" s="255"/>
      <c r="NTB49" s="255"/>
      <c r="NTC49" s="255"/>
      <c r="NTD49" s="255"/>
      <c r="NTE49" s="255"/>
      <c r="NTF49" s="255"/>
      <c r="NTG49" s="255"/>
      <c r="NTH49" s="255"/>
      <c r="NTI49" s="255"/>
      <c r="NTJ49" s="255"/>
      <c r="NTK49" s="255"/>
      <c r="NTL49" s="255"/>
      <c r="NTM49" s="255"/>
      <c r="NTN49" s="255"/>
      <c r="NTO49" s="255"/>
      <c r="NTP49" s="255"/>
      <c r="NTQ49" s="255"/>
      <c r="NTR49" s="255"/>
      <c r="NTS49" s="255"/>
      <c r="NTT49" s="255"/>
      <c r="NTU49" s="255"/>
      <c r="NTV49" s="255"/>
      <c r="NTW49" s="255"/>
      <c r="NTX49" s="255"/>
      <c r="NTY49" s="255"/>
      <c r="NTZ49" s="255"/>
      <c r="NUA49" s="255"/>
      <c r="NUB49" s="255"/>
      <c r="NUC49" s="255"/>
      <c r="NUD49" s="255"/>
      <c r="NUE49" s="255"/>
      <c r="NUF49" s="255"/>
      <c r="NUG49" s="255"/>
      <c r="NUH49" s="255"/>
      <c r="NUI49" s="255"/>
      <c r="NUJ49" s="255"/>
      <c r="NUK49" s="255"/>
      <c r="NUL49" s="255"/>
      <c r="NUM49" s="255"/>
      <c r="NUN49" s="255"/>
      <c r="NUO49" s="255"/>
      <c r="NUP49" s="255"/>
      <c r="NUQ49" s="255"/>
      <c r="NUR49" s="255"/>
      <c r="NUS49" s="255"/>
      <c r="NUT49" s="255"/>
      <c r="NUU49" s="255"/>
      <c r="NUV49" s="255"/>
      <c r="NUW49" s="255"/>
      <c r="NUX49" s="255"/>
      <c r="NUY49" s="255"/>
      <c r="NUZ49" s="255"/>
      <c r="NVA49" s="255"/>
      <c r="NVB49" s="255"/>
      <c r="NVC49" s="255"/>
      <c r="NVD49" s="255"/>
      <c r="NVE49" s="255"/>
      <c r="NVF49" s="255"/>
      <c r="NVG49" s="255"/>
      <c r="NVH49" s="255"/>
      <c r="NVI49" s="255"/>
      <c r="NVJ49" s="255"/>
      <c r="NVK49" s="255"/>
      <c r="NVL49" s="255"/>
      <c r="NVM49" s="255"/>
      <c r="NVN49" s="255"/>
      <c r="NVO49" s="255"/>
      <c r="NVP49" s="255"/>
      <c r="NVQ49" s="255"/>
      <c r="NVR49" s="255"/>
      <c r="NVS49" s="255"/>
      <c r="NVT49" s="255"/>
      <c r="NVU49" s="255"/>
      <c r="NVV49" s="255"/>
      <c r="NVW49" s="255"/>
      <c r="NVX49" s="255"/>
      <c r="NVY49" s="255"/>
      <c r="NVZ49" s="255"/>
      <c r="NWA49" s="255"/>
      <c r="NWB49" s="255"/>
      <c r="NWC49" s="255"/>
      <c r="NWD49" s="255"/>
      <c r="NWE49" s="255"/>
      <c r="NWF49" s="255"/>
      <c r="NWG49" s="255"/>
      <c r="NWH49" s="255"/>
      <c r="NWI49" s="255"/>
      <c r="NWJ49" s="255"/>
      <c r="NWK49" s="255"/>
      <c r="NWL49" s="255"/>
      <c r="NWM49" s="255"/>
      <c r="NWN49" s="255"/>
      <c r="NWO49" s="255"/>
      <c r="NWP49" s="255"/>
      <c r="NWQ49" s="255"/>
      <c r="NWR49" s="255"/>
      <c r="NWS49" s="255"/>
      <c r="NWT49" s="255"/>
      <c r="NWU49" s="255"/>
      <c r="NWV49" s="255"/>
      <c r="NWW49" s="255"/>
      <c r="NWX49" s="255"/>
      <c r="NWY49" s="255"/>
      <c r="NWZ49" s="255"/>
      <c r="NXA49" s="255"/>
      <c r="NXB49" s="255"/>
      <c r="NXC49" s="255"/>
      <c r="NXD49" s="255"/>
      <c r="NXE49" s="255"/>
      <c r="NXF49" s="255"/>
      <c r="NXG49" s="255"/>
      <c r="NXH49" s="255"/>
      <c r="NXI49" s="255"/>
      <c r="NXJ49" s="255"/>
      <c r="NXK49" s="255"/>
      <c r="NXL49" s="255"/>
      <c r="NXM49" s="255"/>
      <c r="NXN49" s="255"/>
      <c r="NXO49" s="255"/>
      <c r="NXP49" s="255"/>
      <c r="NXQ49" s="255"/>
      <c r="NXR49" s="255"/>
      <c r="NXS49" s="255"/>
      <c r="NXT49" s="255"/>
      <c r="NXU49" s="255"/>
      <c r="NXV49" s="255"/>
      <c r="NXW49" s="255"/>
      <c r="NXX49" s="255"/>
      <c r="NXY49" s="255"/>
      <c r="NXZ49" s="255"/>
      <c r="NYA49" s="255"/>
      <c r="NYB49" s="255"/>
      <c r="NYC49" s="255"/>
      <c r="NYD49" s="255"/>
      <c r="NYE49" s="255"/>
      <c r="NYF49" s="255"/>
      <c r="NYG49" s="255"/>
      <c r="NYH49" s="255"/>
      <c r="NYI49" s="255"/>
      <c r="NYJ49" s="255"/>
      <c r="NYK49" s="255"/>
      <c r="NYL49" s="255"/>
      <c r="NYM49" s="255"/>
      <c r="NYN49" s="255"/>
      <c r="NYO49" s="255"/>
      <c r="NYP49" s="255"/>
      <c r="NYQ49" s="255"/>
      <c r="NYR49" s="255"/>
      <c r="NYS49" s="255"/>
      <c r="NYT49" s="255"/>
      <c r="NYU49" s="255"/>
      <c r="NYV49" s="255"/>
      <c r="NYW49" s="255"/>
      <c r="NYX49" s="255"/>
      <c r="NYY49" s="255"/>
      <c r="NYZ49" s="255"/>
      <c r="NZA49" s="255"/>
      <c r="NZB49" s="255"/>
      <c r="NZC49" s="255"/>
      <c r="NZD49" s="255"/>
      <c r="NZE49" s="255"/>
      <c r="NZF49" s="255"/>
      <c r="NZG49" s="255"/>
      <c r="NZH49" s="255"/>
      <c r="NZI49" s="255"/>
      <c r="NZJ49" s="255"/>
      <c r="NZK49" s="255"/>
      <c r="NZL49" s="255"/>
      <c r="NZM49" s="255"/>
      <c r="NZN49" s="255"/>
      <c r="NZO49" s="255"/>
      <c r="NZP49" s="255"/>
      <c r="NZQ49" s="255"/>
      <c r="NZR49" s="255"/>
      <c r="NZS49" s="255"/>
      <c r="NZT49" s="255"/>
      <c r="NZU49" s="255"/>
      <c r="NZV49" s="255"/>
      <c r="NZW49" s="255"/>
      <c r="NZX49" s="255"/>
      <c r="NZY49" s="255"/>
      <c r="NZZ49" s="255"/>
      <c r="OAA49" s="255"/>
      <c r="OAB49" s="255"/>
      <c r="OAC49" s="255"/>
      <c r="OAD49" s="255"/>
      <c r="OAE49" s="255"/>
      <c r="OAF49" s="255"/>
      <c r="OAG49" s="255"/>
      <c r="OAH49" s="255"/>
      <c r="OAI49" s="255"/>
      <c r="OAJ49" s="255"/>
      <c r="OAK49" s="255"/>
      <c r="OAL49" s="255"/>
      <c r="OAM49" s="255"/>
      <c r="OAN49" s="255"/>
      <c r="OAO49" s="255"/>
      <c r="OAP49" s="255"/>
      <c r="OAQ49" s="255"/>
      <c r="OAR49" s="255"/>
      <c r="OAS49" s="255"/>
      <c r="OAT49" s="255"/>
      <c r="OAU49" s="255"/>
      <c r="OAV49" s="255"/>
      <c r="OAW49" s="255"/>
      <c r="OAX49" s="255"/>
      <c r="OAY49" s="255"/>
      <c r="OAZ49" s="255"/>
      <c r="OBA49" s="255"/>
      <c r="OBB49" s="255"/>
      <c r="OBC49" s="255"/>
      <c r="OBD49" s="255"/>
      <c r="OBE49" s="255"/>
      <c r="OBF49" s="255"/>
      <c r="OBG49" s="255"/>
      <c r="OBH49" s="255"/>
      <c r="OBI49" s="255"/>
      <c r="OBJ49" s="255"/>
      <c r="OBK49" s="255"/>
      <c r="OBL49" s="255"/>
      <c r="OBM49" s="255"/>
      <c r="OBN49" s="255"/>
      <c r="OBO49" s="255"/>
      <c r="OBP49" s="255"/>
      <c r="OBQ49" s="255"/>
      <c r="OBR49" s="255"/>
      <c r="OBS49" s="255"/>
      <c r="OBT49" s="255"/>
      <c r="OBU49" s="255"/>
      <c r="OBV49" s="255"/>
      <c r="OBW49" s="255"/>
      <c r="OBX49" s="255"/>
      <c r="OBY49" s="255"/>
      <c r="OBZ49" s="255"/>
      <c r="OCA49" s="255"/>
      <c r="OCB49" s="255"/>
      <c r="OCC49" s="255"/>
      <c r="OCD49" s="255"/>
      <c r="OCE49" s="255"/>
      <c r="OCF49" s="255"/>
      <c r="OCG49" s="255"/>
      <c r="OCH49" s="255"/>
      <c r="OCI49" s="255"/>
      <c r="OCJ49" s="255"/>
      <c r="OCK49" s="255"/>
      <c r="OCL49" s="255"/>
      <c r="OCM49" s="255"/>
      <c r="OCN49" s="255"/>
      <c r="OCO49" s="255"/>
      <c r="OCP49" s="255"/>
      <c r="OCQ49" s="255"/>
      <c r="OCR49" s="255"/>
      <c r="OCS49" s="255"/>
      <c r="OCT49" s="255"/>
      <c r="OCU49" s="255"/>
      <c r="OCV49" s="255"/>
      <c r="OCW49" s="255"/>
      <c r="OCX49" s="255"/>
      <c r="OCY49" s="255"/>
      <c r="OCZ49" s="255"/>
      <c r="ODA49" s="255"/>
      <c r="ODB49" s="255"/>
      <c r="ODC49" s="255"/>
      <c r="ODD49" s="255"/>
      <c r="ODE49" s="255"/>
      <c r="ODF49" s="255"/>
      <c r="ODG49" s="255"/>
      <c r="ODH49" s="255"/>
      <c r="ODI49" s="255"/>
      <c r="ODJ49" s="255"/>
      <c r="ODK49" s="255"/>
      <c r="ODL49" s="255"/>
      <c r="ODM49" s="255"/>
      <c r="ODN49" s="255"/>
      <c r="ODO49" s="255"/>
      <c r="ODP49" s="255"/>
      <c r="ODQ49" s="255"/>
      <c r="ODR49" s="255"/>
      <c r="ODS49" s="255"/>
      <c r="ODT49" s="255"/>
      <c r="ODU49" s="255"/>
      <c r="ODV49" s="255"/>
      <c r="ODW49" s="255"/>
      <c r="ODX49" s="255"/>
      <c r="ODY49" s="255"/>
      <c r="ODZ49" s="255"/>
      <c r="OEA49" s="255"/>
      <c r="OEB49" s="255"/>
      <c r="OEC49" s="255"/>
      <c r="OED49" s="255"/>
      <c r="OEE49" s="255"/>
      <c r="OEF49" s="255"/>
      <c r="OEG49" s="255"/>
      <c r="OEH49" s="255"/>
      <c r="OEI49" s="255"/>
      <c r="OEJ49" s="255"/>
      <c r="OEK49" s="255"/>
      <c r="OEL49" s="255"/>
      <c r="OEM49" s="255"/>
      <c r="OEN49" s="255"/>
      <c r="OEO49" s="255"/>
      <c r="OEP49" s="255"/>
      <c r="OEQ49" s="255"/>
      <c r="OER49" s="255"/>
      <c r="OES49" s="255"/>
      <c r="OET49" s="255"/>
      <c r="OEU49" s="255"/>
      <c r="OEV49" s="255"/>
      <c r="OEW49" s="255"/>
      <c r="OEX49" s="255"/>
      <c r="OEY49" s="255"/>
      <c r="OEZ49" s="255"/>
      <c r="OFA49" s="255"/>
      <c r="OFB49" s="255"/>
      <c r="OFC49" s="255"/>
      <c r="OFD49" s="255"/>
      <c r="OFE49" s="255"/>
      <c r="OFF49" s="255"/>
      <c r="OFG49" s="255"/>
      <c r="OFH49" s="255"/>
      <c r="OFI49" s="255"/>
      <c r="OFJ49" s="255"/>
      <c r="OFK49" s="255"/>
      <c r="OFL49" s="255"/>
      <c r="OFM49" s="255"/>
      <c r="OFN49" s="255"/>
      <c r="OFO49" s="255"/>
      <c r="OFP49" s="255"/>
      <c r="OFQ49" s="255"/>
      <c r="OFR49" s="255"/>
      <c r="OFS49" s="255"/>
      <c r="OFT49" s="255"/>
      <c r="OFU49" s="255"/>
      <c r="OFV49" s="255"/>
      <c r="OFW49" s="255"/>
      <c r="OFX49" s="255"/>
      <c r="OFY49" s="255"/>
      <c r="OFZ49" s="255"/>
      <c r="OGA49" s="255"/>
      <c r="OGB49" s="255"/>
      <c r="OGC49" s="255"/>
      <c r="OGD49" s="255"/>
      <c r="OGE49" s="255"/>
      <c r="OGF49" s="255"/>
      <c r="OGG49" s="255"/>
      <c r="OGH49" s="255"/>
      <c r="OGI49" s="255"/>
      <c r="OGJ49" s="255"/>
      <c r="OGK49" s="255"/>
      <c r="OGL49" s="255"/>
      <c r="OGM49" s="255"/>
      <c r="OGN49" s="255"/>
      <c r="OGO49" s="255"/>
      <c r="OGP49" s="255"/>
      <c r="OGQ49" s="255"/>
      <c r="OGR49" s="255"/>
      <c r="OGS49" s="255"/>
      <c r="OGT49" s="255"/>
      <c r="OGU49" s="255"/>
      <c r="OGV49" s="255"/>
      <c r="OGW49" s="255"/>
      <c r="OGX49" s="255"/>
      <c r="OGY49" s="255"/>
      <c r="OGZ49" s="255"/>
      <c r="OHA49" s="255"/>
      <c r="OHB49" s="255"/>
      <c r="OHC49" s="255"/>
      <c r="OHD49" s="255"/>
      <c r="OHE49" s="255"/>
      <c r="OHF49" s="255"/>
      <c r="OHG49" s="255"/>
      <c r="OHH49" s="255"/>
      <c r="OHI49" s="255"/>
      <c r="OHJ49" s="255"/>
      <c r="OHK49" s="255"/>
      <c r="OHL49" s="255"/>
      <c r="OHM49" s="255"/>
      <c r="OHN49" s="255"/>
      <c r="OHO49" s="255"/>
      <c r="OHP49" s="255"/>
      <c r="OHQ49" s="255"/>
      <c r="OHR49" s="255"/>
      <c r="OHS49" s="255"/>
      <c r="OHT49" s="255"/>
      <c r="OHU49" s="255"/>
      <c r="OHV49" s="255"/>
      <c r="OHW49" s="255"/>
      <c r="OHX49" s="255"/>
      <c r="OHY49" s="255"/>
      <c r="OHZ49" s="255"/>
      <c r="OIA49" s="255"/>
      <c r="OIB49" s="255"/>
      <c r="OIC49" s="255"/>
      <c r="OID49" s="255"/>
      <c r="OIE49" s="255"/>
      <c r="OIF49" s="255"/>
      <c r="OIG49" s="255"/>
      <c r="OIH49" s="255"/>
      <c r="OII49" s="255"/>
      <c r="OIJ49" s="255"/>
      <c r="OIK49" s="255"/>
      <c r="OIL49" s="255"/>
      <c r="OIM49" s="255"/>
      <c r="OIN49" s="255"/>
      <c r="OIO49" s="255"/>
      <c r="OIP49" s="255"/>
      <c r="OIQ49" s="255"/>
      <c r="OIR49" s="255"/>
      <c r="OIS49" s="255"/>
      <c r="OIT49" s="255"/>
      <c r="OIU49" s="255"/>
      <c r="OIV49" s="255"/>
      <c r="OIW49" s="255"/>
      <c r="OIX49" s="255"/>
      <c r="OIY49" s="255"/>
      <c r="OIZ49" s="255"/>
      <c r="OJA49" s="255"/>
      <c r="OJB49" s="255"/>
      <c r="OJC49" s="255"/>
      <c r="OJD49" s="255"/>
      <c r="OJE49" s="255"/>
      <c r="OJF49" s="255"/>
      <c r="OJG49" s="255"/>
      <c r="OJH49" s="255"/>
      <c r="OJI49" s="255"/>
      <c r="OJJ49" s="255"/>
      <c r="OJK49" s="255"/>
      <c r="OJL49" s="255"/>
      <c r="OJM49" s="255"/>
      <c r="OJN49" s="255"/>
      <c r="OJO49" s="255"/>
      <c r="OJP49" s="255"/>
      <c r="OJQ49" s="255"/>
      <c r="OJR49" s="255"/>
      <c r="OJS49" s="255"/>
      <c r="OJT49" s="255"/>
      <c r="OJU49" s="255"/>
      <c r="OJV49" s="255"/>
      <c r="OJW49" s="255"/>
      <c r="OJX49" s="255"/>
      <c r="OJY49" s="255"/>
      <c r="OJZ49" s="255"/>
      <c r="OKA49" s="255"/>
      <c r="OKB49" s="255"/>
      <c r="OKC49" s="255"/>
      <c r="OKD49" s="255"/>
      <c r="OKE49" s="255"/>
      <c r="OKF49" s="255"/>
      <c r="OKG49" s="255"/>
      <c r="OKH49" s="255"/>
      <c r="OKI49" s="255"/>
      <c r="OKJ49" s="255"/>
      <c r="OKK49" s="255"/>
      <c r="OKL49" s="255"/>
      <c r="OKM49" s="255"/>
      <c r="OKN49" s="255"/>
      <c r="OKO49" s="255"/>
      <c r="OKP49" s="255"/>
      <c r="OKQ49" s="255"/>
      <c r="OKR49" s="255"/>
      <c r="OKS49" s="255"/>
      <c r="OKT49" s="255"/>
      <c r="OKU49" s="255"/>
      <c r="OKV49" s="255"/>
      <c r="OKW49" s="255"/>
      <c r="OKX49" s="255"/>
      <c r="OKY49" s="255"/>
      <c r="OKZ49" s="255"/>
      <c r="OLA49" s="255"/>
      <c r="OLB49" s="255"/>
      <c r="OLC49" s="255"/>
      <c r="OLD49" s="255"/>
      <c r="OLE49" s="255"/>
      <c r="OLF49" s="255"/>
      <c r="OLG49" s="255"/>
      <c r="OLH49" s="255"/>
      <c r="OLI49" s="255"/>
      <c r="OLJ49" s="255"/>
      <c r="OLK49" s="255"/>
      <c r="OLL49" s="255"/>
      <c r="OLM49" s="255"/>
      <c r="OLN49" s="255"/>
      <c r="OLO49" s="255"/>
      <c r="OLP49" s="255"/>
      <c r="OLQ49" s="255"/>
      <c r="OLR49" s="255"/>
      <c r="OLS49" s="255"/>
      <c r="OLT49" s="255"/>
      <c r="OLU49" s="255"/>
      <c r="OLV49" s="255"/>
      <c r="OLW49" s="255"/>
      <c r="OLX49" s="255"/>
      <c r="OLY49" s="255"/>
      <c r="OLZ49" s="255"/>
      <c r="OMA49" s="255"/>
      <c r="OMB49" s="255"/>
      <c r="OMC49" s="255"/>
      <c r="OMD49" s="255"/>
      <c r="OME49" s="255"/>
      <c r="OMF49" s="255"/>
      <c r="OMG49" s="255"/>
      <c r="OMH49" s="255"/>
      <c r="OMI49" s="255"/>
      <c r="OMJ49" s="255"/>
      <c r="OMK49" s="255"/>
      <c r="OML49" s="255"/>
      <c r="OMM49" s="255"/>
      <c r="OMN49" s="255"/>
      <c r="OMO49" s="255"/>
      <c r="OMP49" s="255"/>
      <c r="OMQ49" s="255"/>
      <c r="OMR49" s="255"/>
      <c r="OMS49" s="255"/>
      <c r="OMT49" s="255"/>
      <c r="OMU49" s="255"/>
      <c r="OMV49" s="255"/>
      <c r="OMW49" s="255"/>
      <c r="OMX49" s="255"/>
      <c r="OMY49" s="255"/>
      <c r="OMZ49" s="255"/>
      <c r="ONA49" s="255"/>
      <c r="ONB49" s="255"/>
      <c r="ONC49" s="255"/>
      <c r="OND49" s="255"/>
      <c r="ONE49" s="255"/>
      <c r="ONF49" s="255"/>
      <c r="ONG49" s="255"/>
      <c r="ONH49" s="255"/>
      <c r="ONI49" s="255"/>
      <c r="ONJ49" s="255"/>
      <c r="ONK49" s="255"/>
      <c r="ONL49" s="255"/>
      <c r="ONM49" s="255"/>
      <c r="ONN49" s="255"/>
      <c r="ONO49" s="255"/>
      <c r="ONP49" s="255"/>
      <c r="ONQ49" s="255"/>
      <c r="ONR49" s="255"/>
      <c r="ONS49" s="255"/>
      <c r="ONT49" s="255"/>
      <c r="ONU49" s="255"/>
      <c r="ONV49" s="255"/>
      <c r="ONW49" s="255"/>
      <c r="ONX49" s="255"/>
      <c r="ONY49" s="255"/>
      <c r="ONZ49" s="255"/>
      <c r="OOA49" s="255"/>
      <c r="OOB49" s="255"/>
      <c r="OOC49" s="255"/>
      <c r="OOD49" s="255"/>
      <c r="OOE49" s="255"/>
      <c r="OOF49" s="255"/>
      <c r="OOG49" s="255"/>
      <c r="OOH49" s="255"/>
      <c r="OOI49" s="255"/>
      <c r="OOJ49" s="255"/>
      <c r="OOK49" s="255"/>
      <c r="OOL49" s="255"/>
      <c r="OOM49" s="255"/>
      <c r="OON49" s="255"/>
      <c r="OOO49" s="255"/>
      <c r="OOP49" s="255"/>
      <c r="OOQ49" s="255"/>
      <c r="OOR49" s="255"/>
      <c r="OOS49" s="255"/>
      <c r="OOT49" s="255"/>
      <c r="OOU49" s="255"/>
      <c r="OOV49" s="255"/>
      <c r="OOW49" s="255"/>
      <c r="OOX49" s="255"/>
      <c r="OOY49" s="255"/>
      <c r="OOZ49" s="255"/>
      <c r="OPA49" s="255"/>
      <c r="OPB49" s="255"/>
      <c r="OPC49" s="255"/>
      <c r="OPD49" s="255"/>
      <c r="OPE49" s="255"/>
      <c r="OPF49" s="255"/>
      <c r="OPG49" s="255"/>
      <c r="OPH49" s="255"/>
      <c r="OPI49" s="255"/>
      <c r="OPJ49" s="255"/>
      <c r="OPK49" s="255"/>
      <c r="OPL49" s="255"/>
      <c r="OPM49" s="255"/>
      <c r="OPN49" s="255"/>
      <c r="OPO49" s="255"/>
      <c r="OPP49" s="255"/>
      <c r="OPQ49" s="255"/>
      <c r="OPR49" s="255"/>
      <c r="OPS49" s="255"/>
      <c r="OPT49" s="255"/>
      <c r="OPU49" s="255"/>
      <c r="OPV49" s="255"/>
      <c r="OPW49" s="255"/>
      <c r="OPX49" s="255"/>
      <c r="OPY49" s="255"/>
      <c r="OPZ49" s="255"/>
      <c r="OQA49" s="255"/>
      <c r="OQB49" s="255"/>
      <c r="OQC49" s="255"/>
      <c r="OQD49" s="255"/>
      <c r="OQE49" s="255"/>
      <c r="OQF49" s="255"/>
      <c r="OQG49" s="255"/>
      <c r="OQH49" s="255"/>
      <c r="OQI49" s="255"/>
      <c r="OQJ49" s="255"/>
      <c r="OQK49" s="255"/>
      <c r="OQL49" s="255"/>
      <c r="OQM49" s="255"/>
      <c r="OQN49" s="255"/>
      <c r="OQO49" s="255"/>
      <c r="OQP49" s="255"/>
      <c r="OQQ49" s="255"/>
      <c r="OQR49" s="255"/>
      <c r="OQS49" s="255"/>
      <c r="OQT49" s="255"/>
      <c r="OQU49" s="255"/>
      <c r="OQV49" s="255"/>
      <c r="OQW49" s="255"/>
      <c r="OQX49" s="255"/>
      <c r="OQY49" s="255"/>
      <c r="OQZ49" s="255"/>
      <c r="ORA49" s="255"/>
      <c r="ORB49" s="255"/>
      <c r="ORC49" s="255"/>
      <c r="ORD49" s="255"/>
      <c r="ORE49" s="255"/>
      <c r="ORF49" s="255"/>
      <c r="ORG49" s="255"/>
      <c r="ORH49" s="255"/>
      <c r="ORI49" s="255"/>
      <c r="ORJ49" s="255"/>
      <c r="ORK49" s="255"/>
      <c r="ORL49" s="255"/>
      <c r="ORM49" s="255"/>
      <c r="ORN49" s="255"/>
      <c r="ORO49" s="255"/>
      <c r="ORP49" s="255"/>
      <c r="ORQ49" s="255"/>
      <c r="ORR49" s="255"/>
      <c r="ORS49" s="255"/>
      <c r="ORT49" s="255"/>
      <c r="ORU49" s="255"/>
      <c r="ORV49" s="255"/>
      <c r="ORW49" s="255"/>
      <c r="ORX49" s="255"/>
      <c r="ORY49" s="255"/>
      <c r="ORZ49" s="255"/>
      <c r="OSA49" s="255"/>
      <c r="OSB49" s="255"/>
      <c r="OSC49" s="255"/>
      <c r="OSD49" s="255"/>
      <c r="OSE49" s="255"/>
      <c r="OSF49" s="255"/>
      <c r="OSG49" s="255"/>
      <c r="OSH49" s="255"/>
      <c r="OSI49" s="255"/>
      <c r="OSJ49" s="255"/>
      <c r="OSK49" s="255"/>
      <c r="OSL49" s="255"/>
      <c r="OSM49" s="255"/>
      <c r="OSN49" s="255"/>
      <c r="OSO49" s="255"/>
      <c r="OSP49" s="255"/>
      <c r="OSQ49" s="255"/>
      <c r="OSR49" s="255"/>
      <c r="OSS49" s="255"/>
      <c r="OST49" s="255"/>
      <c r="OSU49" s="255"/>
      <c r="OSV49" s="255"/>
      <c r="OSW49" s="255"/>
      <c r="OSX49" s="255"/>
      <c r="OSY49" s="255"/>
      <c r="OSZ49" s="255"/>
      <c r="OTA49" s="255"/>
      <c r="OTB49" s="255"/>
      <c r="OTC49" s="255"/>
      <c r="OTD49" s="255"/>
      <c r="OTE49" s="255"/>
      <c r="OTF49" s="255"/>
      <c r="OTG49" s="255"/>
      <c r="OTH49" s="255"/>
      <c r="OTI49" s="255"/>
      <c r="OTJ49" s="255"/>
      <c r="OTK49" s="255"/>
      <c r="OTL49" s="255"/>
      <c r="OTM49" s="255"/>
      <c r="OTN49" s="255"/>
      <c r="OTO49" s="255"/>
      <c r="OTP49" s="255"/>
      <c r="OTQ49" s="255"/>
      <c r="OTR49" s="255"/>
      <c r="OTS49" s="255"/>
      <c r="OTT49" s="255"/>
      <c r="OTU49" s="255"/>
      <c r="OTV49" s="255"/>
      <c r="OTW49" s="255"/>
      <c r="OTX49" s="255"/>
      <c r="OTY49" s="255"/>
      <c r="OTZ49" s="255"/>
      <c r="OUA49" s="255"/>
      <c r="OUB49" s="255"/>
      <c r="OUC49" s="255"/>
      <c r="OUD49" s="255"/>
      <c r="OUE49" s="255"/>
      <c r="OUF49" s="255"/>
      <c r="OUG49" s="255"/>
      <c r="OUH49" s="255"/>
      <c r="OUI49" s="255"/>
      <c r="OUJ49" s="255"/>
      <c r="OUK49" s="255"/>
      <c r="OUL49" s="255"/>
      <c r="OUM49" s="255"/>
      <c r="OUN49" s="255"/>
      <c r="OUO49" s="255"/>
      <c r="OUP49" s="255"/>
      <c r="OUQ49" s="255"/>
      <c r="OUR49" s="255"/>
      <c r="OUS49" s="255"/>
      <c r="OUT49" s="255"/>
      <c r="OUU49" s="255"/>
      <c r="OUV49" s="255"/>
      <c r="OUW49" s="255"/>
      <c r="OUX49" s="255"/>
      <c r="OUY49" s="255"/>
      <c r="OUZ49" s="255"/>
      <c r="OVA49" s="255"/>
      <c r="OVB49" s="255"/>
      <c r="OVC49" s="255"/>
      <c r="OVD49" s="255"/>
      <c r="OVE49" s="255"/>
      <c r="OVF49" s="255"/>
      <c r="OVG49" s="255"/>
      <c r="OVH49" s="255"/>
      <c r="OVI49" s="255"/>
      <c r="OVJ49" s="255"/>
      <c r="OVK49" s="255"/>
      <c r="OVL49" s="255"/>
      <c r="OVM49" s="255"/>
      <c r="OVN49" s="255"/>
      <c r="OVO49" s="255"/>
      <c r="OVP49" s="255"/>
      <c r="OVQ49" s="255"/>
      <c r="OVR49" s="255"/>
      <c r="OVS49" s="255"/>
      <c r="OVT49" s="255"/>
      <c r="OVU49" s="255"/>
      <c r="OVV49" s="255"/>
      <c r="OVW49" s="255"/>
      <c r="OVX49" s="255"/>
      <c r="OVY49" s="255"/>
      <c r="OVZ49" s="255"/>
      <c r="OWA49" s="255"/>
      <c r="OWB49" s="255"/>
      <c r="OWC49" s="255"/>
      <c r="OWD49" s="255"/>
      <c r="OWE49" s="255"/>
      <c r="OWF49" s="255"/>
      <c r="OWG49" s="255"/>
      <c r="OWH49" s="255"/>
      <c r="OWI49" s="255"/>
      <c r="OWJ49" s="255"/>
      <c r="OWK49" s="255"/>
      <c r="OWL49" s="255"/>
      <c r="OWM49" s="255"/>
      <c r="OWN49" s="255"/>
      <c r="OWO49" s="255"/>
      <c r="OWP49" s="255"/>
      <c r="OWQ49" s="255"/>
      <c r="OWR49" s="255"/>
      <c r="OWS49" s="255"/>
      <c r="OWT49" s="255"/>
      <c r="OWU49" s="255"/>
      <c r="OWV49" s="255"/>
      <c r="OWW49" s="255"/>
      <c r="OWX49" s="255"/>
      <c r="OWY49" s="255"/>
      <c r="OWZ49" s="255"/>
      <c r="OXA49" s="255"/>
      <c r="OXB49" s="255"/>
      <c r="OXC49" s="255"/>
      <c r="OXD49" s="255"/>
      <c r="OXE49" s="255"/>
      <c r="OXF49" s="255"/>
      <c r="OXG49" s="255"/>
      <c r="OXH49" s="255"/>
      <c r="OXI49" s="255"/>
      <c r="OXJ49" s="255"/>
      <c r="OXK49" s="255"/>
      <c r="OXL49" s="255"/>
      <c r="OXM49" s="255"/>
      <c r="OXN49" s="255"/>
      <c r="OXO49" s="255"/>
      <c r="OXP49" s="255"/>
      <c r="OXQ49" s="255"/>
      <c r="OXR49" s="255"/>
      <c r="OXS49" s="255"/>
      <c r="OXT49" s="255"/>
      <c r="OXU49" s="255"/>
      <c r="OXV49" s="255"/>
      <c r="OXW49" s="255"/>
      <c r="OXX49" s="255"/>
      <c r="OXY49" s="255"/>
      <c r="OXZ49" s="255"/>
      <c r="OYA49" s="255"/>
      <c r="OYB49" s="255"/>
      <c r="OYC49" s="255"/>
      <c r="OYD49" s="255"/>
      <c r="OYE49" s="255"/>
      <c r="OYF49" s="255"/>
      <c r="OYG49" s="255"/>
      <c r="OYH49" s="255"/>
      <c r="OYI49" s="255"/>
      <c r="OYJ49" s="255"/>
      <c r="OYK49" s="255"/>
      <c r="OYL49" s="255"/>
      <c r="OYM49" s="255"/>
      <c r="OYN49" s="255"/>
      <c r="OYO49" s="255"/>
      <c r="OYP49" s="255"/>
      <c r="OYQ49" s="255"/>
      <c r="OYR49" s="255"/>
      <c r="OYS49" s="255"/>
      <c r="OYT49" s="255"/>
      <c r="OYU49" s="255"/>
      <c r="OYV49" s="255"/>
      <c r="OYW49" s="255"/>
      <c r="OYX49" s="255"/>
      <c r="OYY49" s="255"/>
      <c r="OYZ49" s="255"/>
      <c r="OZA49" s="255"/>
      <c r="OZB49" s="255"/>
      <c r="OZC49" s="255"/>
      <c r="OZD49" s="255"/>
      <c r="OZE49" s="255"/>
      <c r="OZF49" s="255"/>
      <c r="OZG49" s="255"/>
      <c r="OZH49" s="255"/>
      <c r="OZI49" s="255"/>
      <c r="OZJ49" s="255"/>
      <c r="OZK49" s="255"/>
      <c r="OZL49" s="255"/>
      <c r="OZM49" s="255"/>
      <c r="OZN49" s="255"/>
      <c r="OZO49" s="255"/>
      <c r="OZP49" s="255"/>
      <c r="OZQ49" s="255"/>
      <c r="OZR49" s="255"/>
      <c r="OZS49" s="255"/>
      <c r="OZT49" s="255"/>
      <c r="OZU49" s="255"/>
      <c r="OZV49" s="255"/>
      <c r="OZW49" s="255"/>
      <c r="OZX49" s="255"/>
      <c r="OZY49" s="255"/>
      <c r="OZZ49" s="255"/>
      <c r="PAA49" s="255"/>
      <c r="PAB49" s="255"/>
      <c r="PAC49" s="255"/>
      <c r="PAD49" s="255"/>
      <c r="PAE49" s="255"/>
      <c r="PAF49" s="255"/>
      <c r="PAG49" s="255"/>
      <c r="PAH49" s="255"/>
      <c r="PAI49" s="255"/>
      <c r="PAJ49" s="255"/>
      <c r="PAK49" s="255"/>
      <c r="PAL49" s="255"/>
      <c r="PAM49" s="255"/>
      <c r="PAN49" s="255"/>
      <c r="PAO49" s="255"/>
      <c r="PAP49" s="255"/>
      <c r="PAQ49" s="255"/>
      <c r="PAR49" s="255"/>
      <c r="PAS49" s="255"/>
      <c r="PAT49" s="255"/>
      <c r="PAU49" s="255"/>
      <c r="PAV49" s="255"/>
      <c r="PAW49" s="255"/>
      <c r="PAX49" s="255"/>
      <c r="PAY49" s="255"/>
      <c r="PAZ49" s="255"/>
      <c r="PBA49" s="255"/>
      <c r="PBB49" s="255"/>
      <c r="PBC49" s="255"/>
      <c r="PBD49" s="255"/>
      <c r="PBE49" s="255"/>
      <c r="PBF49" s="255"/>
      <c r="PBG49" s="255"/>
      <c r="PBH49" s="255"/>
      <c r="PBI49" s="255"/>
      <c r="PBJ49" s="255"/>
      <c r="PBK49" s="255"/>
      <c r="PBL49" s="255"/>
      <c r="PBM49" s="255"/>
      <c r="PBN49" s="255"/>
      <c r="PBO49" s="255"/>
      <c r="PBP49" s="255"/>
      <c r="PBQ49" s="255"/>
      <c r="PBR49" s="255"/>
      <c r="PBS49" s="255"/>
      <c r="PBT49" s="255"/>
      <c r="PBU49" s="255"/>
      <c r="PBV49" s="255"/>
      <c r="PBW49" s="255"/>
      <c r="PBX49" s="255"/>
      <c r="PBY49" s="255"/>
      <c r="PBZ49" s="255"/>
      <c r="PCA49" s="255"/>
      <c r="PCB49" s="255"/>
      <c r="PCC49" s="255"/>
      <c r="PCD49" s="255"/>
      <c r="PCE49" s="255"/>
      <c r="PCF49" s="255"/>
      <c r="PCG49" s="255"/>
      <c r="PCH49" s="255"/>
      <c r="PCI49" s="255"/>
      <c r="PCJ49" s="255"/>
      <c r="PCK49" s="255"/>
      <c r="PCL49" s="255"/>
      <c r="PCM49" s="255"/>
      <c r="PCN49" s="255"/>
      <c r="PCO49" s="255"/>
      <c r="PCP49" s="255"/>
      <c r="PCQ49" s="255"/>
      <c r="PCR49" s="255"/>
      <c r="PCS49" s="255"/>
      <c r="PCT49" s="255"/>
      <c r="PCU49" s="255"/>
      <c r="PCV49" s="255"/>
      <c r="PCW49" s="255"/>
      <c r="PCX49" s="255"/>
      <c r="PCY49" s="255"/>
      <c r="PCZ49" s="255"/>
      <c r="PDA49" s="255"/>
      <c r="PDB49" s="255"/>
      <c r="PDC49" s="255"/>
      <c r="PDD49" s="255"/>
      <c r="PDE49" s="255"/>
      <c r="PDF49" s="255"/>
      <c r="PDG49" s="255"/>
      <c r="PDH49" s="255"/>
      <c r="PDI49" s="255"/>
      <c r="PDJ49" s="255"/>
      <c r="PDK49" s="255"/>
      <c r="PDL49" s="255"/>
      <c r="PDM49" s="255"/>
      <c r="PDN49" s="255"/>
      <c r="PDO49" s="255"/>
      <c r="PDP49" s="255"/>
      <c r="PDQ49" s="255"/>
      <c r="PDR49" s="255"/>
      <c r="PDS49" s="255"/>
      <c r="PDT49" s="255"/>
      <c r="PDU49" s="255"/>
      <c r="PDV49" s="255"/>
      <c r="PDW49" s="255"/>
      <c r="PDX49" s="255"/>
      <c r="PDY49" s="255"/>
      <c r="PDZ49" s="255"/>
      <c r="PEA49" s="255"/>
      <c r="PEB49" s="255"/>
      <c r="PEC49" s="255"/>
      <c r="PED49" s="255"/>
      <c r="PEE49" s="255"/>
      <c r="PEF49" s="255"/>
      <c r="PEG49" s="255"/>
      <c r="PEH49" s="255"/>
      <c r="PEI49" s="255"/>
      <c r="PEJ49" s="255"/>
      <c r="PEK49" s="255"/>
      <c r="PEL49" s="255"/>
      <c r="PEM49" s="255"/>
      <c r="PEN49" s="255"/>
      <c r="PEO49" s="255"/>
      <c r="PEP49" s="255"/>
      <c r="PEQ49" s="255"/>
      <c r="PER49" s="255"/>
      <c r="PES49" s="255"/>
      <c r="PET49" s="255"/>
      <c r="PEU49" s="255"/>
      <c r="PEV49" s="255"/>
      <c r="PEW49" s="255"/>
      <c r="PEX49" s="255"/>
      <c r="PEY49" s="255"/>
      <c r="PEZ49" s="255"/>
      <c r="PFA49" s="255"/>
      <c r="PFB49" s="255"/>
      <c r="PFC49" s="255"/>
      <c r="PFD49" s="255"/>
      <c r="PFE49" s="255"/>
      <c r="PFF49" s="255"/>
      <c r="PFG49" s="255"/>
      <c r="PFH49" s="255"/>
      <c r="PFI49" s="255"/>
      <c r="PFJ49" s="255"/>
      <c r="PFK49" s="255"/>
      <c r="PFL49" s="255"/>
      <c r="PFM49" s="255"/>
      <c r="PFN49" s="255"/>
      <c r="PFO49" s="255"/>
      <c r="PFP49" s="255"/>
      <c r="PFQ49" s="255"/>
      <c r="PFR49" s="255"/>
      <c r="PFS49" s="255"/>
      <c r="PFT49" s="255"/>
      <c r="PFU49" s="255"/>
      <c r="PFV49" s="255"/>
      <c r="PFW49" s="255"/>
      <c r="PFX49" s="255"/>
      <c r="PFY49" s="255"/>
      <c r="PFZ49" s="255"/>
      <c r="PGA49" s="255"/>
      <c r="PGB49" s="255"/>
      <c r="PGC49" s="255"/>
      <c r="PGD49" s="255"/>
      <c r="PGE49" s="255"/>
      <c r="PGF49" s="255"/>
      <c r="PGG49" s="255"/>
      <c r="PGH49" s="255"/>
      <c r="PGI49" s="255"/>
      <c r="PGJ49" s="255"/>
      <c r="PGK49" s="255"/>
      <c r="PGL49" s="255"/>
      <c r="PGM49" s="255"/>
      <c r="PGN49" s="255"/>
      <c r="PGO49" s="255"/>
      <c r="PGP49" s="255"/>
      <c r="PGQ49" s="255"/>
      <c r="PGR49" s="255"/>
      <c r="PGS49" s="255"/>
      <c r="PGT49" s="255"/>
      <c r="PGU49" s="255"/>
      <c r="PGV49" s="255"/>
      <c r="PGW49" s="255"/>
      <c r="PGX49" s="255"/>
      <c r="PGY49" s="255"/>
      <c r="PGZ49" s="255"/>
      <c r="PHA49" s="255"/>
      <c r="PHB49" s="255"/>
      <c r="PHC49" s="255"/>
      <c r="PHD49" s="255"/>
      <c r="PHE49" s="255"/>
      <c r="PHF49" s="255"/>
      <c r="PHG49" s="255"/>
      <c r="PHH49" s="255"/>
      <c r="PHI49" s="255"/>
      <c r="PHJ49" s="255"/>
      <c r="PHK49" s="255"/>
      <c r="PHL49" s="255"/>
      <c r="PHM49" s="255"/>
      <c r="PHN49" s="255"/>
      <c r="PHO49" s="255"/>
      <c r="PHP49" s="255"/>
      <c r="PHQ49" s="255"/>
      <c r="PHR49" s="255"/>
      <c r="PHS49" s="255"/>
      <c r="PHT49" s="255"/>
      <c r="PHU49" s="255"/>
      <c r="PHV49" s="255"/>
      <c r="PHW49" s="255"/>
      <c r="PHX49" s="255"/>
      <c r="PHY49" s="255"/>
      <c r="PHZ49" s="255"/>
      <c r="PIA49" s="255"/>
      <c r="PIB49" s="255"/>
      <c r="PIC49" s="255"/>
      <c r="PID49" s="255"/>
      <c r="PIE49" s="255"/>
      <c r="PIF49" s="255"/>
      <c r="PIG49" s="255"/>
      <c r="PIH49" s="255"/>
      <c r="PII49" s="255"/>
      <c r="PIJ49" s="255"/>
      <c r="PIK49" s="255"/>
      <c r="PIL49" s="255"/>
      <c r="PIM49" s="255"/>
      <c r="PIN49" s="255"/>
      <c r="PIO49" s="255"/>
      <c r="PIP49" s="255"/>
      <c r="PIQ49" s="255"/>
      <c r="PIR49" s="255"/>
      <c r="PIS49" s="255"/>
      <c r="PIT49" s="255"/>
      <c r="PIU49" s="255"/>
      <c r="PIV49" s="255"/>
      <c r="PIW49" s="255"/>
      <c r="PIX49" s="255"/>
      <c r="PIY49" s="255"/>
      <c r="PIZ49" s="255"/>
      <c r="PJA49" s="255"/>
      <c r="PJB49" s="255"/>
      <c r="PJC49" s="255"/>
      <c r="PJD49" s="255"/>
      <c r="PJE49" s="255"/>
      <c r="PJF49" s="255"/>
      <c r="PJG49" s="255"/>
      <c r="PJH49" s="255"/>
      <c r="PJI49" s="255"/>
      <c r="PJJ49" s="255"/>
      <c r="PJK49" s="255"/>
      <c r="PJL49" s="255"/>
      <c r="PJM49" s="255"/>
      <c r="PJN49" s="255"/>
      <c r="PJO49" s="255"/>
      <c r="PJP49" s="255"/>
      <c r="PJQ49" s="255"/>
      <c r="PJR49" s="255"/>
      <c r="PJS49" s="255"/>
      <c r="PJT49" s="255"/>
      <c r="PJU49" s="255"/>
      <c r="PJV49" s="255"/>
      <c r="PJW49" s="255"/>
      <c r="PJX49" s="255"/>
      <c r="PJY49" s="255"/>
      <c r="PJZ49" s="255"/>
      <c r="PKA49" s="255"/>
      <c r="PKB49" s="255"/>
      <c r="PKC49" s="255"/>
      <c r="PKD49" s="255"/>
      <c r="PKE49" s="255"/>
      <c r="PKF49" s="255"/>
      <c r="PKG49" s="255"/>
      <c r="PKH49" s="255"/>
      <c r="PKI49" s="255"/>
      <c r="PKJ49" s="255"/>
      <c r="PKK49" s="255"/>
      <c r="PKL49" s="255"/>
      <c r="PKM49" s="255"/>
      <c r="PKN49" s="255"/>
      <c r="PKO49" s="255"/>
      <c r="PKP49" s="255"/>
      <c r="PKQ49" s="255"/>
      <c r="PKR49" s="255"/>
      <c r="PKS49" s="255"/>
      <c r="PKT49" s="255"/>
      <c r="PKU49" s="255"/>
      <c r="PKV49" s="255"/>
      <c r="PKW49" s="255"/>
      <c r="PKX49" s="255"/>
      <c r="PKY49" s="255"/>
      <c r="PKZ49" s="255"/>
      <c r="PLA49" s="255"/>
      <c r="PLB49" s="255"/>
      <c r="PLC49" s="255"/>
      <c r="PLD49" s="255"/>
      <c r="PLE49" s="255"/>
      <c r="PLF49" s="255"/>
      <c r="PLG49" s="255"/>
      <c r="PLH49" s="255"/>
      <c r="PLI49" s="255"/>
      <c r="PLJ49" s="255"/>
      <c r="PLK49" s="255"/>
      <c r="PLL49" s="255"/>
      <c r="PLM49" s="255"/>
      <c r="PLN49" s="255"/>
      <c r="PLO49" s="255"/>
      <c r="PLP49" s="255"/>
      <c r="PLQ49" s="255"/>
      <c r="PLR49" s="255"/>
      <c r="PLS49" s="255"/>
      <c r="PLT49" s="255"/>
      <c r="PLU49" s="255"/>
      <c r="PLV49" s="255"/>
      <c r="PLW49" s="255"/>
      <c r="PLX49" s="255"/>
      <c r="PLY49" s="255"/>
      <c r="PLZ49" s="255"/>
      <c r="PMA49" s="255"/>
      <c r="PMB49" s="255"/>
      <c r="PMC49" s="255"/>
      <c r="PMD49" s="255"/>
      <c r="PME49" s="255"/>
      <c r="PMF49" s="255"/>
      <c r="PMG49" s="255"/>
      <c r="PMH49" s="255"/>
      <c r="PMI49" s="255"/>
      <c r="PMJ49" s="255"/>
      <c r="PMK49" s="255"/>
      <c r="PML49" s="255"/>
      <c r="PMM49" s="255"/>
      <c r="PMN49" s="255"/>
      <c r="PMO49" s="255"/>
      <c r="PMP49" s="255"/>
      <c r="PMQ49" s="255"/>
      <c r="PMR49" s="255"/>
      <c r="PMS49" s="255"/>
      <c r="PMT49" s="255"/>
      <c r="PMU49" s="255"/>
      <c r="PMV49" s="255"/>
      <c r="PMW49" s="255"/>
      <c r="PMX49" s="255"/>
      <c r="PMY49" s="255"/>
      <c r="PMZ49" s="255"/>
      <c r="PNA49" s="255"/>
      <c r="PNB49" s="255"/>
      <c r="PNC49" s="255"/>
      <c r="PND49" s="255"/>
      <c r="PNE49" s="255"/>
      <c r="PNF49" s="255"/>
      <c r="PNG49" s="255"/>
      <c r="PNH49" s="255"/>
      <c r="PNI49" s="255"/>
      <c r="PNJ49" s="255"/>
      <c r="PNK49" s="255"/>
      <c r="PNL49" s="255"/>
      <c r="PNM49" s="255"/>
      <c r="PNN49" s="255"/>
      <c r="PNO49" s="255"/>
      <c r="PNP49" s="255"/>
      <c r="PNQ49" s="255"/>
      <c r="PNR49" s="255"/>
      <c r="PNS49" s="255"/>
      <c r="PNT49" s="255"/>
      <c r="PNU49" s="255"/>
      <c r="PNV49" s="255"/>
      <c r="PNW49" s="255"/>
      <c r="PNX49" s="255"/>
      <c r="PNY49" s="255"/>
      <c r="PNZ49" s="255"/>
      <c r="POA49" s="255"/>
      <c r="POB49" s="255"/>
      <c r="POC49" s="255"/>
      <c r="POD49" s="255"/>
      <c r="POE49" s="255"/>
      <c r="POF49" s="255"/>
      <c r="POG49" s="255"/>
      <c r="POH49" s="255"/>
      <c r="POI49" s="255"/>
      <c r="POJ49" s="255"/>
      <c r="POK49" s="255"/>
      <c r="POL49" s="255"/>
      <c r="POM49" s="255"/>
      <c r="PON49" s="255"/>
      <c r="POO49" s="255"/>
      <c r="POP49" s="255"/>
      <c r="POQ49" s="255"/>
      <c r="POR49" s="255"/>
      <c r="POS49" s="255"/>
      <c r="POT49" s="255"/>
      <c r="POU49" s="255"/>
      <c r="POV49" s="255"/>
      <c r="POW49" s="255"/>
      <c r="POX49" s="255"/>
      <c r="POY49" s="255"/>
      <c r="POZ49" s="255"/>
      <c r="PPA49" s="255"/>
      <c r="PPB49" s="255"/>
      <c r="PPC49" s="255"/>
      <c r="PPD49" s="255"/>
      <c r="PPE49" s="255"/>
      <c r="PPF49" s="255"/>
      <c r="PPG49" s="255"/>
      <c r="PPH49" s="255"/>
      <c r="PPI49" s="255"/>
      <c r="PPJ49" s="255"/>
      <c r="PPK49" s="255"/>
      <c r="PPL49" s="255"/>
      <c r="PPM49" s="255"/>
      <c r="PPN49" s="255"/>
      <c r="PPO49" s="255"/>
      <c r="PPP49" s="255"/>
      <c r="PPQ49" s="255"/>
      <c r="PPR49" s="255"/>
      <c r="PPS49" s="255"/>
      <c r="PPT49" s="255"/>
      <c r="PPU49" s="255"/>
      <c r="PPV49" s="255"/>
      <c r="PPW49" s="255"/>
      <c r="PPX49" s="255"/>
      <c r="PPY49" s="255"/>
      <c r="PPZ49" s="255"/>
      <c r="PQA49" s="255"/>
      <c r="PQB49" s="255"/>
      <c r="PQC49" s="255"/>
      <c r="PQD49" s="255"/>
      <c r="PQE49" s="255"/>
      <c r="PQF49" s="255"/>
      <c r="PQG49" s="255"/>
      <c r="PQH49" s="255"/>
      <c r="PQI49" s="255"/>
      <c r="PQJ49" s="255"/>
      <c r="PQK49" s="255"/>
      <c r="PQL49" s="255"/>
      <c r="PQM49" s="255"/>
      <c r="PQN49" s="255"/>
      <c r="PQO49" s="255"/>
      <c r="PQP49" s="255"/>
      <c r="PQQ49" s="255"/>
      <c r="PQR49" s="255"/>
      <c r="PQS49" s="255"/>
      <c r="PQT49" s="255"/>
      <c r="PQU49" s="255"/>
      <c r="PQV49" s="255"/>
      <c r="PQW49" s="255"/>
      <c r="PQX49" s="255"/>
      <c r="PQY49" s="255"/>
      <c r="PQZ49" s="255"/>
      <c r="PRA49" s="255"/>
      <c r="PRB49" s="255"/>
      <c r="PRC49" s="255"/>
      <c r="PRD49" s="255"/>
      <c r="PRE49" s="255"/>
      <c r="PRF49" s="255"/>
      <c r="PRG49" s="255"/>
      <c r="PRH49" s="255"/>
      <c r="PRI49" s="255"/>
      <c r="PRJ49" s="255"/>
      <c r="PRK49" s="255"/>
      <c r="PRL49" s="255"/>
      <c r="PRM49" s="255"/>
      <c r="PRN49" s="255"/>
      <c r="PRO49" s="255"/>
      <c r="PRP49" s="255"/>
      <c r="PRQ49" s="255"/>
      <c r="PRR49" s="255"/>
      <c r="PRS49" s="255"/>
      <c r="PRT49" s="255"/>
      <c r="PRU49" s="255"/>
      <c r="PRV49" s="255"/>
      <c r="PRW49" s="255"/>
      <c r="PRX49" s="255"/>
      <c r="PRY49" s="255"/>
      <c r="PRZ49" s="255"/>
      <c r="PSA49" s="255"/>
      <c r="PSB49" s="255"/>
      <c r="PSC49" s="255"/>
      <c r="PSD49" s="255"/>
      <c r="PSE49" s="255"/>
      <c r="PSF49" s="255"/>
      <c r="PSG49" s="255"/>
      <c r="PSH49" s="255"/>
      <c r="PSI49" s="255"/>
      <c r="PSJ49" s="255"/>
      <c r="PSK49" s="255"/>
      <c r="PSL49" s="255"/>
      <c r="PSM49" s="255"/>
      <c r="PSN49" s="255"/>
      <c r="PSO49" s="255"/>
      <c r="PSP49" s="255"/>
      <c r="PSQ49" s="255"/>
      <c r="PSR49" s="255"/>
      <c r="PSS49" s="255"/>
      <c r="PST49" s="255"/>
      <c r="PSU49" s="255"/>
      <c r="PSV49" s="255"/>
      <c r="PSW49" s="255"/>
      <c r="PSX49" s="255"/>
      <c r="PSY49" s="255"/>
      <c r="PSZ49" s="255"/>
      <c r="PTA49" s="255"/>
      <c r="PTB49" s="255"/>
      <c r="PTC49" s="255"/>
      <c r="PTD49" s="255"/>
      <c r="PTE49" s="255"/>
      <c r="PTF49" s="255"/>
      <c r="PTG49" s="255"/>
      <c r="PTH49" s="255"/>
      <c r="PTI49" s="255"/>
      <c r="PTJ49" s="255"/>
      <c r="PTK49" s="255"/>
      <c r="PTL49" s="255"/>
      <c r="PTM49" s="255"/>
      <c r="PTN49" s="255"/>
      <c r="PTO49" s="255"/>
      <c r="PTP49" s="255"/>
      <c r="PTQ49" s="255"/>
      <c r="PTR49" s="255"/>
      <c r="PTS49" s="255"/>
      <c r="PTT49" s="255"/>
      <c r="PTU49" s="255"/>
      <c r="PTV49" s="255"/>
      <c r="PTW49" s="255"/>
      <c r="PTX49" s="255"/>
      <c r="PTY49" s="255"/>
      <c r="PTZ49" s="255"/>
      <c r="PUA49" s="255"/>
      <c r="PUB49" s="255"/>
      <c r="PUC49" s="255"/>
      <c r="PUD49" s="255"/>
      <c r="PUE49" s="255"/>
      <c r="PUF49" s="255"/>
      <c r="PUG49" s="255"/>
      <c r="PUH49" s="255"/>
      <c r="PUI49" s="255"/>
      <c r="PUJ49" s="255"/>
      <c r="PUK49" s="255"/>
      <c r="PUL49" s="255"/>
      <c r="PUM49" s="255"/>
      <c r="PUN49" s="255"/>
      <c r="PUO49" s="255"/>
      <c r="PUP49" s="255"/>
      <c r="PUQ49" s="255"/>
      <c r="PUR49" s="255"/>
      <c r="PUS49" s="255"/>
      <c r="PUT49" s="255"/>
      <c r="PUU49" s="255"/>
      <c r="PUV49" s="255"/>
      <c r="PUW49" s="255"/>
      <c r="PUX49" s="255"/>
      <c r="PUY49" s="255"/>
      <c r="PUZ49" s="255"/>
      <c r="PVA49" s="255"/>
      <c r="PVB49" s="255"/>
      <c r="PVC49" s="255"/>
      <c r="PVD49" s="255"/>
      <c r="PVE49" s="255"/>
      <c r="PVF49" s="255"/>
      <c r="PVG49" s="255"/>
      <c r="PVH49" s="255"/>
      <c r="PVI49" s="255"/>
      <c r="PVJ49" s="255"/>
      <c r="PVK49" s="255"/>
      <c r="PVL49" s="255"/>
      <c r="PVM49" s="255"/>
      <c r="PVN49" s="255"/>
      <c r="PVO49" s="255"/>
      <c r="PVP49" s="255"/>
      <c r="PVQ49" s="255"/>
      <c r="PVR49" s="255"/>
      <c r="PVS49" s="255"/>
      <c r="PVT49" s="255"/>
      <c r="PVU49" s="255"/>
      <c r="PVV49" s="255"/>
      <c r="PVW49" s="255"/>
      <c r="PVX49" s="255"/>
      <c r="PVY49" s="255"/>
      <c r="PVZ49" s="255"/>
      <c r="PWA49" s="255"/>
      <c r="PWB49" s="255"/>
      <c r="PWC49" s="255"/>
      <c r="PWD49" s="255"/>
      <c r="PWE49" s="255"/>
      <c r="PWF49" s="255"/>
      <c r="PWG49" s="255"/>
      <c r="PWH49" s="255"/>
      <c r="PWI49" s="255"/>
      <c r="PWJ49" s="255"/>
      <c r="PWK49" s="255"/>
      <c r="PWL49" s="255"/>
      <c r="PWM49" s="255"/>
      <c r="PWN49" s="255"/>
      <c r="PWO49" s="255"/>
      <c r="PWP49" s="255"/>
      <c r="PWQ49" s="255"/>
      <c r="PWR49" s="255"/>
      <c r="PWS49" s="255"/>
      <c r="PWT49" s="255"/>
      <c r="PWU49" s="255"/>
      <c r="PWV49" s="255"/>
      <c r="PWW49" s="255"/>
      <c r="PWX49" s="255"/>
      <c r="PWY49" s="255"/>
      <c r="PWZ49" s="255"/>
      <c r="PXA49" s="255"/>
      <c r="PXB49" s="255"/>
      <c r="PXC49" s="255"/>
      <c r="PXD49" s="255"/>
      <c r="PXE49" s="255"/>
      <c r="PXF49" s="255"/>
      <c r="PXG49" s="255"/>
      <c r="PXH49" s="255"/>
      <c r="PXI49" s="255"/>
      <c r="PXJ49" s="255"/>
      <c r="PXK49" s="255"/>
      <c r="PXL49" s="255"/>
      <c r="PXM49" s="255"/>
      <c r="PXN49" s="255"/>
      <c r="PXO49" s="255"/>
      <c r="PXP49" s="255"/>
      <c r="PXQ49" s="255"/>
      <c r="PXR49" s="255"/>
      <c r="PXS49" s="255"/>
      <c r="PXT49" s="255"/>
      <c r="PXU49" s="255"/>
      <c r="PXV49" s="255"/>
      <c r="PXW49" s="255"/>
      <c r="PXX49" s="255"/>
      <c r="PXY49" s="255"/>
      <c r="PXZ49" s="255"/>
      <c r="PYA49" s="255"/>
      <c r="PYB49" s="255"/>
      <c r="PYC49" s="255"/>
      <c r="PYD49" s="255"/>
      <c r="PYE49" s="255"/>
      <c r="PYF49" s="255"/>
      <c r="PYG49" s="255"/>
      <c r="PYH49" s="255"/>
      <c r="PYI49" s="255"/>
      <c r="PYJ49" s="255"/>
      <c r="PYK49" s="255"/>
      <c r="PYL49" s="255"/>
      <c r="PYM49" s="255"/>
      <c r="PYN49" s="255"/>
      <c r="PYO49" s="255"/>
      <c r="PYP49" s="255"/>
      <c r="PYQ49" s="255"/>
      <c r="PYR49" s="255"/>
      <c r="PYS49" s="255"/>
      <c r="PYT49" s="255"/>
      <c r="PYU49" s="255"/>
      <c r="PYV49" s="255"/>
      <c r="PYW49" s="255"/>
      <c r="PYX49" s="255"/>
      <c r="PYY49" s="255"/>
      <c r="PYZ49" s="255"/>
      <c r="PZA49" s="255"/>
      <c r="PZB49" s="255"/>
      <c r="PZC49" s="255"/>
      <c r="PZD49" s="255"/>
      <c r="PZE49" s="255"/>
      <c r="PZF49" s="255"/>
      <c r="PZG49" s="255"/>
      <c r="PZH49" s="255"/>
      <c r="PZI49" s="255"/>
      <c r="PZJ49" s="255"/>
      <c r="PZK49" s="255"/>
      <c r="PZL49" s="255"/>
      <c r="PZM49" s="255"/>
      <c r="PZN49" s="255"/>
      <c r="PZO49" s="255"/>
      <c r="PZP49" s="255"/>
      <c r="PZQ49" s="255"/>
      <c r="PZR49" s="255"/>
      <c r="PZS49" s="255"/>
      <c r="PZT49" s="255"/>
      <c r="PZU49" s="255"/>
      <c r="PZV49" s="255"/>
      <c r="PZW49" s="255"/>
      <c r="PZX49" s="255"/>
      <c r="PZY49" s="255"/>
      <c r="PZZ49" s="255"/>
      <c r="QAA49" s="255"/>
      <c r="QAB49" s="255"/>
      <c r="QAC49" s="255"/>
      <c r="QAD49" s="255"/>
      <c r="QAE49" s="255"/>
      <c r="QAF49" s="255"/>
      <c r="QAG49" s="255"/>
      <c r="QAH49" s="255"/>
      <c r="QAI49" s="255"/>
      <c r="QAJ49" s="255"/>
      <c r="QAK49" s="255"/>
      <c r="QAL49" s="255"/>
      <c r="QAM49" s="255"/>
      <c r="QAN49" s="255"/>
      <c r="QAO49" s="255"/>
      <c r="QAP49" s="255"/>
      <c r="QAQ49" s="255"/>
      <c r="QAR49" s="255"/>
      <c r="QAS49" s="255"/>
      <c r="QAT49" s="255"/>
      <c r="QAU49" s="255"/>
      <c r="QAV49" s="255"/>
      <c r="QAW49" s="255"/>
      <c r="QAX49" s="255"/>
      <c r="QAY49" s="255"/>
      <c r="QAZ49" s="255"/>
      <c r="QBA49" s="255"/>
      <c r="QBB49" s="255"/>
      <c r="QBC49" s="255"/>
      <c r="QBD49" s="255"/>
      <c r="QBE49" s="255"/>
      <c r="QBF49" s="255"/>
      <c r="QBG49" s="255"/>
      <c r="QBH49" s="255"/>
      <c r="QBI49" s="255"/>
      <c r="QBJ49" s="255"/>
      <c r="QBK49" s="255"/>
      <c r="QBL49" s="255"/>
      <c r="QBM49" s="255"/>
      <c r="QBN49" s="255"/>
      <c r="QBO49" s="255"/>
      <c r="QBP49" s="255"/>
      <c r="QBQ49" s="255"/>
      <c r="QBR49" s="255"/>
      <c r="QBS49" s="255"/>
      <c r="QBT49" s="255"/>
      <c r="QBU49" s="255"/>
      <c r="QBV49" s="255"/>
      <c r="QBW49" s="255"/>
      <c r="QBX49" s="255"/>
      <c r="QBY49" s="255"/>
      <c r="QBZ49" s="255"/>
      <c r="QCA49" s="255"/>
      <c r="QCB49" s="255"/>
      <c r="QCC49" s="255"/>
      <c r="QCD49" s="255"/>
      <c r="QCE49" s="255"/>
      <c r="QCF49" s="255"/>
      <c r="QCG49" s="255"/>
      <c r="QCH49" s="255"/>
      <c r="QCI49" s="255"/>
      <c r="QCJ49" s="255"/>
      <c r="QCK49" s="255"/>
      <c r="QCL49" s="255"/>
      <c r="QCM49" s="255"/>
      <c r="QCN49" s="255"/>
      <c r="QCO49" s="255"/>
      <c r="QCP49" s="255"/>
      <c r="QCQ49" s="255"/>
      <c r="QCR49" s="255"/>
      <c r="QCS49" s="255"/>
      <c r="QCT49" s="255"/>
      <c r="QCU49" s="255"/>
      <c r="QCV49" s="255"/>
      <c r="QCW49" s="255"/>
      <c r="QCX49" s="255"/>
      <c r="QCY49" s="255"/>
      <c r="QCZ49" s="255"/>
      <c r="QDA49" s="255"/>
      <c r="QDB49" s="255"/>
      <c r="QDC49" s="255"/>
      <c r="QDD49" s="255"/>
      <c r="QDE49" s="255"/>
      <c r="QDF49" s="255"/>
      <c r="QDG49" s="255"/>
      <c r="QDH49" s="255"/>
      <c r="QDI49" s="255"/>
      <c r="QDJ49" s="255"/>
      <c r="QDK49" s="255"/>
      <c r="QDL49" s="255"/>
      <c r="QDM49" s="255"/>
      <c r="QDN49" s="255"/>
      <c r="QDO49" s="255"/>
      <c r="QDP49" s="255"/>
      <c r="QDQ49" s="255"/>
      <c r="QDR49" s="255"/>
      <c r="QDS49" s="255"/>
      <c r="QDT49" s="255"/>
      <c r="QDU49" s="255"/>
      <c r="QDV49" s="255"/>
      <c r="QDW49" s="255"/>
      <c r="QDX49" s="255"/>
      <c r="QDY49" s="255"/>
      <c r="QDZ49" s="255"/>
      <c r="QEA49" s="255"/>
      <c r="QEB49" s="255"/>
      <c r="QEC49" s="255"/>
      <c r="QED49" s="255"/>
      <c r="QEE49" s="255"/>
      <c r="QEF49" s="255"/>
      <c r="QEG49" s="255"/>
      <c r="QEH49" s="255"/>
      <c r="QEI49" s="255"/>
      <c r="QEJ49" s="255"/>
      <c r="QEK49" s="255"/>
      <c r="QEL49" s="255"/>
      <c r="QEM49" s="255"/>
      <c r="QEN49" s="255"/>
      <c r="QEO49" s="255"/>
      <c r="QEP49" s="255"/>
      <c r="QEQ49" s="255"/>
      <c r="QER49" s="255"/>
      <c r="QES49" s="255"/>
      <c r="QET49" s="255"/>
      <c r="QEU49" s="255"/>
      <c r="QEV49" s="255"/>
      <c r="QEW49" s="255"/>
      <c r="QEX49" s="255"/>
      <c r="QEY49" s="255"/>
      <c r="QEZ49" s="255"/>
      <c r="QFA49" s="255"/>
      <c r="QFB49" s="255"/>
      <c r="QFC49" s="255"/>
      <c r="QFD49" s="255"/>
      <c r="QFE49" s="255"/>
      <c r="QFF49" s="255"/>
      <c r="QFG49" s="255"/>
      <c r="QFH49" s="255"/>
      <c r="QFI49" s="255"/>
      <c r="QFJ49" s="255"/>
      <c r="QFK49" s="255"/>
      <c r="QFL49" s="255"/>
      <c r="QFM49" s="255"/>
      <c r="QFN49" s="255"/>
      <c r="QFO49" s="255"/>
      <c r="QFP49" s="255"/>
      <c r="QFQ49" s="255"/>
      <c r="QFR49" s="255"/>
      <c r="QFS49" s="255"/>
      <c r="QFT49" s="255"/>
      <c r="QFU49" s="255"/>
      <c r="QFV49" s="255"/>
      <c r="QFW49" s="255"/>
      <c r="QFX49" s="255"/>
      <c r="QFY49" s="255"/>
      <c r="QFZ49" s="255"/>
      <c r="QGA49" s="255"/>
      <c r="QGB49" s="255"/>
      <c r="QGC49" s="255"/>
      <c r="QGD49" s="255"/>
      <c r="QGE49" s="255"/>
      <c r="QGF49" s="255"/>
      <c r="QGG49" s="255"/>
      <c r="QGH49" s="255"/>
      <c r="QGI49" s="255"/>
      <c r="QGJ49" s="255"/>
      <c r="QGK49" s="255"/>
      <c r="QGL49" s="255"/>
      <c r="QGM49" s="255"/>
      <c r="QGN49" s="255"/>
      <c r="QGO49" s="255"/>
      <c r="QGP49" s="255"/>
      <c r="QGQ49" s="255"/>
      <c r="QGR49" s="255"/>
      <c r="QGS49" s="255"/>
      <c r="QGT49" s="255"/>
      <c r="QGU49" s="255"/>
      <c r="QGV49" s="255"/>
      <c r="QGW49" s="255"/>
      <c r="QGX49" s="255"/>
      <c r="QGY49" s="255"/>
      <c r="QGZ49" s="255"/>
      <c r="QHA49" s="255"/>
      <c r="QHB49" s="255"/>
      <c r="QHC49" s="255"/>
      <c r="QHD49" s="255"/>
      <c r="QHE49" s="255"/>
      <c r="QHF49" s="255"/>
      <c r="QHG49" s="255"/>
      <c r="QHH49" s="255"/>
      <c r="QHI49" s="255"/>
      <c r="QHJ49" s="255"/>
      <c r="QHK49" s="255"/>
      <c r="QHL49" s="255"/>
      <c r="QHM49" s="255"/>
      <c r="QHN49" s="255"/>
      <c r="QHO49" s="255"/>
      <c r="QHP49" s="255"/>
      <c r="QHQ49" s="255"/>
      <c r="QHR49" s="255"/>
      <c r="QHS49" s="255"/>
      <c r="QHT49" s="255"/>
      <c r="QHU49" s="255"/>
      <c r="QHV49" s="255"/>
      <c r="QHW49" s="255"/>
      <c r="QHX49" s="255"/>
      <c r="QHY49" s="255"/>
      <c r="QHZ49" s="255"/>
      <c r="QIA49" s="255"/>
      <c r="QIB49" s="255"/>
      <c r="QIC49" s="255"/>
      <c r="QID49" s="255"/>
      <c r="QIE49" s="255"/>
      <c r="QIF49" s="255"/>
      <c r="QIG49" s="255"/>
      <c r="QIH49" s="255"/>
      <c r="QII49" s="255"/>
      <c r="QIJ49" s="255"/>
      <c r="QIK49" s="255"/>
      <c r="QIL49" s="255"/>
      <c r="QIM49" s="255"/>
      <c r="QIN49" s="255"/>
      <c r="QIO49" s="255"/>
      <c r="QIP49" s="255"/>
      <c r="QIQ49" s="255"/>
      <c r="QIR49" s="255"/>
      <c r="QIS49" s="255"/>
      <c r="QIT49" s="255"/>
      <c r="QIU49" s="255"/>
      <c r="QIV49" s="255"/>
      <c r="QIW49" s="255"/>
      <c r="QIX49" s="255"/>
      <c r="QIY49" s="255"/>
      <c r="QIZ49" s="255"/>
      <c r="QJA49" s="255"/>
      <c r="QJB49" s="255"/>
      <c r="QJC49" s="255"/>
      <c r="QJD49" s="255"/>
      <c r="QJE49" s="255"/>
      <c r="QJF49" s="255"/>
      <c r="QJG49" s="255"/>
      <c r="QJH49" s="255"/>
      <c r="QJI49" s="255"/>
      <c r="QJJ49" s="255"/>
      <c r="QJK49" s="255"/>
      <c r="QJL49" s="255"/>
      <c r="QJM49" s="255"/>
      <c r="QJN49" s="255"/>
      <c r="QJO49" s="255"/>
      <c r="QJP49" s="255"/>
      <c r="QJQ49" s="255"/>
      <c r="QJR49" s="255"/>
      <c r="QJS49" s="255"/>
      <c r="QJT49" s="255"/>
      <c r="QJU49" s="255"/>
      <c r="QJV49" s="255"/>
      <c r="QJW49" s="255"/>
      <c r="QJX49" s="255"/>
      <c r="QJY49" s="255"/>
      <c r="QJZ49" s="255"/>
      <c r="QKA49" s="255"/>
      <c r="QKB49" s="255"/>
      <c r="QKC49" s="255"/>
      <c r="QKD49" s="255"/>
      <c r="QKE49" s="255"/>
      <c r="QKF49" s="255"/>
      <c r="QKG49" s="255"/>
      <c r="QKH49" s="255"/>
      <c r="QKI49" s="255"/>
      <c r="QKJ49" s="255"/>
      <c r="QKK49" s="255"/>
      <c r="QKL49" s="255"/>
      <c r="QKM49" s="255"/>
      <c r="QKN49" s="255"/>
      <c r="QKO49" s="255"/>
      <c r="QKP49" s="255"/>
      <c r="QKQ49" s="255"/>
      <c r="QKR49" s="255"/>
      <c r="QKS49" s="255"/>
      <c r="QKT49" s="255"/>
      <c r="QKU49" s="255"/>
      <c r="QKV49" s="255"/>
      <c r="QKW49" s="255"/>
      <c r="QKX49" s="255"/>
      <c r="QKY49" s="255"/>
      <c r="QKZ49" s="255"/>
      <c r="QLA49" s="255"/>
      <c r="QLB49" s="255"/>
      <c r="QLC49" s="255"/>
      <c r="QLD49" s="255"/>
      <c r="QLE49" s="255"/>
      <c r="QLF49" s="255"/>
      <c r="QLG49" s="255"/>
      <c r="QLH49" s="255"/>
      <c r="QLI49" s="255"/>
      <c r="QLJ49" s="255"/>
      <c r="QLK49" s="255"/>
      <c r="QLL49" s="255"/>
      <c r="QLM49" s="255"/>
      <c r="QLN49" s="255"/>
      <c r="QLO49" s="255"/>
      <c r="QLP49" s="255"/>
      <c r="QLQ49" s="255"/>
      <c r="QLR49" s="255"/>
      <c r="QLS49" s="255"/>
      <c r="QLT49" s="255"/>
      <c r="QLU49" s="255"/>
      <c r="QLV49" s="255"/>
      <c r="QLW49" s="255"/>
      <c r="QLX49" s="255"/>
      <c r="QLY49" s="255"/>
      <c r="QLZ49" s="255"/>
      <c r="QMA49" s="255"/>
      <c r="QMB49" s="255"/>
      <c r="QMC49" s="255"/>
      <c r="QMD49" s="255"/>
      <c r="QME49" s="255"/>
      <c r="QMF49" s="255"/>
      <c r="QMG49" s="255"/>
      <c r="QMH49" s="255"/>
      <c r="QMI49" s="255"/>
      <c r="QMJ49" s="255"/>
      <c r="QMK49" s="255"/>
      <c r="QML49" s="255"/>
      <c r="QMM49" s="255"/>
      <c r="QMN49" s="255"/>
      <c r="QMO49" s="255"/>
      <c r="QMP49" s="255"/>
      <c r="QMQ49" s="255"/>
      <c r="QMR49" s="255"/>
      <c r="QMS49" s="255"/>
      <c r="QMT49" s="255"/>
      <c r="QMU49" s="255"/>
      <c r="QMV49" s="255"/>
      <c r="QMW49" s="255"/>
      <c r="QMX49" s="255"/>
      <c r="QMY49" s="255"/>
      <c r="QMZ49" s="255"/>
      <c r="QNA49" s="255"/>
      <c r="QNB49" s="255"/>
      <c r="QNC49" s="255"/>
      <c r="QND49" s="255"/>
      <c r="QNE49" s="255"/>
      <c r="QNF49" s="255"/>
      <c r="QNG49" s="255"/>
      <c r="QNH49" s="255"/>
      <c r="QNI49" s="255"/>
      <c r="QNJ49" s="255"/>
      <c r="QNK49" s="255"/>
      <c r="QNL49" s="255"/>
      <c r="QNM49" s="255"/>
      <c r="QNN49" s="255"/>
      <c r="QNO49" s="255"/>
      <c r="QNP49" s="255"/>
      <c r="QNQ49" s="255"/>
      <c r="QNR49" s="255"/>
      <c r="QNS49" s="255"/>
      <c r="QNT49" s="255"/>
      <c r="QNU49" s="255"/>
      <c r="QNV49" s="255"/>
      <c r="QNW49" s="255"/>
      <c r="QNX49" s="255"/>
      <c r="QNY49" s="255"/>
      <c r="QNZ49" s="255"/>
      <c r="QOA49" s="255"/>
      <c r="QOB49" s="255"/>
      <c r="QOC49" s="255"/>
      <c r="QOD49" s="255"/>
      <c r="QOE49" s="255"/>
      <c r="QOF49" s="255"/>
      <c r="QOG49" s="255"/>
      <c r="QOH49" s="255"/>
      <c r="QOI49" s="255"/>
      <c r="QOJ49" s="255"/>
      <c r="QOK49" s="255"/>
      <c r="QOL49" s="255"/>
      <c r="QOM49" s="255"/>
      <c r="QON49" s="255"/>
      <c r="QOO49" s="255"/>
      <c r="QOP49" s="255"/>
      <c r="QOQ49" s="255"/>
      <c r="QOR49" s="255"/>
      <c r="QOS49" s="255"/>
      <c r="QOT49" s="255"/>
      <c r="QOU49" s="255"/>
      <c r="QOV49" s="255"/>
      <c r="QOW49" s="255"/>
      <c r="QOX49" s="255"/>
      <c r="QOY49" s="255"/>
      <c r="QOZ49" s="255"/>
      <c r="QPA49" s="255"/>
      <c r="QPB49" s="255"/>
      <c r="QPC49" s="255"/>
      <c r="QPD49" s="255"/>
      <c r="QPE49" s="255"/>
      <c r="QPF49" s="255"/>
      <c r="QPG49" s="255"/>
      <c r="QPH49" s="255"/>
      <c r="QPI49" s="255"/>
      <c r="QPJ49" s="255"/>
      <c r="QPK49" s="255"/>
      <c r="QPL49" s="255"/>
      <c r="QPM49" s="255"/>
      <c r="QPN49" s="255"/>
      <c r="QPO49" s="255"/>
      <c r="QPP49" s="255"/>
      <c r="QPQ49" s="255"/>
      <c r="QPR49" s="255"/>
      <c r="QPS49" s="255"/>
      <c r="QPT49" s="255"/>
      <c r="QPU49" s="255"/>
      <c r="QPV49" s="255"/>
      <c r="QPW49" s="255"/>
      <c r="QPX49" s="255"/>
      <c r="QPY49" s="255"/>
      <c r="QPZ49" s="255"/>
      <c r="QQA49" s="255"/>
      <c r="QQB49" s="255"/>
      <c r="QQC49" s="255"/>
      <c r="QQD49" s="255"/>
      <c r="QQE49" s="255"/>
      <c r="QQF49" s="255"/>
      <c r="QQG49" s="255"/>
      <c r="QQH49" s="255"/>
      <c r="QQI49" s="255"/>
      <c r="QQJ49" s="255"/>
      <c r="QQK49" s="255"/>
      <c r="QQL49" s="255"/>
      <c r="QQM49" s="255"/>
      <c r="QQN49" s="255"/>
      <c r="QQO49" s="255"/>
      <c r="QQP49" s="255"/>
      <c r="QQQ49" s="255"/>
      <c r="QQR49" s="255"/>
      <c r="QQS49" s="255"/>
      <c r="QQT49" s="255"/>
      <c r="QQU49" s="255"/>
      <c r="QQV49" s="255"/>
      <c r="QQW49" s="255"/>
      <c r="QQX49" s="255"/>
      <c r="QQY49" s="255"/>
      <c r="QQZ49" s="255"/>
      <c r="QRA49" s="255"/>
      <c r="QRB49" s="255"/>
      <c r="QRC49" s="255"/>
      <c r="QRD49" s="255"/>
      <c r="QRE49" s="255"/>
      <c r="QRF49" s="255"/>
      <c r="QRG49" s="255"/>
      <c r="QRH49" s="255"/>
      <c r="QRI49" s="255"/>
      <c r="QRJ49" s="255"/>
      <c r="QRK49" s="255"/>
      <c r="QRL49" s="255"/>
      <c r="QRM49" s="255"/>
      <c r="QRN49" s="255"/>
      <c r="QRO49" s="255"/>
      <c r="QRP49" s="255"/>
      <c r="QRQ49" s="255"/>
      <c r="QRR49" s="255"/>
      <c r="QRS49" s="255"/>
      <c r="QRT49" s="255"/>
      <c r="QRU49" s="255"/>
      <c r="QRV49" s="255"/>
      <c r="QRW49" s="255"/>
      <c r="QRX49" s="255"/>
      <c r="QRY49" s="255"/>
      <c r="QRZ49" s="255"/>
      <c r="QSA49" s="255"/>
      <c r="QSB49" s="255"/>
      <c r="QSC49" s="255"/>
      <c r="QSD49" s="255"/>
      <c r="QSE49" s="255"/>
      <c r="QSF49" s="255"/>
      <c r="QSG49" s="255"/>
      <c r="QSH49" s="255"/>
      <c r="QSI49" s="255"/>
      <c r="QSJ49" s="255"/>
      <c r="QSK49" s="255"/>
      <c r="QSL49" s="255"/>
      <c r="QSM49" s="255"/>
      <c r="QSN49" s="255"/>
      <c r="QSO49" s="255"/>
      <c r="QSP49" s="255"/>
      <c r="QSQ49" s="255"/>
      <c r="QSR49" s="255"/>
      <c r="QSS49" s="255"/>
      <c r="QST49" s="255"/>
      <c r="QSU49" s="255"/>
      <c r="QSV49" s="255"/>
      <c r="QSW49" s="255"/>
      <c r="QSX49" s="255"/>
      <c r="QSY49" s="255"/>
      <c r="QSZ49" s="255"/>
      <c r="QTA49" s="255"/>
      <c r="QTB49" s="255"/>
      <c r="QTC49" s="255"/>
      <c r="QTD49" s="255"/>
      <c r="QTE49" s="255"/>
      <c r="QTF49" s="255"/>
      <c r="QTG49" s="255"/>
      <c r="QTH49" s="255"/>
      <c r="QTI49" s="255"/>
      <c r="QTJ49" s="255"/>
      <c r="QTK49" s="255"/>
      <c r="QTL49" s="255"/>
      <c r="QTM49" s="255"/>
      <c r="QTN49" s="255"/>
      <c r="QTO49" s="255"/>
      <c r="QTP49" s="255"/>
      <c r="QTQ49" s="255"/>
      <c r="QTR49" s="255"/>
      <c r="QTS49" s="255"/>
      <c r="QTT49" s="255"/>
      <c r="QTU49" s="255"/>
      <c r="QTV49" s="255"/>
      <c r="QTW49" s="255"/>
      <c r="QTX49" s="255"/>
      <c r="QTY49" s="255"/>
      <c r="QTZ49" s="255"/>
      <c r="QUA49" s="255"/>
      <c r="QUB49" s="255"/>
      <c r="QUC49" s="255"/>
      <c r="QUD49" s="255"/>
      <c r="QUE49" s="255"/>
      <c r="QUF49" s="255"/>
      <c r="QUG49" s="255"/>
      <c r="QUH49" s="255"/>
      <c r="QUI49" s="255"/>
      <c r="QUJ49" s="255"/>
      <c r="QUK49" s="255"/>
      <c r="QUL49" s="255"/>
      <c r="QUM49" s="255"/>
      <c r="QUN49" s="255"/>
      <c r="QUO49" s="255"/>
      <c r="QUP49" s="255"/>
      <c r="QUQ49" s="255"/>
      <c r="QUR49" s="255"/>
      <c r="QUS49" s="255"/>
      <c r="QUT49" s="255"/>
      <c r="QUU49" s="255"/>
      <c r="QUV49" s="255"/>
      <c r="QUW49" s="255"/>
      <c r="QUX49" s="255"/>
      <c r="QUY49" s="255"/>
      <c r="QUZ49" s="255"/>
      <c r="QVA49" s="255"/>
      <c r="QVB49" s="255"/>
      <c r="QVC49" s="255"/>
      <c r="QVD49" s="255"/>
      <c r="QVE49" s="255"/>
      <c r="QVF49" s="255"/>
      <c r="QVG49" s="255"/>
      <c r="QVH49" s="255"/>
      <c r="QVI49" s="255"/>
      <c r="QVJ49" s="255"/>
      <c r="QVK49" s="255"/>
      <c r="QVL49" s="255"/>
      <c r="QVM49" s="255"/>
      <c r="QVN49" s="255"/>
      <c r="QVO49" s="255"/>
      <c r="QVP49" s="255"/>
      <c r="QVQ49" s="255"/>
      <c r="QVR49" s="255"/>
      <c r="QVS49" s="255"/>
      <c r="QVT49" s="255"/>
      <c r="QVU49" s="255"/>
      <c r="QVV49" s="255"/>
      <c r="QVW49" s="255"/>
      <c r="QVX49" s="255"/>
      <c r="QVY49" s="255"/>
      <c r="QVZ49" s="255"/>
      <c r="QWA49" s="255"/>
      <c r="QWB49" s="255"/>
      <c r="QWC49" s="255"/>
      <c r="QWD49" s="255"/>
      <c r="QWE49" s="255"/>
      <c r="QWF49" s="255"/>
      <c r="QWG49" s="255"/>
      <c r="QWH49" s="255"/>
      <c r="QWI49" s="255"/>
      <c r="QWJ49" s="255"/>
      <c r="QWK49" s="255"/>
      <c r="QWL49" s="255"/>
      <c r="QWM49" s="255"/>
      <c r="QWN49" s="255"/>
      <c r="QWO49" s="255"/>
      <c r="QWP49" s="255"/>
      <c r="QWQ49" s="255"/>
      <c r="QWR49" s="255"/>
      <c r="QWS49" s="255"/>
      <c r="QWT49" s="255"/>
      <c r="QWU49" s="255"/>
      <c r="QWV49" s="255"/>
      <c r="QWW49" s="255"/>
      <c r="QWX49" s="255"/>
      <c r="QWY49" s="255"/>
      <c r="QWZ49" s="255"/>
      <c r="QXA49" s="255"/>
      <c r="QXB49" s="255"/>
      <c r="QXC49" s="255"/>
      <c r="QXD49" s="255"/>
      <c r="QXE49" s="255"/>
      <c r="QXF49" s="255"/>
      <c r="QXG49" s="255"/>
      <c r="QXH49" s="255"/>
      <c r="QXI49" s="255"/>
      <c r="QXJ49" s="255"/>
      <c r="QXK49" s="255"/>
      <c r="QXL49" s="255"/>
      <c r="QXM49" s="255"/>
      <c r="QXN49" s="255"/>
      <c r="QXO49" s="255"/>
      <c r="QXP49" s="255"/>
      <c r="QXQ49" s="255"/>
      <c r="QXR49" s="255"/>
      <c r="QXS49" s="255"/>
      <c r="QXT49" s="255"/>
      <c r="QXU49" s="255"/>
      <c r="QXV49" s="255"/>
      <c r="QXW49" s="255"/>
      <c r="QXX49" s="255"/>
      <c r="QXY49" s="255"/>
      <c r="QXZ49" s="255"/>
      <c r="QYA49" s="255"/>
      <c r="QYB49" s="255"/>
      <c r="QYC49" s="255"/>
      <c r="QYD49" s="255"/>
      <c r="QYE49" s="255"/>
      <c r="QYF49" s="255"/>
      <c r="QYG49" s="255"/>
      <c r="QYH49" s="255"/>
      <c r="QYI49" s="255"/>
      <c r="QYJ49" s="255"/>
      <c r="QYK49" s="255"/>
      <c r="QYL49" s="255"/>
      <c r="QYM49" s="255"/>
      <c r="QYN49" s="255"/>
      <c r="QYO49" s="255"/>
      <c r="QYP49" s="255"/>
      <c r="QYQ49" s="255"/>
      <c r="QYR49" s="255"/>
      <c r="QYS49" s="255"/>
      <c r="QYT49" s="255"/>
      <c r="QYU49" s="255"/>
      <c r="QYV49" s="255"/>
      <c r="QYW49" s="255"/>
      <c r="QYX49" s="255"/>
      <c r="QYY49" s="255"/>
      <c r="QYZ49" s="255"/>
      <c r="QZA49" s="255"/>
      <c r="QZB49" s="255"/>
      <c r="QZC49" s="255"/>
      <c r="QZD49" s="255"/>
      <c r="QZE49" s="255"/>
      <c r="QZF49" s="255"/>
      <c r="QZG49" s="255"/>
      <c r="QZH49" s="255"/>
      <c r="QZI49" s="255"/>
      <c r="QZJ49" s="255"/>
      <c r="QZK49" s="255"/>
      <c r="QZL49" s="255"/>
      <c r="QZM49" s="255"/>
      <c r="QZN49" s="255"/>
      <c r="QZO49" s="255"/>
      <c r="QZP49" s="255"/>
      <c r="QZQ49" s="255"/>
      <c r="QZR49" s="255"/>
      <c r="QZS49" s="255"/>
      <c r="QZT49" s="255"/>
      <c r="QZU49" s="255"/>
      <c r="QZV49" s="255"/>
      <c r="QZW49" s="255"/>
      <c r="QZX49" s="255"/>
      <c r="QZY49" s="255"/>
      <c r="QZZ49" s="255"/>
      <c r="RAA49" s="255"/>
      <c r="RAB49" s="255"/>
      <c r="RAC49" s="255"/>
      <c r="RAD49" s="255"/>
      <c r="RAE49" s="255"/>
      <c r="RAF49" s="255"/>
      <c r="RAG49" s="255"/>
      <c r="RAH49" s="255"/>
      <c r="RAI49" s="255"/>
      <c r="RAJ49" s="255"/>
      <c r="RAK49" s="255"/>
      <c r="RAL49" s="255"/>
      <c r="RAM49" s="255"/>
      <c r="RAN49" s="255"/>
      <c r="RAO49" s="255"/>
      <c r="RAP49" s="255"/>
      <c r="RAQ49" s="255"/>
      <c r="RAR49" s="255"/>
      <c r="RAS49" s="255"/>
      <c r="RAT49" s="255"/>
      <c r="RAU49" s="255"/>
      <c r="RAV49" s="255"/>
      <c r="RAW49" s="255"/>
      <c r="RAX49" s="255"/>
      <c r="RAY49" s="255"/>
      <c r="RAZ49" s="255"/>
      <c r="RBA49" s="255"/>
      <c r="RBB49" s="255"/>
      <c r="RBC49" s="255"/>
      <c r="RBD49" s="255"/>
      <c r="RBE49" s="255"/>
      <c r="RBF49" s="255"/>
      <c r="RBG49" s="255"/>
      <c r="RBH49" s="255"/>
      <c r="RBI49" s="255"/>
      <c r="RBJ49" s="255"/>
      <c r="RBK49" s="255"/>
      <c r="RBL49" s="255"/>
      <c r="RBM49" s="255"/>
      <c r="RBN49" s="255"/>
      <c r="RBO49" s="255"/>
      <c r="RBP49" s="255"/>
      <c r="RBQ49" s="255"/>
      <c r="RBR49" s="255"/>
      <c r="RBS49" s="255"/>
      <c r="RBT49" s="255"/>
      <c r="RBU49" s="255"/>
      <c r="RBV49" s="255"/>
      <c r="RBW49" s="255"/>
      <c r="RBX49" s="255"/>
      <c r="RBY49" s="255"/>
      <c r="RBZ49" s="255"/>
      <c r="RCA49" s="255"/>
      <c r="RCB49" s="255"/>
      <c r="RCC49" s="255"/>
      <c r="RCD49" s="255"/>
      <c r="RCE49" s="255"/>
      <c r="RCF49" s="255"/>
      <c r="RCG49" s="255"/>
      <c r="RCH49" s="255"/>
      <c r="RCI49" s="255"/>
      <c r="RCJ49" s="255"/>
      <c r="RCK49" s="255"/>
      <c r="RCL49" s="255"/>
      <c r="RCM49" s="255"/>
      <c r="RCN49" s="255"/>
      <c r="RCO49" s="255"/>
      <c r="RCP49" s="255"/>
      <c r="RCQ49" s="255"/>
      <c r="RCR49" s="255"/>
      <c r="RCS49" s="255"/>
      <c r="RCT49" s="255"/>
      <c r="RCU49" s="255"/>
      <c r="RCV49" s="255"/>
      <c r="RCW49" s="255"/>
      <c r="RCX49" s="255"/>
      <c r="RCY49" s="255"/>
      <c r="RCZ49" s="255"/>
      <c r="RDA49" s="255"/>
      <c r="RDB49" s="255"/>
      <c r="RDC49" s="255"/>
      <c r="RDD49" s="255"/>
      <c r="RDE49" s="255"/>
      <c r="RDF49" s="255"/>
      <c r="RDG49" s="255"/>
      <c r="RDH49" s="255"/>
      <c r="RDI49" s="255"/>
      <c r="RDJ49" s="255"/>
      <c r="RDK49" s="255"/>
      <c r="RDL49" s="255"/>
      <c r="RDM49" s="255"/>
      <c r="RDN49" s="255"/>
      <c r="RDO49" s="255"/>
      <c r="RDP49" s="255"/>
      <c r="RDQ49" s="255"/>
      <c r="RDR49" s="255"/>
      <c r="RDS49" s="255"/>
      <c r="RDT49" s="255"/>
      <c r="RDU49" s="255"/>
      <c r="RDV49" s="255"/>
      <c r="RDW49" s="255"/>
      <c r="RDX49" s="255"/>
      <c r="RDY49" s="255"/>
      <c r="RDZ49" s="255"/>
      <c r="REA49" s="255"/>
      <c r="REB49" s="255"/>
      <c r="REC49" s="255"/>
      <c r="RED49" s="255"/>
      <c r="REE49" s="255"/>
      <c r="REF49" s="255"/>
      <c r="REG49" s="255"/>
      <c r="REH49" s="255"/>
      <c r="REI49" s="255"/>
      <c r="REJ49" s="255"/>
      <c r="REK49" s="255"/>
      <c r="REL49" s="255"/>
      <c r="REM49" s="255"/>
      <c r="REN49" s="255"/>
      <c r="REO49" s="255"/>
      <c r="REP49" s="255"/>
      <c r="REQ49" s="255"/>
      <c r="RER49" s="255"/>
      <c r="RES49" s="255"/>
      <c r="RET49" s="255"/>
      <c r="REU49" s="255"/>
      <c r="REV49" s="255"/>
      <c r="REW49" s="255"/>
      <c r="REX49" s="255"/>
      <c r="REY49" s="255"/>
      <c r="REZ49" s="255"/>
      <c r="RFA49" s="255"/>
      <c r="RFB49" s="255"/>
      <c r="RFC49" s="255"/>
      <c r="RFD49" s="255"/>
      <c r="RFE49" s="255"/>
      <c r="RFF49" s="255"/>
      <c r="RFG49" s="255"/>
      <c r="RFH49" s="255"/>
      <c r="RFI49" s="255"/>
      <c r="RFJ49" s="255"/>
      <c r="RFK49" s="255"/>
      <c r="RFL49" s="255"/>
      <c r="RFM49" s="255"/>
      <c r="RFN49" s="255"/>
      <c r="RFO49" s="255"/>
      <c r="RFP49" s="255"/>
      <c r="RFQ49" s="255"/>
      <c r="RFR49" s="255"/>
      <c r="RFS49" s="255"/>
      <c r="RFT49" s="255"/>
      <c r="RFU49" s="255"/>
      <c r="RFV49" s="255"/>
      <c r="RFW49" s="255"/>
      <c r="RFX49" s="255"/>
      <c r="RFY49" s="255"/>
      <c r="RFZ49" s="255"/>
      <c r="RGA49" s="255"/>
      <c r="RGB49" s="255"/>
      <c r="RGC49" s="255"/>
      <c r="RGD49" s="255"/>
      <c r="RGE49" s="255"/>
      <c r="RGF49" s="255"/>
      <c r="RGG49" s="255"/>
      <c r="RGH49" s="255"/>
      <c r="RGI49" s="255"/>
      <c r="RGJ49" s="255"/>
      <c r="RGK49" s="255"/>
      <c r="RGL49" s="255"/>
      <c r="RGM49" s="255"/>
      <c r="RGN49" s="255"/>
      <c r="RGO49" s="255"/>
      <c r="RGP49" s="255"/>
      <c r="RGQ49" s="255"/>
      <c r="RGR49" s="255"/>
      <c r="RGS49" s="255"/>
      <c r="RGT49" s="255"/>
      <c r="RGU49" s="255"/>
      <c r="RGV49" s="255"/>
      <c r="RGW49" s="255"/>
      <c r="RGX49" s="255"/>
      <c r="RGY49" s="255"/>
      <c r="RGZ49" s="255"/>
      <c r="RHA49" s="255"/>
      <c r="RHB49" s="255"/>
      <c r="RHC49" s="255"/>
      <c r="RHD49" s="255"/>
      <c r="RHE49" s="255"/>
      <c r="RHF49" s="255"/>
      <c r="RHG49" s="255"/>
      <c r="RHH49" s="255"/>
      <c r="RHI49" s="255"/>
      <c r="RHJ49" s="255"/>
      <c r="RHK49" s="255"/>
      <c r="RHL49" s="255"/>
      <c r="RHM49" s="255"/>
      <c r="RHN49" s="255"/>
      <c r="RHO49" s="255"/>
      <c r="RHP49" s="255"/>
      <c r="RHQ49" s="255"/>
      <c r="RHR49" s="255"/>
      <c r="RHS49" s="255"/>
      <c r="RHT49" s="255"/>
      <c r="RHU49" s="255"/>
      <c r="RHV49" s="255"/>
      <c r="RHW49" s="255"/>
      <c r="RHX49" s="255"/>
      <c r="RHY49" s="255"/>
      <c r="RHZ49" s="255"/>
      <c r="RIA49" s="255"/>
      <c r="RIB49" s="255"/>
      <c r="RIC49" s="255"/>
      <c r="RID49" s="255"/>
      <c r="RIE49" s="255"/>
      <c r="RIF49" s="255"/>
      <c r="RIG49" s="255"/>
      <c r="RIH49" s="255"/>
      <c r="RII49" s="255"/>
      <c r="RIJ49" s="255"/>
      <c r="RIK49" s="255"/>
      <c r="RIL49" s="255"/>
      <c r="RIM49" s="255"/>
      <c r="RIN49" s="255"/>
      <c r="RIO49" s="255"/>
      <c r="RIP49" s="255"/>
      <c r="RIQ49" s="255"/>
      <c r="RIR49" s="255"/>
      <c r="RIS49" s="255"/>
      <c r="RIT49" s="255"/>
      <c r="RIU49" s="255"/>
      <c r="RIV49" s="255"/>
      <c r="RIW49" s="255"/>
      <c r="RIX49" s="255"/>
      <c r="RIY49" s="255"/>
      <c r="RIZ49" s="255"/>
      <c r="RJA49" s="255"/>
      <c r="RJB49" s="255"/>
      <c r="RJC49" s="255"/>
      <c r="RJD49" s="255"/>
      <c r="RJE49" s="255"/>
      <c r="RJF49" s="255"/>
      <c r="RJG49" s="255"/>
      <c r="RJH49" s="255"/>
      <c r="RJI49" s="255"/>
      <c r="RJJ49" s="255"/>
      <c r="RJK49" s="255"/>
      <c r="RJL49" s="255"/>
      <c r="RJM49" s="255"/>
      <c r="RJN49" s="255"/>
      <c r="RJO49" s="255"/>
      <c r="RJP49" s="255"/>
      <c r="RJQ49" s="255"/>
      <c r="RJR49" s="255"/>
      <c r="RJS49" s="255"/>
      <c r="RJT49" s="255"/>
      <c r="RJU49" s="255"/>
      <c r="RJV49" s="255"/>
      <c r="RJW49" s="255"/>
      <c r="RJX49" s="255"/>
      <c r="RJY49" s="255"/>
      <c r="RJZ49" s="255"/>
      <c r="RKA49" s="255"/>
      <c r="RKB49" s="255"/>
      <c r="RKC49" s="255"/>
      <c r="RKD49" s="255"/>
      <c r="RKE49" s="255"/>
      <c r="RKF49" s="255"/>
      <c r="RKG49" s="255"/>
      <c r="RKH49" s="255"/>
      <c r="RKI49" s="255"/>
      <c r="RKJ49" s="255"/>
      <c r="RKK49" s="255"/>
      <c r="RKL49" s="255"/>
      <c r="RKM49" s="255"/>
      <c r="RKN49" s="255"/>
      <c r="RKO49" s="255"/>
      <c r="RKP49" s="255"/>
      <c r="RKQ49" s="255"/>
      <c r="RKR49" s="255"/>
      <c r="RKS49" s="255"/>
      <c r="RKT49" s="255"/>
      <c r="RKU49" s="255"/>
      <c r="RKV49" s="255"/>
      <c r="RKW49" s="255"/>
      <c r="RKX49" s="255"/>
      <c r="RKY49" s="255"/>
      <c r="RKZ49" s="255"/>
      <c r="RLA49" s="255"/>
      <c r="RLB49" s="255"/>
      <c r="RLC49" s="255"/>
      <c r="RLD49" s="255"/>
      <c r="RLE49" s="255"/>
      <c r="RLF49" s="255"/>
      <c r="RLG49" s="255"/>
      <c r="RLH49" s="255"/>
      <c r="RLI49" s="255"/>
      <c r="RLJ49" s="255"/>
      <c r="RLK49" s="255"/>
      <c r="RLL49" s="255"/>
      <c r="RLM49" s="255"/>
      <c r="RLN49" s="255"/>
      <c r="RLO49" s="255"/>
      <c r="RLP49" s="255"/>
      <c r="RLQ49" s="255"/>
      <c r="RLR49" s="255"/>
      <c r="RLS49" s="255"/>
      <c r="RLT49" s="255"/>
      <c r="RLU49" s="255"/>
      <c r="RLV49" s="255"/>
      <c r="RLW49" s="255"/>
      <c r="RLX49" s="255"/>
      <c r="RLY49" s="255"/>
      <c r="RLZ49" s="255"/>
      <c r="RMA49" s="255"/>
      <c r="RMB49" s="255"/>
      <c r="RMC49" s="255"/>
      <c r="RMD49" s="255"/>
      <c r="RME49" s="255"/>
      <c r="RMF49" s="255"/>
      <c r="RMG49" s="255"/>
      <c r="RMH49" s="255"/>
      <c r="RMI49" s="255"/>
      <c r="RMJ49" s="255"/>
      <c r="RMK49" s="255"/>
      <c r="RML49" s="255"/>
      <c r="RMM49" s="255"/>
      <c r="RMN49" s="255"/>
      <c r="RMO49" s="255"/>
      <c r="RMP49" s="255"/>
      <c r="RMQ49" s="255"/>
      <c r="RMR49" s="255"/>
      <c r="RMS49" s="255"/>
      <c r="RMT49" s="255"/>
      <c r="RMU49" s="255"/>
      <c r="RMV49" s="255"/>
      <c r="RMW49" s="255"/>
      <c r="RMX49" s="255"/>
      <c r="RMY49" s="255"/>
      <c r="RMZ49" s="255"/>
      <c r="RNA49" s="255"/>
      <c r="RNB49" s="255"/>
      <c r="RNC49" s="255"/>
      <c r="RND49" s="255"/>
      <c r="RNE49" s="255"/>
      <c r="RNF49" s="255"/>
      <c r="RNG49" s="255"/>
      <c r="RNH49" s="255"/>
      <c r="RNI49" s="255"/>
      <c r="RNJ49" s="255"/>
      <c r="RNK49" s="255"/>
      <c r="RNL49" s="255"/>
      <c r="RNM49" s="255"/>
      <c r="RNN49" s="255"/>
      <c r="RNO49" s="255"/>
      <c r="RNP49" s="255"/>
      <c r="RNQ49" s="255"/>
      <c r="RNR49" s="255"/>
      <c r="RNS49" s="255"/>
      <c r="RNT49" s="255"/>
      <c r="RNU49" s="255"/>
      <c r="RNV49" s="255"/>
      <c r="RNW49" s="255"/>
      <c r="RNX49" s="255"/>
      <c r="RNY49" s="255"/>
      <c r="RNZ49" s="255"/>
      <c r="ROA49" s="255"/>
      <c r="ROB49" s="255"/>
      <c r="ROC49" s="255"/>
      <c r="ROD49" s="255"/>
      <c r="ROE49" s="255"/>
      <c r="ROF49" s="255"/>
      <c r="ROG49" s="255"/>
      <c r="ROH49" s="255"/>
      <c r="ROI49" s="255"/>
      <c r="ROJ49" s="255"/>
      <c r="ROK49" s="255"/>
      <c r="ROL49" s="255"/>
      <c r="ROM49" s="255"/>
      <c r="RON49" s="255"/>
      <c r="ROO49" s="255"/>
      <c r="ROP49" s="255"/>
      <c r="ROQ49" s="255"/>
      <c r="ROR49" s="255"/>
      <c r="ROS49" s="255"/>
      <c r="ROT49" s="255"/>
      <c r="ROU49" s="255"/>
      <c r="ROV49" s="255"/>
      <c r="ROW49" s="255"/>
      <c r="ROX49" s="255"/>
      <c r="ROY49" s="255"/>
      <c r="ROZ49" s="255"/>
      <c r="RPA49" s="255"/>
      <c r="RPB49" s="255"/>
      <c r="RPC49" s="255"/>
      <c r="RPD49" s="255"/>
      <c r="RPE49" s="255"/>
      <c r="RPF49" s="255"/>
      <c r="RPG49" s="255"/>
      <c r="RPH49" s="255"/>
      <c r="RPI49" s="255"/>
      <c r="RPJ49" s="255"/>
      <c r="RPK49" s="255"/>
      <c r="RPL49" s="255"/>
      <c r="RPM49" s="255"/>
      <c r="RPN49" s="255"/>
      <c r="RPO49" s="255"/>
      <c r="RPP49" s="255"/>
      <c r="RPQ49" s="255"/>
      <c r="RPR49" s="255"/>
      <c r="RPS49" s="255"/>
      <c r="RPT49" s="255"/>
      <c r="RPU49" s="255"/>
      <c r="RPV49" s="255"/>
      <c r="RPW49" s="255"/>
      <c r="RPX49" s="255"/>
      <c r="RPY49" s="255"/>
      <c r="RPZ49" s="255"/>
      <c r="RQA49" s="255"/>
      <c r="RQB49" s="255"/>
      <c r="RQC49" s="255"/>
      <c r="RQD49" s="255"/>
      <c r="RQE49" s="255"/>
      <c r="RQF49" s="255"/>
      <c r="RQG49" s="255"/>
      <c r="RQH49" s="255"/>
      <c r="RQI49" s="255"/>
      <c r="RQJ49" s="255"/>
      <c r="RQK49" s="255"/>
      <c r="RQL49" s="255"/>
      <c r="RQM49" s="255"/>
      <c r="RQN49" s="255"/>
      <c r="RQO49" s="255"/>
      <c r="RQP49" s="255"/>
      <c r="RQQ49" s="255"/>
      <c r="RQR49" s="255"/>
      <c r="RQS49" s="255"/>
      <c r="RQT49" s="255"/>
      <c r="RQU49" s="255"/>
      <c r="RQV49" s="255"/>
      <c r="RQW49" s="255"/>
      <c r="RQX49" s="255"/>
      <c r="RQY49" s="255"/>
      <c r="RQZ49" s="255"/>
      <c r="RRA49" s="255"/>
      <c r="RRB49" s="255"/>
      <c r="RRC49" s="255"/>
      <c r="RRD49" s="255"/>
      <c r="RRE49" s="255"/>
      <c r="RRF49" s="255"/>
      <c r="RRG49" s="255"/>
      <c r="RRH49" s="255"/>
      <c r="RRI49" s="255"/>
      <c r="RRJ49" s="255"/>
      <c r="RRK49" s="255"/>
      <c r="RRL49" s="255"/>
      <c r="RRM49" s="255"/>
      <c r="RRN49" s="255"/>
      <c r="RRO49" s="255"/>
      <c r="RRP49" s="255"/>
      <c r="RRQ49" s="255"/>
      <c r="RRR49" s="255"/>
      <c r="RRS49" s="255"/>
      <c r="RRT49" s="255"/>
      <c r="RRU49" s="255"/>
      <c r="RRV49" s="255"/>
      <c r="RRW49" s="255"/>
      <c r="RRX49" s="255"/>
      <c r="RRY49" s="255"/>
      <c r="RRZ49" s="255"/>
      <c r="RSA49" s="255"/>
      <c r="RSB49" s="255"/>
      <c r="RSC49" s="255"/>
      <c r="RSD49" s="255"/>
      <c r="RSE49" s="255"/>
      <c r="RSF49" s="255"/>
      <c r="RSG49" s="255"/>
      <c r="RSH49" s="255"/>
      <c r="RSI49" s="255"/>
      <c r="RSJ49" s="255"/>
      <c r="RSK49" s="255"/>
      <c r="RSL49" s="255"/>
      <c r="RSM49" s="255"/>
      <c r="RSN49" s="255"/>
      <c r="RSO49" s="255"/>
      <c r="RSP49" s="255"/>
      <c r="RSQ49" s="255"/>
      <c r="RSR49" s="255"/>
      <c r="RSS49" s="255"/>
      <c r="RST49" s="255"/>
      <c r="RSU49" s="255"/>
      <c r="RSV49" s="255"/>
      <c r="RSW49" s="255"/>
      <c r="RSX49" s="255"/>
      <c r="RSY49" s="255"/>
      <c r="RSZ49" s="255"/>
      <c r="RTA49" s="255"/>
      <c r="RTB49" s="255"/>
      <c r="RTC49" s="255"/>
      <c r="RTD49" s="255"/>
      <c r="RTE49" s="255"/>
      <c r="RTF49" s="255"/>
      <c r="RTG49" s="255"/>
      <c r="RTH49" s="255"/>
      <c r="RTI49" s="255"/>
      <c r="RTJ49" s="255"/>
      <c r="RTK49" s="255"/>
      <c r="RTL49" s="255"/>
      <c r="RTM49" s="255"/>
      <c r="RTN49" s="255"/>
      <c r="RTO49" s="255"/>
      <c r="RTP49" s="255"/>
      <c r="RTQ49" s="255"/>
      <c r="RTR49" s="255"/>
      <c r="RTS49" s="255"/>
      <c r="RTT49" s="255"/>
      <c r="RTU49" s="255"/>
      <c r="RTV49" s="255"/>
      <c r="RTW49" s="255"/>
      <c r="RTX49" s="255"/>
      <c r="RTY49" s="255"/>
      <c r="RTZ49" s="255"/>
      <c r="RUA49" s="255"/>
      <c r="RUB49" s="255"/>
      <c r="RUC49" s="255"/>
      <c r="RUD49" s="255"/>
      <c r="RUE49" s="255"/>
      <c r="RUF49" s="255"/>
      <c r="RUG49" s="255"/>
      <c r="RUH49" s="255"/>
      <c r="RUI49" s="255"/>
      <c r="RUJ49" s="255"/>
      <c r="RUK49" s="255"/>
      <c r="RUL49" s="255"/>
      <c r="RUM49" s="255"/>
      <c r="RUN49" s="255"/>
      <c r="RUO49" s="255"/>
      <c r="RUP49" s="255"/>
      <c r="RUQ49" s="255"/>
      <c r="RUR49" s="255"/>
      <c r="RUS49" s="255"/>
      <c r="RUT49" s="255"/>
      <c r="RUU49" s="255"/>
      <c r="RUV49" s="255"/>
      <c r="RUW49" s="255"/>
      <c r="RUX49" s="255"/>
      <c r="RUY49" s="255"/>
      <c r="RUZ49" s="255"/>
      <c r="RVA49" s="255"/>
      <c r="RVB49" s="255"/>
      <c r="RVC49" s="255"/>
      <c r="RVD49" s="255"/>
      <c r="RVE49" s="255"/>
      <c r="RVF49" s="255"/>
      <c r="RVG49" s="255"/>
      <c r="RVH49" s="255"/>
      <c r="RVI49" s="255"/>
      <c r="RVJ49" s="255"/>
      <c r="RVK49" s="255"/>
      <c r="RVL49" s="255"/>
      <c r="RVM49" s="255"/>
      <c r="RVN49" s="255"/>
      <c r="RVO49" s="255"/>
      <c r="RVP49" s="255"/>
      <c r="RVQ49" s="255"/>
      <c r="RVR49" s="255"/>
      <c r="RVS49" s="255"/>
      <c r="RVT49" s="255"/>
      <c r="RVU49" s="255"/>
      <c r="RVV49" s="255"/>
      <c r="RVW49" s="255"/>
      <c r="RVX49" s="255"/>
      <c r="RVY49" s="255"/>
      <c r="RVZ49" s="255"/>
      <c r="RWA49" s="255"/>
      <c r="RWB49" s="255"/>
      <c r="RWC49" s="255"/>
      <c r="RWD49" s="255"/>
      <c r="RWE49" s="255"/>
      <c r="RWF49" s="255"/>
      <c r="RWG49" s="255"/>
      <c r="RWH49" s="255"/>
      <c r="RWI49" s="255"/>
      <c r="RWJ49" s="255"/>
      <c r="RWK49" s="255"/>
      <c r="RWL49" s="255"/>
      <c r="RWM49" s="255"/>
      <c r="RWN49" s="255"/>
      <c r="RWO49" s="255"/>
      <c r="RWP49" s="255"/>
      <c r="RWQ49" s="255"/>
      <c r="RWR49" s="255"/>
      <c r="RWS49" s="255"/>
      <c r="RWT49" s="255"/>
      <c r="RWU49" s="255"/>
      <c r="RWV49" s="255"/>
      <c r="RWW49" s="255"/>
      <c r="RWX49" s="255"/>
      <c r="RWY49" s="255"/>
      <c r="RWZ49" s="255"/>
      <c r="RXA49" s="255"/>
      <c r="RXB49" s="255"/>
      <c r="RXC49" s="255"/>
      <c r="RXD49" s="255"/>
      <c r="RXE49" s="255"/>
      <c r="RXF49" s="255"/>
      <c r="RXG49" s="255"/>
      <c r="RXH49" s="255"/>
      <c r="RXI49" s="255"/>
      <c r="RXJ49" s="255"/>
      <c r="RXK49" s="255"/>
      <c r="RXL49" s="255"/>
      <c r="RXM49" s="255"/>
      <c r="RXN49" s="255"/>
      <c r="RXO49" s="255"/>
      <c r="RXP49" s="255"/>
      <c r="RXQ49" s="255"/>
      <c r="RXR49" s="255"/>
      <c r="RXS49" s="255"/>
      <c r="RXT49" s="255"/>
      <c r="RXU49" s="255"/>
      <c r="RXV49" s="255"/>
      <c r="RXW49" s="255"/>
      <c r="RXX49" s="255"/>
      <c r="RXY49" s="255"/>
      <c r="RXZ49" s="255"/>
      <c r="RYA49" s="255"/>
      <c r="RYB49" s="255"/>
      <c r="RYC49" s="255"/>
      <c r="RYD49" s="255"/>
      <c r="RYE49" s="255"/>
      <c r="RYF49" s="255"/>
      <c r="RYG49" s="255"/>
      <c r="RYH49" s="255"/>
      <c r="RYI49" s="255"/>
      <c r="RYJ49" s="255"/>
      <c r="RYK49" s="255"/>
      <c r="RYL49" s="255"/>
      <c r="RYM49" s="255"/>
      <c r="RYN49" s="255"/>
      <c r="RYO49" s="255"/>
      <c r="RYP49" s="255"/>
      <c r="RYQ49" s="255"/>
      <c r="RYR49" s="255"/>
      <c r="RYS49" s="255"/>
      <c r="RYT49" s="255"/>
      <c r="RYU49" s="255"/>
      <c r="RYV49" s="255"/>
      <c r="RYW49" s="255"/>
      <c r="RYX49" s="255"/>
      <c r="RYY49" s="255"/>
      <c r="RYZ49" s="255"/>
      <c r="RZA49" s="255"/>
      <c r="RZB49" s="255"/>
      <c r="RZC49" s="255"/>
      <c r="RZD49" s="255"/>
      <c r="RZE49" s="255"/>
      <c r="RZF49" s="255"/>
      <c r="RZG49" s="255"/>
      <c r="RZH49" s="255"/>
      <c r="RZI49" s="255"/>
      <c r="RZJ49" s="255"/>
      <c r="RZK49" s="255"/>
      <c r="RZL49" s="255"/>
      <c r="RZM49" s="255"/>
      <c r="RZN49" s="255"/>
      <c r="RZO49" s="255"/>
      <c r="RZP49" s="255"/>
      <c r="RZQ49" s="255"/>
      <c r="RZR49" s="255"/>
      <c r="RZS49" s="255"/>
      <c r="RZT49" s="255"/>
      <c r="RZU49" s="255"/>
      <c r="RZV49" s="255"/>
      <c r="RZW49" s="255"/>
      <c r="RZX49" s="255"/>
      <c r="RZY49" s="255"/>
      <c r="RZZ49" s="255"/>
      <c r="SAA49" s="255"/>
      <c r="SAB49" s="255"/>
      <c r="SAC49" s="255"/>
      <c r="SAD49" s="255"/>
      <c r="SAE49" s="255"/>
      <c r="SAF49" s="255"/>
      <c r="SAG49" s="255"/>
      <c r="SAH49" s="255"/>
      <c r="SAI49" s="255"/>
      <c r="SAJ49" s="255"/>
      <c r="SAK49" s="255"/>
      <c r="SAL49" s="255"/>
      <c r="SAM49" s="255"/>
      <c r="SAN49" s="255"/>
      <c r="SAO49" s="255"/>
      <c r="SAP49" s="255"/>
      <c r="SAQ49" s="255"/>
      <c r="SAR49" s="255"/>
      <c r="SAS49" s="255"/>
      <c r="SAT49" s="255"/>
      <c r="SAU49" s="255"/>
      <c r="SAV49" s="255"/>
      <c r="SAW49" s="255"/>
      <c r="SAX49" s="255"/>
      <c r="SAY49" s="255"/>
      <c r="SAZ49" s="255"/>
      <c r="SBA49" s="255"/>
      <c r="SBB49" s="255"/>
      <c r="SBC49" s="255"/>
      <c r="SBD49" s="255"/>
      <c r="SBE49" s="255"/>
      <c r="SBF49" s="255"/>
      <c r="SBG49" s="255"/>
      <c r="SBH49" s="255"/>
      <c r="SBI49" s="255"/>
      <c r="SBJ49" s="255"/>
      <c r="SBK49" s="255"/>
      <c r="SBL49" s="255"/>
      <c r="SBM49" s="255"/>
      <c r="SBN49" s="255"/>
      <c r="SBO49" s="255"/>
      <c r="SBP49" s="255"/>
      <c r="SBQ49" s="255"/>
      <c r="SBR49" s="255"/>
      <c r="SBS49" s="255"/>
      <c r="SBT49" s="255"/>
      <c r="SBU49" s="255"/>
      <c r="SBV49" s="255"/>
      <c r="SBW49" s="255"/>
      <c r="SBX49" s="255"/>
      <c r="SBY49" s="255"/>
      <c r="SBZ49" s="255"/>
      <c r="SCA49" s="255"/>
      <c r="SCB49" s="255"/>
      <c r="SCC49" s="255"/>
      <c r="SCD49" s="255"/>
      <c r="SCE49" s="255"/>
      <c r="SCF49" s="255"/>
      <c r="SCG49" s="255"/>
      <c r="SCH49" s="255"/>
      <c r="SCI49" s="255"/>
      <c r="SCJ49" s="255"/>
      <c r="SCK49" s="255"/>
      <c r="SCL49" s="255"/>
      <c r="SCM49" s="255"/>
      <c r="SCN49" s="255"/>
      <c r="SCO49" s="255"/>
      <c r="SCP49" s="255"/>
      <c r="SCQ49" s="255"/>
      <c r="SCR49" s="255"/>
      <c r="SCS49" s="255"/>
      <c r="SCT49" s="255"/>
      <c r="SCU49" s="255"/>
      <c r="SCV49" s="255"/>
      <c r="SCW49" s="255"/>
      <c r="SCX49" s="255"/>
      <c r="SCY49" s="255"/>
      <c r="SCZ49" s="255"/>
      <c r="SDA49" s="255"/>
      <c r="SDB49" s="255"/>
      <c r="SDC49" s="255"/>
      <c r="SDD49" s="255"/>
      <c r="SDE49" s="255"/>
      <c r="SDF49" s="255"/>
      <c r="SDG49" s="255"/>
      <c r="SDH49" s="255"/>
      <c r="SDI49" s="255"/>
      <c r="SDJ49" s="255"/>
      <c r="SDK49" s="255"/>
      <c r="SDL49" s="255"/>
      <c r="SDM49" s="255"/>
      <c r="SDN49" s="255"/>
      <c r="SDO49" s="255"/>
      <c r="SDP49" s="255"/>
      <c r="SDQ49" s="255"/>
      <c r="SDR49" s="255"/>
      <c r="SDS49" s="255"/>
      <c r="SDT49" s="255"/>
      <c r="SDU49" s="255"/>
      <c r="SDV49" s="255"/>
      <c r="SDW49" s="255"/>
      <c r="SDX49" s="255"/>
      <c r="SDY49" s="255"/>
      <c r="SDZ49" s="255"/>
      <c r="SEA49" s="255"/>
      <c r="SEB49" s="255"/>
      <c r="SEC49" s="255"/>
      <c r="SED49" s="255"/>
      <c r="SEE49" s="255"/>
      <c r="SEF49" s="255"/>
      <c r="SEG49" s="255"/>
      <c r="SEH49" s="255"/>
      <c r="SEI49" s="255"/>
      <c r="SEJ49" s="255"/>
      <c r="SEK49" s="255"/>
      <c r="SEL49" s="255"/>
      <c r="SEM49" s="255"/>
      <c r="SEN49" s="255"/>
      <c r="SEO49" s="255"/>
      <c r="SEP49" s="255"/>
      <c r="SEQ49" s="255"/>
      <c r="SER49" s="255"/>
      <c r="SES49" s="255"/>
      <c r="SET49" s="255"/>
      <c r="SEU49" s="255"/>
      <c r="SEV49" s="255"/>
      <c r="SEW49" s="255"/>
      <c r="SEX49" s="255"/>
      <c r="SEY49" s="255"/>
      <c r="SEZ49" s="255"/>
      <c r="SFA49" s="255"/>
      <c r="SFB49" s="255"/>
      <c r="SFC49" s="255"/>
      <c r="SFD49" s="255"/>
      <c r="SFE49" s="255"/>
      <c r="SFF49" s="255"/>
      <c r="SFG49" s="255"/>
      <c r="SFH49" s="255"/>
      <c r="SFI49" s="255"/>
      <c r="SFJ49" s="255"/>
      <c r="SFK49" s="255"/>
      <c r="SFL49" s="255"/>
      <c r="SFM49" s="255"/>
      <c r="SFN49" s="255"/>
      <c r="SFO49" s="255"/>
      <c r="SFP49" s="255"/>
      <c r="SFQ49" s="255"/>
      <c r="SFR49" s="255"/>
      <c r="SFS49" s="255"/>
      <c r="SFT49" s="255"/>
      <c r="SFU49" s="255"/>
      <c r="SFV49" s="255"/>
      <c r="SFW49" s="255"/>
      <c r="SFX49" s="255"/>
      <c r="SFY49" s="255"/>
      <c r="SFZ49" s="255"/>
      <c r="SGA49" s="255"/>
      <c r="SGB49" s="255"/>
      <c r="SGC49" s="255"/>
      <c r="SGD49" s="255"/>
      <c r="SGE49" s="255"/>
      <c r="SGF49" s="255"/>
      <c r="SGG49" s="255"/>
      <c r="SGH49" s="255"/>
      <c r="SGI49" s="255"/>
      <c r="SGJ49" s="255"/>
      <c r="SGK49" s="255"/>
      <c r="SGL49" s="255"/>
      <c r="SGM49" s="255"/>
      <c r="SGN49" s="255"/>
      <c r="SGO49" s="255"/>
      <c r="SGP49" s="255"/>
      <c r="SGQ49" s="255"/>
      <c r="SGR49" s="255"/>
      <c r="SGS49" s="255"/>
      <c r="SGT49" s="255"/>
      <c r="SGU49" s="255"/>
      <c r="SGV49" s="255"/>
      <c r="SGW49" s="255"/>
      <c r="SGX49" s="255"/>
      <c r="SGY49" s="255"/>
      <c r="SGZ49" s="255"/>
      <c r="SHA49" s="255"/>
      <c r="SHB49" s="255"/>
      <c r="SHC49" s="255"/>
      <c r="SHD49" s="255"/>
      <c r="SHE49" s="255"/>
      <c r="SHF49" s="255"/>
      <c r="SHG49" s="255"/>
      <c r="SHH49" s="255"/>
      <c r="SHI49" s="255"/>
      <c r="SHJ49" s="255"/>
      <c r="SHK49" s="255"/>
      <c r="SHL49" s="255"/>
      <c r="SHM49" s="255"/>
      <c r="SHN49" s="255"/>
      <c r="SHO49" s="255"/>
      <c r="SHP49" s="255"/>
      <c r="SHQ49" s="255"/>
      <c r="SHR49" s="255"/>
      <c r="SHS49" s="255"/>
      <c r="SHT49" s="255"/>
      <c r="SHU49" s="255"/>
      <c r="SHV49" s="255"/>
      <c r="SHW49" s="255"/>
      <c r="SHX49" s="255"/>
      <c r="SHY49" s="255"/>
      <c r="SHZ49" s="255"/>
      <c r="SIA49" s="255"/>
      <c r="SIB49" s="255"/>
      <c r="SIC49" s="255"/>
      <c r="SID49" s="255"/>
      <c r="SIE49" s="255"/>
      <c r="SIF49" s="255"/>
      <c r="SIG49" s="255"/>
      <c r="SIH49" s="255"/>
      <c r="SII49" s="255"/>
      <c r="SIJ49" s="255"/>
      <c r="SIK49" s="255"/>
      <c r="SIL49" s="255"/>
      <c r="SIM49" s="255"/>
      <c r="SIN49" s="255"/>
      <c r="SIO49" s="255"/>
      <c r="SIP49" s="255"/>
      <c r="SIQ49" s="255"/>
      <c r="SIR49" s="255"/>
      <c r="SIS49" s="255"/>
      <c r="SIT49" s="255"/>
      <c r="SIU49" s="255"/>
      <c r="SIV49" s="255"/>
      <c r="SIW49" s="255"/>
      <c r="SIX49" s="255"/>
      <c r="SIY49" s="255"/>
      <c r="SIZ49" s="255"/>
      <c r="SJA49" s="255"/>
      <c r="SJB49" s="255"/>
      <c r="SJC49" s="255"/>
      <c r="SJD49" s="255"/>
      <c r="SJE49" s="255"/>
      <c r="SJF49" s="255"/>
      <c r="SJG49" s="255"/>
      <c r="SJH49" s="255"/>
      <c r="SJI49" s="255"/>
      <c r="SJJ49" s="255"/>
      <c r="SJK49" s="255"/>
      <c r="SJL49" s="255"/>
      <c r="SJM49" s="255"/>
      <c r="SJN49" s="255"/>
      <c r="SJO49" s="255"/>
      <c r="SJP49" s="255"/>
      <c r="SJQ49" s="255"/>
      <c r="SJR49" s="255"/>
      <c r="SJS49" s="255"/>
      <c r="SJT49" s="255"/>
      <c r="SJU49" s="255"/>
      <c r="SJV49" s="255"/>
      <c r="SJW49" s="255"/>
      <c r="SJX49" s="255"/>
      <c r="SJY49" s="255"/>
      <c r="SJZ49" s="255"/>
      <c r="SKA49" s="255"/>
      <c r="SKB49" s="255"/>
      <c r="SKC49" s="255"/>
      <c r="SKD49" s="255"/>
      <c r="SKE49" s="255"/>
      <c r="SKF49" s="255"/>
      <c r="SKG49" s="255"/>
      <c r="SKH49" s="255"/>
      <c r="SKI49" s="255"/>
      <c r="SKJ49" s="255"/>
      <c r="SKK49" s="255"/>
      <c r="SKL49" s="255"/>
      <c r="SKM49" s="255"/>
      <c r="SKN49" s="255"/>
      <c r="SKO49" s="255"/>
      <c r="SKP49" s="255"/>
      <c r="SKQ49" s="255"/>
      <c r="SKR49" s="255"/>
      <c r="SKS49" s="255"/>
      <c r="SKT49" s="255"/>
      <c r="SKU49" s="255"/>
      <c r="SKV49" s="255"/>
      <c r="SKW49" s="255"/>
      <c r="SKX49" s="255"/>
      <c r="SKY49" s="255"/>
      <c r="SKZ49" s="255"/>
      <c r="SLA49" s="255"/>
      <c r="SLB49" s="255"/>
      <c r="SLC49" s="255"/>
      <c r="SLD49" s="255"/>
      <c r="SLE49" s="255"/>
      <c r="SLF49" s="255"/>
      <c r="SLG49" s="255"/>
      <c r="SLH49" s="255"/>
      <c r="SLI49" s="255"/>
      <c r="SLJ49" s="255"/>
      <c r="SLK49" s="255"/>
      <c r="SLL49" s="255"/>
      <c r="SLM49" s="255"/>
      <c r="SLN49" s="255"/>
      <c r="SLO49" s="255"/>
      <c r="SLP49" s="255"/>
      <c r="SLQ49" s="255"/>
      <c r="SLR49" s="255"/>
      <c r="SLS49" s="255"/>
      <c r="SLT49" s="255"/>
      <c r="SLU49" s="255"/>
      <c r="SLV49" s="255"/>
      <c r="SLW49" s="255"/>
      <c r="SLX49" s="255"/>
      <c r="SLY49" s="255"/>
      <c r="SLZ49" s="255"/>
      <c r="SMA49" s="255"/>
      <c r="SMB49" s="255"/>
      <c r="SMC49" s="255"/>
      <c r="SMD49" s="255"/>
      <c r="SME49" s="255"/>
      <c r="SMF49" s="255"/>
      <c r="SMG49" s="255"/>
      <c r="SMH49" s="255"/>
      <c r="SMI49" s="255"/>
      <c r="SMJ49" s="255"/>
      <c r="SMK49" s="255"/>
      <c r="SML49" s="255"/>
      <c r="SMM49" s="255"/>
      <c r="SMN49" s="255"/>
      <c r="SMO49" s="255"/>
      <c r="SMP49" s="255"/>
      <c r="SMQ49" s="255"/>
      <c r="SMR49" s="255"/>
      <c r="SMS49" s="255"/>
      <c r="SMT49" s="255"/>
      <c r="SMU49" s="255"/>
      <c r="SMV49" s="255"/>
      <c r="SMW49" s="255"/>
      <c r="SMX49" s="255"/>
      <c r="SMY49" s="255"/>
      <c r="SMZ49" s="255"/>
      <c r="SNA49" s="255"/>
      <c r="SNB49" s="255"/>
      <c r="SNC49" s="255"/>
      <c r="SND49" s="255"/>
      <c r="SNE49" s="255"/>
      <c r="SNF49" s="255"/>
      <c r="SNG49" s="255"/>
      <c r="SNH49" s="255"/>
      <c r="SNI49" s="255"/>
      <c r="SNJ49" s="255"/>
      <c r="SNK49" s="255"/>
      <c r="SNL49" s="255"/>
      <c r="SNM49" s="255"/>
      <c r="SNN49" s="255"/>
      <c r="SNO49" s="255"/>
      <c r="SNP49" s="255"/>
      <c r="SNQ49" s="255"/>
      <c r="SNR49" s="255"/>
      <c r="SNS49" s="255"/>
      <c r="SNT49" s="255"/>
      <c r="SNU49" s="255"/>
      <c r="SNV49" s="255"/>
      <c r="SNW49" s="255"/>
      <c r="SNX49" s="255"/>
      <c r="SNY49" s="255"/>
      <c r="SNZ49" s="255"/>
      <c r="SOA49" s="255"/>
      <c r="SOB49" s="255"/>
      <c r="SOC49" s="255"/>
      <c r="SOD49" s="255"/>
      <c r="SOE49" s="255"/>
      <c r="SOF49" s="255"/>
      <c r="SOG49" s="255"/>
      <c r="SOH49" s="255"/>
      <c r="SOI49" s="255"/>
      <c r="SOJ49" s="255"/>
      <c r="SOK49" s="255"/>
      <c r="SOL49" s="255"/>
      <c r="SOM49" s="255"/>
      <c r="SON49" s="255"/>
      <c r="SOO49" s="255"/>
      <c r="SOP49" s="255"/>
      <c r="SOQ49" s="255"/>
      <c r="SOR49" s="255"/>
      <c r="SOS49" s="255"/>
      <c r="SOT49" s="255"/>
      <c r="SOU49" s="255"/>
      <c r="SOV49" s="255"/>
      <c r="SOW49" s="255"/>
      <c r="SOX49" s="255"/>
      <c r="SOY49" s="255"/>
      <c r="SOZ49" s="255"/>
      <c r="SPA49" s="255"/>
      <c r="SPB49" s="255"/>
      <c r="SPC49" s="255"/>
      <c r="SPD49" s="255"/>
      <c r="SPE49" s="255"/>
      <c r="SPF49" s="255"/>
      <c r="SPG49" s="255"/>
      <c r="SPH49" s="255"/>
      <c r="SPI49" s="255"/>
      <c r="SPJ49" s="255"/>
      <c r="SPK49" s="255"/>
      <c r="SPL49" s="255"/>
      <c r="SPM49" s="255"/>
      <c r="SPN49" s="255"/>
      <c r="SPO49" s="255"/>
      <c r="SPP49" s="255"/>
      <c r="SPQ49" s="255"/>
      <c r="SPR49" s="255"/>
      <c r="SPS49" s="255"/>
      <c r="SPT49" s="255"/>
      <c r="SPU49" s="255"/>
      <c r="SPV49" s="255"/>
      <c r="SPW49" s="255"/>
      <c r="SPX49" s="255"/>
      <c r="SPY49" s="255"/>
      <c r="SPZ49" s="255"/>
      <c r="SQA49" s="255"/>
      <c r="SQB49" s="255"/>
      <c r="SQC49" s="255"/>
      <c r="SQD49" s="255"/>
      <c r="SQE49" s="255"/>
      <c r="SQF49" s="255"/>
      <c r="SQG49" s="255"/>
      <c r="SQH49" s="255"/>
      <c r="SQI49" s="255"/>
      <c r="SQJ49" s="255"/>
      <c r="SQK49" s="255"/>
      <c r="SQL49" s="255"/>
      <c r="SQM49" s="255"/>
      <c r="SQN49" s="255"/>
      <c r="SQO49" s="255"/>
      <c r="SQP49" s="255"/>
      <c r="SQQ49" s="255"/>
      <c r="SQR49" s="255"/>
      <c r="SQS49" s="255"/>
      <c r="SQT49" s="255"/>
      <c r="SQU49" s="255"/>
      <c r="SQV49" s="255"/>
      <c r="SQW49" s="255"/>
      <c r="SQX49" s="255"/>
      <c r="SQY49" s="255"/>
      <c r="SQZ49" s="255"/>
      <c r="SRA49" s="255"/>
      <c r="SRB49" s="255"/>
      <c r="SRC49" s="255"/>
      <c r="SRD49" s="255"/>
      <c r="SRE49" s="255"/>
      <c r="SRF49" s="255"/>
      <c r="SRG49" s="255"/>
      <c r="SRH49" s="255"/>
      <c r="SRI49" s="255"/>
      <c r="SRJ49" s="255"/>
      <c r="SRK49" s="255"/>
      <c r="SRL49" s="255"/>
      <c r="SRM49" s="255"/>
      <c r="SRN49" s="255"/>
      <c r="SRO49" s="255"/>
      <c r="SRP49" s="255"/>
      <c r="SRQ49" s="255"/>
      <c r="SRR49" s="255"/>
      <c r="SRS49" s="255"/>
      <c r="SRT49" s="255"/>
      <c r="SRU49" s="255"/>
      <c r="SRV49" s="255"/>
      <c r="SRW49" s="255"/>
      <c r="SRX49" s="255"/>
      <c r="SRY49" s="255"/>
      <c r="SRZ49" s="255"/>
      <c r="SSA49" s="255"/>
      <c r="SSB49" s="255"/>
      <c r="SSC49" s="255"/>
      <c r="SSD49" s="255"/>
      <c r="SSE49" s="255"/>
      <c r="SSF49" s="255"/>
      <c r="SSG49" s="255"/>
      <c r="SSH49" s="255"/>
      <c r="SSI49" s="255"/>
      <c r="SSJ49" s="255"/>
      <c r="SSK49" s="255"/>
      <c r="SSL49" s="255"/>
      <c r="SSM49" s="255"/>
      <c r="SSN49" s="255"/>
      <c r="SSO49" s="255"/>
      <c r="SSP49" s="255"/>
      <c r="SSQ49" s="255"/>
      <c r="SSR49" s="255"/>
      <c r="SSS49" s="255"/>
      <c r="SST49" s="255"/>
      <c r="SSU49" s="255"/>
      <c r="SSV49" s="255"/>
      <c r="SSW49" s="255"/>
      <c r="SSX49" s="255"/>
      <c r="SSY49" s="255"/>
      <c r="SSZ49" s="255"/>
      <c r="STA49" s="255"/>
      <c r="STB49" s="255"/>
      <c r="STC49" s="255"/>
      <c r="STD49" s="255"/>
      <c r="STE49" s="255"/>
      <c r="STF49" s="255"/>
      <c r="STG49" s="255"/>
      <c r="STH49" s="255"/>
      <c r="STI49" s="255"/>
      <c r="STJ49" s="255"/>
      <c r="STK49" s="255"/>
      <c r="STL49" s="255"/>
      <c r="STM49" s="255"/>
      <c r="STN49" s="255"/>
      <c r="STO49" s="255"/>
      <c r="STP49" s="255"/>
      <c r="STQ49" s="255"/>
      <c r="STR49" s="255"/>
      <c r="STS49" s="255"/>
      <c r="STT49" s="255"/>
      <c r="STU49" s="255"/>
      <c r="STV49" s="255"/>
      <c r="STW49" s="255"/>
      <c r="STX49" s="255"/>
      <c r="STY49" s="255"/>
      <c r="STZ49" s="255"/>
      <c r="SUA49" s="255"/>
      <c r="SUB49" s="255"/>
      <c r="SUC49" s="255"/>
      <c r="SUD49" s="255"/>
      <c r="SUE49" s="255"/>
      <c r="SUF49" s="255"/>
      <c r="SUG49" s="255"/>
      <c r="SUH49" s="255"/>
      <c r="SUI49" s="255"/>
      <c r="SUJ49" s="255"/>
      <c r="SUK49" s="255"/>
      <c r="SUL49" s="255"/>
      <c r="SUM49" s="255"/>
      <c r="SUN49" s="255"/>
      <c r="SUO49" s="255"/>
      <c r="SUP49" s="255"/>
      <c r="SUQ49" s="255"/>
      <c r="SUR49" s="255"/>
      <c r="SUS49" s="255"/>
      <c r="SUT49" s="255"/>
      <c r="SUU49" s="255"/>
      <c r="SUV49" s="255"/>
      <c r="SUW49" s="255"/>
      <c r="SUX49" s="255"/>
      <c r="SUY49" s="255"/>
      <c r="SUZ49" s="255"/>
      <c r="SVA49" s="255"/>
      <c r="SVB49" s="255"/>
      <c r="SVC49" s="255"/>
      <c r="SVD49" s="255"/>
      <c r="SVE49" s="255"/>
      <c r="SVF49" s="255"/>
      <c r="SVG49" s="255"/>
      <c r="SVH49" s="255"/>
      <c r="SVI49" s="255"/>
      <c r="SVJ49" s="255"/>
      <c r="SVK49" s="255"/>
      <c r="SVL49" s="255"/>
      <c r="SVM49" s="255"/>
      <c r="SVN49" s="255"/>
      <c r="SVO49" s="255"/>
      <c r="SVP49" s="255"/>
      <c r="SVQ49" s="255"/>
      <c r="SVR49" s="255"/>
      <c r="SVS49" s="255"/>
      <c r="SVT49" s="255"/>
      <c r="SVU49" s="255"/>
      <c r="SVV49" s="255"/>
      <c r="SVW49" s="255"/>
      <c r="SVX49" s="255"/>
      <c r="SVY49" s="255"/>
      <c r="SVZ49" s="255"/>
      <c r="SWA49" s="255"/>
      <c r="SWB49" s="255"/>
      <c r="SWC49" s="255"/>
      <c r="SWD49" s="255"/>
      <c r="SWE49" s="255"/>
      <c r="SWF49" s="255"/>
      <c r="SWG49" s="255"/>
      <c r="SWH49" s="255"/>
      <c r="SWI49" s="255"/>
      <c r="SWJ49" s="255"/>
      <c r="SWK49" s="255"/>
      <c r="SWL49" s="255"/>
      <c r="SWM49" s="255"/>
      <c r="SWN49" s="255"/>
      <c r="SWO49" s="255"/>
      <c r="SWP49" s="255"/>
      <c r="SWQ49" s="255"/>
      <c r="SWR49" s="255"/>
      <c r="SWS49" s="255"/>
      <c r="SWT49" s="255"/>
      <c r="SWU49" s="255"/>
      <c r="SWV49" s="255"/>
      <c r="SWW49" s="255"/>
      <c r="SWX49" s="255"/>
      <c r="SWY49" s="255"/>
      <c r="SWZ49" s="255"/>
      <c r="SXA49" s="255"/>
      <c r="SXB49" s="255"/>
      <c r="SXC49" s="255"/>
      <c r="SXD49" s="255"/>
      <c r="SXE49" s="255"/>
      <c r="SXF49" s="255"/>
      <c r="SXG49" s="255"/>
      <c r="SXH49" s="255"/>
      <c r="SXI49" s="255"/>
      <c r="SXJ49" s="255"/>
      <c r="SXK49" s="255"/>
      <c r="SXL49" s="255"/>
      <c r="SXM49" s="255"/>
      <c r="SXN49" s="255"/>
      <c r="SXO49" s="255"/>
      <c r="SXP49" s="255"/>
      <c r="SXQ49" s="255"/>
      <c r="SXR49" s="255"/>
      <c r="SXS49" s="255"/>
      <c r="SXT49" s="255"/>
      <c r="SXU49" s="255"/>
      <c r="SXV49" s="255"/>
      <c r="SXW49" s="255"/>
      <c r="SXX49" s="255"/>
      <c r="SXY49" s="255"/>
      <c r="SXZ49" s="255"/>
      <c r="SYA49" s="255"/>
      <c r="SYB49" s="255"/>
      <c r="SYC49" s="255"/>
      <c r="SYD49" s="255"/>
      <c r="SYE49" s="255"/>
      <c r="SYF49" s="255"/>
      <c r="SYG49" s="255"/>
      <c r="SYH49" s="255"/>
      <c r="SYI49" s="255"/>
      <c r="SYJ49" s="255"/>
      <c r="SYK49" s="255"/>
      <c r="SYL49" s="255"/>
      <c r="SYM49" s="255"/>
      <c r="SYN49" s="255"/>
      <c r="SYO49" s="255"/>
      <c r="SYP49" s="255"/>
      <c r="SYQ49" s="255"/>
      <c r="SYR49" s="255"/>
      <c r="SYS49" s="255"/>
      <c r="SYT49" s="255"/>
      <c r="SYU49" s="255"/>
      <c r="SYV49" s="255"/>
      <c r="SYW49" s="255"/>
      <c r="SYX49" s="255"/>
      <c r="SYY49" s="255"/>
      <c r="SYZ49" s="255"/>
      <c r="SZA49" s="255"/>
      <c r="SZB49" s="255"/>
      <c r="SZC49" s="255"/>
      <c r="SZD49" s="255"/>
      <c r="SZE49" s="255"/>
      <c r="SZF49" s="255"/>
      <c r="SZG49" s="255"/>
      <c r="SZH49" s="255"/>
      <c r="SZI49" s="255"/>
      <c r="SZJ49" s="255"/>
      <c r="SZK49" s="255"/>
      <c r="SZL49" s="255"/>
      <c r="SZM49" s="255"/>
      <c r="SZN49" s="255"/>
      <c r="SZO49" s="255"/>
      <c r="SZP49" s="255"/>
      <c r="SZQ49" s="255"/>
      <c r="SZR49" s="255"/>
      <c r="SZS49" s="255"/>
      <c r="SZT49" s="255"/>
      <c r="SZU49" s="255"/>
      <c r="SZV49" s="255"/>
      <c r="SZW49" s="255"/>
      <c r="SZX49" s="255"/>
      <c r="SZY49" s="255"/>
      <c r="SZZ49" s="255"/>
      <c r="TAA49" s="255"/>
      <c r="TAB49" s="255"/>
      <c r="TAC49" s="255"/>
      <c r="TAD49" s="255"/>
      <c r="TAE49" s="255"/>
      <c r="TAF49" s="255"/>
      <c r="TAG49" s="255"/>
      <c r="TAH49" s="255"/>
      <c r="TAI49" s="255"/>
      <c r="TAJ49" s="255"/>
      <c r="TAK49" s="255"/>
      <c r="TAL49" s="255"/>
      <c r="TAM49" s="255"/>
      <c r="TAN49" s="255"/>
      <c r="TAO49" s="255"/>
      <c r="TAP49" s="255"/>
      <c r="TAQ49" s="255"/>
      <c r="TAR49" s="255"/>
      <c r="TAS49" s="255"/>
      <c r="TAT49" s="255"/>
      <c r="TAU49" s="255"/>
      <c r="TAV49" s="255"/>
      <c r="TAW49" s="255"/>
      <c r="TAX49" s="255"/>
      <c r="TAY49" s="255"/>
      <c r="TAZ49" s="255"/>
      <c r="TBA49" s="255"/>
      <c r="TBB49" s="255"/>
      <c r="TBC49" s="255"/>
      <c r="TBD49" s="255"/>
      <c r="TBE49" s="255"/>
      <c r="TBF49" s="255"/>
      <c r="TBG49" s="255"/>
      <c r="TBH49" s="255"/>
      <c r="TBI49" s="255"/>
      <c r="TBJ49" s="255"/>
      <c r="TBK49" s="255"/>
      <c r="TBL49" s="255"/>
      <c r="TBM49" s="255"/>
      <c r="TBN49" s="255"/>
      <c r="TBO49" s="255"/>
      <c r="TBP49" s="255"/>
      <c r="TBQ49" s="255"/>
      <c r="TBR49" s="255"/>
      <c r="TBS49" s="255"/>
      <c r="TBT49" s="255"/>
      <c r="TBU49" s="255"/>
      <c r="TBV49" s="255"/>
      <c r="TBW49" s="255"/>
      <c r="TBX49" s="255"/>
      <c r="TBY49" s="255"/>
      <c r="TBZ49" s="255"/>
      <c r="TCA49" s="255"/>
      <c r="TCB49" s="255"/>
      <c r="TCC49" s="255"/>
      <c r="TCD49" s="255"/>
      <c r="TCE49" s="255"/>
      <c r="TCF49" s="255"/>
      <c r="TCG49" s="255"/>
      <c r="TCH49" s="255"/>
      <c r="TCI49" s="255"/>
      <c r="TCJ49" s="255"/>
      <c r="TCK49" s="255"/>
      <c r="TCL49" s="255"/>
      <c r="TCM49" s="255"/>
      <c r="TCN49" s="255"/>
      <c r="TCO49" s="255"/>
      <c r="TCP49" s="255"/>
      <c r="TCQ49" s="255"/>
      <c r="TCR49" s="255"/>
      <c r="TCS49" s="255"/>
      <c r="TCT49" s="255"/>
      <c r="TCU49" s="255"/>
      <c r="TCV49" s="255"/>
      <c r="TCW49" s="255"/>
      <c r="TCX49" s="255"/>
      <c r="TCY49" s="255"/>
      <c r="TCZ49" s="255"/>
      <c r="TDA49" s="255"/>
      <c r="TDB49" s="255"/>
      <c r="TDC49" s="255"/>
      <c r="TDD49" s="255"/>
      <c r="TDE49" s="255"/>
      <c r="TDF49" s="255"/>
      <c r="TDG49" s="255"/>
      <c r="TDH49" s="255"/>
      <c r="TDI49" s="255"/>
      <c r="TDJ49" s="255"/>
      <c r="TDK49" s="255"/>
      <c r="TDL49" s="255"/>
      <c r="TDM49" s="255"/>
      <c r="TDN49" s="255"/>
      <c r="TDO49" s="255"/>
      <c r="TDP49" s="255"/>
      <c r="TDQ49" s="255"/>
      <c r="TDR49" s="255"/>
      <c r="TDS49" s="255"/>
      <c r="TDT49" s="255"/>
      <c r="TDU49" s="255"/>
      <c r="TDV49" s="255"/>
      <c r="TDW49" s="255"/>
      <c r="TDX49" s="255"/>
      <c r="TDY49" s="255"/>
      <c r="TDZ49" s="255"/>
      <c r="TEA49" s="255"/>
      <c r="TEB49" s="255"/>
      <c r="TEC49" s="255"/>
      <c r="TED49" s="255"/>
      <c r="TEE49" s="255"/>
      <c r="TEF49" s="255"/>
      <c r="TEG49" s="255"/>
      <c r="TEH49" s="255"/>
      <c r="TEI49" s="255"/>
      <c r="TEJ49" s="255"/>
      <c r="TEK49" s="255"/>
      <c r="TEL49" s="255"/>
      <c r="TEM49" s="255"/>
      <c r="TEN49" s="255"/>
      <c r="TEO49" s="255"/>
      <c r="TEP49" s="255"/>
      <c r="TEQ49" s="255"/>
      <c r="TER49" s="255"/>
      <c r="TES49" s="255"/>
      <c r="TET49" s="255"/>
      <c r="TEU49" s="255"/>
      <c r="TEV49" s="255"/>
      <c r="TEW49" s="255"/>
      <c r="TEX49" s="255"/>
      <c r="TEY49" s="255"/>
      <c r="TEZ49" s="255"/>
      <c r="TFA49" s="255"/>
      <c r="TFB49" s="255"/>
      <c r="TFC49" s="255"/>
      <c r="TFD49" s="255"/>
      <c r="TFE49" s="255"/>
      <c r="TFF49" s="255"/>
      <c r="TFG49" s="255"/>
      <c r="TFH49" s="255"/>
      <c r="TFI49" s="255"/>
      <c r="TFJ49" s="255"/>
      <c r="TFK49" s="255"/>
      <c r="TFL49" s="255"/>
      <c r="TFM49" s="255"/>
      <c r="TFN49" s="255"/>
      <c r="TFO49" s="255"/>
      <c r="TFP49" s="255"/>
      <c r="TFQ49" s="255"/>
      <c r="TFR49" s="255"/>
      <c r="TFS49" s="255"/>
      <c r="TFT49" s="255"/>
      <c r="TFU49" s="255"/>
      <c r="TFV49" s="255"/>
      <c r="TFW49" s="255"/>
      <c r="TFX49" s="255"/>
      <c r="TFY49" s="255"/>
      <c r="TFZ49" s="255"/>
      <c r="TGA49" s="255"/>
      <c r="TGB49" s="255"/>
      <c r="TGC49" s="255"/>
      <c r="TGD49" s="255"/>
      <c r="TGE49" s="255"/>
      <c r="TGF49" s="255"/>
      <c r="TGG49" s="255"/>
      <c r="TGH49" s="255"/>
      <c r="TGI49" s="255"/>
      <c r="TGJ49" s="255"/>
      <c r="TGK49" s="255"/>
      <c r="TGL49" s="255"/>
      <c r="TGM49" s="255"/>
      <c r="TGN49" s="255"/>
      <c r="TGO49" s="255"/>
      <c r="TGP49" s="255"/>
      <c r="TGQ49" s="255"/>
      <c r="TGR49" s="255"/>
      <c r="TGS49" s="255"/>
      <c r="TGT49" s="255"/>
      <c r="TGU49" s="255"/>
      <c r="TGV49" s="255"/>
      <c r="TGW49" s="255"/>
      <c r="TGX49" s="255"/>
      <c r="TGY49" s="255"/>
      <c r="TGZ49" s="255"/>
      <c r="THA49" s="255"/>
      <c r="THB49" s="255"/>
      <c r="THC49" s="255"/>
      <c r="THD49" s="255"/>
      <c r="THE49" s="255"/>
      <c r="THF49" s="255"/>
      <c r="THG49" s="255"/>
      <c r="THH49" s="255"/>
      <c r="THI49" s="255"/>
      <c r="THJ49" s="255"/>
      <c r="THK49" s="255"/>
      <c r="THL49" s="255"/>
      <c r="THM49" s="255"/>
      <c r="THN49" s="255"/>
      <c r="THO49" s="255"/>
      <c r="THP49" s="255"/>
      <c r="THQ49" s="255"/>
      <c r="THR49" s="255"/>
      <c r="THS49" s="255"/>
      <c r="THT49" s="255"/>
      <c r="THU49" s="255"/>
      <c r="THV49" s="255"/>
      <c r="THW49" s="255"/>
      <c r="THX49" s="255"/>
      <c r="THY49" s="255"/>
      <c r="THZ49" s="255"/>
      <c r="TIA49" s="255"/>
      <c r="TIB49" s="255"/>
      <c r="TIC49" s="255"/>
      <c r="TID49" s="255"/>
      <c r="TIE49" s="255"/>
      <c r="TIF49" s="255"/>
      <c r="TIG49" s="255"/>
      <c r="TIH49" s="255"/>
      <c r="TII49" s="255"/>
      <c r="TIJ49" s="255"/>
      <c r="TIK49" s="255"/>
      <c r="TIL49" s="255"/>
      <c r="TIM49" s="255"/>
      <c r="TIN49" s="255"/>
      <c r="TIO49" s="255"/>
      <c r="TIP49" s="255"/>
      <c r="TIQ49" s="255"/>
      <c r="TIR49" s="255"/>
      <c r="TIS49" s="255"/>
      <c r="TIT49" s="255"/>
      <c r="TIU49" s="255"/>
      <c r="TIV49" s="255"/>
      <c r="TIW49" s="255"/>
      <c r="TIX49" s="255"/>
      <c r="TIY49" s="255"/>
      <c r="TIZ49" s="255"/>
      <c r="TJA49" s="255"/>
      <c r="TJB49" s="255"/>
      <c r="TJC49" s="255"/>
      <c r="TJD49" s="255"/>
      <c r="TJE49" s="255"/>
      <c r="TJF49" s="255"/>
      <c r="TJG49" s="255"/>
      <c r="TJH49" s="255"/>
      <c r="TJI49" s="255"/>
      <c r="TJJ49" s="255"/>
      <c r="TJK49" s="255"/>
      <c r="TJL49" s="255"/>
      <c r="TJM49" s="255"/>
      <c r="TJN49" s="255"/>
      <c r="TJO49" s="255"/>
      <c r="TJP49" s="255"/>
      <c r="TJQ49" s="255"/>
      <c r="TJR49" s="255"/>
      <c r="TJS49" s="255"/>
      <c r="TJT49" s="255"/>
      <c r="TJU49" s="255"/>
      <c r="TJV49" s="255"/>
      <c r="TJW49" s="255"/>
      <c r="TJX49" s="255"/>
      <c r="TJY49" s="255"/>
      <c r="TJZ49" s="255"/>
      <c r="TKA49" s="255"/>
      <c r="TKB49" s="255"/>
      <c r="TKC49" s="255"/>
      <c r="TKD49" s="255"/>
      <c r="TKE49" s="255"/>
      <c r="TKF49" s="255"/>
      <c r="TKG49" s="255"/>
      <c r="TKH49" s="255"/>
      <c r="TKI49" s="255"/>
      <c r="TKJ49" s="255"/>
      <c r="TKK49" s="255"/>
      <c r="TKL49" s="255"/>
      <c r="TKM49" s="255"/>
      <c r="TKN49" s="255"/>
      <c r="TKO49" s="255"/>
      <c r="TKP49" s="255"/>
      <c r="TKQ49" s="255"/>
      <c r="TKR49" s="255"/>
      <c r="TKS49" s="255"/>
      <c r="TKT49" s="255"/>
      <c r="TKU49" s="255"/>
      <c r="TKV49" s="255"/>
      <c r="TKW49" s="255"/>
      <c r="TKX49" s="255"/>
      <c r="TKY49" s="255"/>
      <c r="TKZ49" s="255"/>
      <c r="TLA49" s="255"/>
      <c r="TLB49" s="255"/>
      <c r="TLC49" s="255"/>
      <c r="TLD49" s="255"/>
      <c r="TLE49" s="255"/>
      <c r="TLF49" s="255"/>
      <c r="TLG49" s="255"/>
      <c r="TLH49" s="255"/>
      <c r="TLI49" s="255"/>
      <c r="TLJ49" s="255"/>
      <c r="TLK49" s="255"/>
      <c r="TLL49" s="255"/>
      <c r="TLM49" s="255"/>
      <c r="TLN49" s="255"/>
      <c r="TLO49" s="255"/>
      <c r="TLP49" s="255"/>
      <c r="TLQ49" s="255"/>
      <c r="TLR49" s="255"/>
      <c r="TLS49" s="255"/>
      <c r="TLT49" s="255"/>
      <c r="TLU49" s="255"/>
      <c r="TLV49" s="255"/>
      <c r="TLW49" s="255"/>
      <c r="TLX49" s="255"/>
      <c r="TLY49" s="255"/>
      <c r="TLZ49" s="255"/>
      <c r="TMA49" s="255"/>
      <c r="TMB49" s="255"/>
      <c r="TMC49" s="255"/>
      <c r="TMD49" s="255"/>
      <c r="TME49" s="255"/>
      <c r="TMF49" s="255"/>
      <c r="TMG49" s="255"/>
      <c r="TMH49" s="255"/>
      <c r="TMI49" s="255"/>
      <c r="TMJ49" s="255"/>
      <c r="TMK49" s="255"/>
      <c r="TML49" s="255"/>
      <c r="TMM49" s="255"/>
      <c r="TMN49" s="255"/>
      <c r="TMO49" s="255"/>
      <c r="TMP49" s="255"/>
      <c r="TMQ49" s="255"/>
      <c r="TMR49" s="255"/>
      <c r="TMS49" s="255"/>
      <c r="TMT49" s="255"/>
      <c r="TMU49" s="255"/>
      <c r="TMV49" s="255"/>
      <c r="TMW49" s="255"/>
      <c r="TMX49" s="255"/>
      <c r="TMY49" s="255"/>
      <c r="TMZ49" s="255"/>
      <c r="TNA49" s="255"/>
      <c r="TNB49" s="255"/>
      <c r="TNC49" s="255"/>
      <c r="TND49" s="255"/>
      <c r="TNE49" s="255"/>
      <c r="TNF49" s="255"/>
      <c r="TNG49" s="255"/>
      <c r="TNH49" s="255"/>
      <c r="TNI49" s="255"/>
      <c r="TNJ49" s="255"/>
      <c r="TNK49" s="255"/>
      <c r="TNL49" s="255"/>
      <c r="TNM49" s="255"/>
      <c r="TNN49" s="255"/>
      <c r="TNO49" s="255"/>
      <c r="TNP49" s="255"/>
      <c r="TNQ49" s="255"/>
      <c r="TNR49" s="255"/>
      <c r="TNS49" s="255"/>
      <c r="TNT49" s="255"/>
      <c r="TNU49" s="255"/>
      <c r="TNV49" s="255"/>
      <c r="TNW49" s="255"/>
      <c r="TNX49" s="255"/>
      <c r="TNY49" s="255"/>
      <c r="TNZ49" s="255"/>
      <c r="TOA49" s="255"/>
      <c r="TOB49" s="255"/>
      <c r="TOC49" s="255"/>
      <c r="TOD49" s="255"/>
      <c r="TOE49" s="255"/>
      <c r="TOF49" s="255"/>
      <c r="TOG49" s="255"/>
      <c r="TOH49" s="255"/>
      <c r="TOI49" s="255"/>
      <c r="TOJ49" s="255"/>
      <c r="TOK49" s="255"/>
      <c r="TOL49" s="255"/>
      <c r="TOM49" s="255"/>
      <c r="TON49" s="255"/>
      <c r="TOO49" s="255"/>
      <c r="TOP49" s="255"/>
      <c r="TOQ49" s="255"/>
      <c r="TOR49" s="255"/>
      <c r="TOS49" s="255"/>
      <c r="TOT49" s="255"/>
      <c r="TOU49" s="255"/>
      <c r="TOV49" s="255"/>
      <c r="TOW49" s="255"/>
      <c r="TOX49" s="255"/>
      <c r="TOY49" s="255"/>
      <c r="TOZ49" s="255"/>
      <c r="TPA49" s="255"/>
      <c r="TPB49" s="255"/>
      <c r="TPC49" s="255"/>
      <c r="TPD49" s="255"/>
      <c r="TPE49" s="255"/>
      <c r="TPF49" s="255"/>
      <c r="TPG49" s="255"/>
      <c r="TPH49" s="255"/>
      <c r="TPI49" s="255"/>
      <c r="TPJ49" s="255"/>
      <c r="TPK49" s="255"/>
      <c r="TPL49" s="255"/>
      <c r="TPM49" s="255"/>
      <c r="TPN49" s="255"/>
      <c r="TPO49" s="255"/>
      <c r="TPP49" s="255"/>
      <c r="TPQ49" s="255"/>
      <c r="TPR49" s="255"/>
      <c r="TPS49" s="255"/>
      <c r="TPT49" s="255"/>
      <c r="TPU49" s="255"/>
      <c r="TPV49" s="255"/>
      <c r="TPW49" s="255"/>
      <c r="TPX49" s="255"/>
      <c r="TPY49" s="255"/>
      <c r="TPZ49" s="255"/>
      <c r="TQA49" s="255"/>
      <c r="TQB49" s="255"/>
      <c r="TQC49" s="255"/>
      <c r="TQD49" s="255"/>
      <c r="TQE49" s="255"/>
      <c r="TQF49" s="255"/>
      <c r="TQG49" s="255"/>
      <c r="TQH49" s="255"/>
      <c r="TQI49" s="255"/>
      <c r="TQJ49" s="255"/>
      <c r="TQK49" s="255"/>
      <c r="TQL49" s="255"/>
      <c r="TQM49" s="255"/>
      <c r="TQN49" s="255"/>
      <c r="TQO49" s="255"/>
      <c r="TQP49" s="255"/>
      <c r="TQQ49" s="255"/>
      <c r="TQR49" s="255"/>
      <c r="TQS49" s="255"/>
      <c r="TQT49" s="255"/>
      <c r="TQU49" s="255"/>
      <c r="TQV49" s="255"/>
      <c r="TQW49" s="255"/>
      <c r="TQX49" s="255"/>
      <c r="TQY49" s="255"/>
      <c r="TQZ49" s="255"/>
      <c r="TRA49" s="255"/>
      <c r="TRB49" s="255"/>
      <c r="TRC49" s="255"/>
      <c r="TRD49" s="255"/>
      <c r="TRE49" s="255"/>
      <c r="TRF49" s="255"/>
      <c r="TRG49" s="255"/>
      <c r="TRH49" s="255"/>
      <c r="TRI49" s="255"/>
      <c r="TRJ49" s="255"/>
      <c r="TRK49" s="255"/>
      <c r="TRL49" s="255"/>
      <c r="TRM49" s="255"/>
      <c r="TRN49" s="255"/>
      <c r="TRO49" s="255"/>
      <c r="TRP49" s="255"/>
      <c r="TRQ49" s="255"/>
      <c r="TRR49" s="255"/>
      <c r="TRS49" s="255"/>
      <c r="TRT49" s="255"/>
      <c r="TRU49" s="255"/>
      <c r="TRV49" s="255"/>
      <c r="TRW49" s="255"/>
      <c r="TRX49" s="255"/>
      <c r="TRY49" s="255"/>
      <c r="TRZ49" s="255"/>
      <c r="TSA49" s="255"/>
      <c r="TSB49" s="255"/>
      <c r="TSC49" s="255"/>
      <c r="TSD49" s="255"/>
      <c r="TSE49" s="255"/>
      <c r="TSF49" s="255"/>
      <c r="TSG49" s="255"/>
      <c r="TSH49" s="255"/>
      <c r="TSI49" s="255"/>
      <c r="TSJ49" s="255"/>
      <c r="TSK49" s="255"/>
      <c r="TSL49" s="255"/>
      <c r="TSM49" s="255"/>
      <c r="TSN49" s="255"/>
      <c r="TSO49" s="255"/>
      <c r="TSP49" s="255"/>
      <c r="TSQ49" s="255"/>
      <c r="TSR49" s="255"/>
      <c r="TSS49" s="255"/>
      <c r="TST49" s="255"/>
      <c r="TSU49" s="255"/>
      <c r="TSV49" s="255"/>
      <c r="TSW49" s="255"/>
      <c r="TSX49" s="255"/>
      <c r="TSY49" s="255"/>
      <c r="TSZ49" s="255"/>
      <c r="TTA49" s="255"/>
      <c r="TTB49" s="255"/>
      <c r="TTC49" s="255"/>
      <c r="TTD49" s="255"/>
      <c r="TTE49" s="255"/>
      <c r="TTF49" s="255"/>
      <c r="TTG49" s="255"/>
      <c r="TTH49" s="255"/>
      <c r="TTI49" s="255"/>
      <c r="TTJ49" s="255"/>
      <c r="TTK49" s="255"/>
      <c r="TTL49" s="255"/>
      <c r="TTM49" s="255"/>
      <c r="TTN49" s="255"/>
      <c r="TTO49" s="255"/>
      <c r="TTP49" s="255"/>
      <c r="TTQ49" s="255"/>
      <c r="TTR49" s="255"/>
      <c r="TTS49" s="255"/>
      <c r="TTT49" s="255"/>
      <c r="TTU49" s="255"/>
      <c r="TTV49" s="255"/>
      <c r="TTW49" s="255"/>
      <c r="TTX49" s="255"/>
      <c r="TTY49" s="255"/>
      <c r="TTZ49" s="255"/>
      <c r="TUA49" s="255"/>
      <c r="TUB49" s="255"/>
      <c r="TUC49" s="255"/>
      <c r="TUD49" s="255"/>
      <c r="TUE49" s="255"/>
      <c r="TUF49" s="255"/>
      <c r="TUG49" s="255"/>
      <c r="TUH49" s="255"/>
      <c r="TUI49" s="255"/>
      <c r="TUJ49" s="255"/>
      <c r="TUK49" s="255"/>
      <c r="TUL49" s="255"/>
      <c r="TUM49" s="255"/>
      <c r="TUN49" s="255"/>
      <c r="TUO49" s="255"/>
      <c r="TUP49" s="255"/>
      <c r="TUQ49" s="255"/>
      <c r="TUR49" s="255"/>
      <c r="TUS49" s="255"/>
      <c r="TUT49" s="255"/>
      <c r="TUU49" s="255"/>
      <c r="TUV49" s="255"/>
      <c r="TUW49" s="255"/>
      <c r="TUX49" s="255"/>
      <c r="TUY49" s="255"/>
      <c r="TUZ49" s="255"/>
      <c r="TVA49" s="255"/>
      <c r="TVB49" s="255"/>
      <c r="TVC49" s="255"/>
      <c r="TVD49" s="255"/>
      <c r="TVE49" s="255"/>
      <c r="TVF49" s="255"/>
      <c r="TVG49" s="255"/>
      <c r="TVH49" s="255"/>
      <c r="TVI49" s="255"/>
      <c r="TVJ49" s="255"/>
      <c r="TVK49" s="255"/>
      <c r="TVL49" s="255"/>
      <c r="TVM49" s="255"/>
      <c r="TVN49" s="255"/>
      <c r="TVO49" s="255"/>
      <c r="TVP49" s="255"/>
      <c r="TVQ49" s="255"/>
      <c r="TVR49" s="255"/>
      <c r="TVS49" s="255"/>
      <c r="TVT49" s="255"/>
      <c r="TVU49" s="255"/>
      <c r="TVV49" s="255"/>
      <c r="TVW49" s="255"/>
      <c r="TVX49" s="255"/>
      <c r="TVY49" s="255"/>
      <c r="TVZ49" s="255"/>
      <c r="TWA49" s="255"/>
      <c r="TWB49" s="255"/>
      <c r="TWC49" s="255"/>
      <c r="TWD49" s="255"/>
      <c r="TWE49" s="255"/>
      <c r="TWF49" s="255"/>
      <c r="TWG49" s="255"/>
      <c r="TWH49" s="255"/>
      <c r="TWI49" s="255"/>
      <c r="TWJ49" s="255"/>
      <c r="TWK49" s="255"/>
      <c r="TWL49" s="255"/>
      <c r="TWM49" s="255"/>
      <c r="TWN49" s="255"/>
      <c r="TWO49" s="255"/>
      <c r="TWP49" s="255"/>
      <c r="TWQ49" s="255"/>
      <c r="TWR49" s="255"/>
      <c r="TWS49" s="255"/>
      <c r="TWT49" s="255"/>
      <c r="TWU49" s="255"/>
      <c r="TWV49" s="255"/>
      <c r="TWW49" s="255"/>
      <c r="TWX49" s="255"/>
      <c r="TWY49" s="255"/>
      <c r="TWZ49" s="255"/>
      <c r="TXA49" s="255"/>
      <c r="TXB49" s="255"/>
      <c r="TXC49" s="255"/>
      <c r="TXD49" s="255"/>
      <c r="TXE49" s="255"/>
      <c r="TXF49" s="255"/>
      <c r="TXG49" s="255"/>
      <c r="TXH49" s="255"/>
      <c r="TXI49" s="255"/>
      <c r="TXJ49" s="255"/>
      <c r="TXK49" s="255"/>
      <c r="TXL49" s="255"/>
      <c r="TXM49" s="255"/>
      <c r="TXN49" s="255"/>
      <c r="TXO49" s="255"/>
      <c r="TXP49" s="255"/>
      <c r="TXQ49" s="255"/>
      <c r="TXR49" s="255"/>
      <c r="TXS49" s="255"/>
      <c r="TXT49" s="255"/>
      <c r="TXU49" s="255"/>
      <c r="TXV49" s="255"/>
      <c r="TXW49" s="255"/>
      <c r="TXX49" s="255"/>
      <c r="TXY49" s="255"/>
      <c r="TXZ49" s="255"/>
      <c r="TYA49" s="255"/>
      <c r="TYB49" s="255"/>
      <c r="TYC49" s="255"/>
      <c r="TYD49" s="255"/>
      <c r="TYE49" s="255"/>
      <c r="TYF49" s="255"/>
      <c r="TYG49" s="255"/>
      <c r="TYH49" s="255"/>
      <c r="TYI49" s="255"/>
      <c r="TYJ49" s="255"/>
      <c r="TYK49" s="255"/>
      <c r="TYL49" s="255"/>
      <c r="TYM49" s="255"/>
      <c r="TYN49" s="255"/>
      <c r="TYO49" s="255"/>
      <c r="TYP49" s="255"/>
      <c r="TYQ49" s="255"/>
      <c r="TYR49" s="255"/>
      <c r="TYS49" s="255"/>
      <c r="TYT49" s="255"/>
      <c r="TYU49" s="255"/>
      <c r="TYV49" s="255"/>
      <c r="TYW49" s="255"/>
      <c r="TYX49" s="255"/>
      <c r="TYY49" s="255"/>
      <c r="TYZ49" s="255"/>
      <c r="TZA49" s="255"/>
      <c r="TZB49" s="255"/>
      <c r="TZC49" s="255"/>
      <c r="TZD49" s="255"/>
      <c r="TZE49" s="255"/>
      <c r="TZF49" s="255"/>
      <c r="TZG49" s="255"/>
      <c r="TZH49" s="255"/>
      <c r="TZI49" s="255"/>
      <c r="TZJ49" s="255"/>
      <c r="TZK49" s="255"/>
      <c r="TZL49" s="255"/>
      <c r="TZM49" s="255"/>
      <c r="TZN49" s="255"/>
      <c r="TZO49" s="255"/>
      <c r="TZP49" s="255"/>
      <c r="TZQ49" s="255"/>
      <c r="TZR49" s="255"/>
      <c r="TZS49" s="255"/>
      <c r="TZT49" s="255"/>
      <c r="TZU49" s="255"/>
      <c r="TZV49" s="255"/>
      <c r="TZW49" s="255"/>
      <c r="TZX49" s="255"/>
      <c r="TZY49" s="255"/>
      <c r="TZZ49" s="255"/>
      <c r="UAA49" s="255"/>
      <c r="UAB49" s="255"/>
      <c r="UAC49" s="255"/>
      <c r="UAD49" s="255"/>
      <c r="UAE49" s="255"/>
      <c r="UAF49" s="255"/>
      <c r="UAG49" s="255"/>
      <c r="UAH49" s="255"/>
      <c r="UAI49" s="255"/>
      <c r="UAJ49" s="255"/>
      <c r="UAK49" s="255"/>
      <c r="UAL49" s="255"/>
      <c r="UAM49" s="255"/>
      <c r="UAN49" s="255"/>
      <c r="UAO49" s="255"/>
      <c r="UAP49" s="255"/>
      <c r="UAQ49" s="255"/>
      <c r="UAR49" s="255"/>
      <c r="UAS49" s="255"/>
      <c r="UAT49" s="255"/>
      <c r="UAU49" s="255"/>
      <c r="UAV49" s="255"/>
      <c r="UAW49" s="255"/>
      <c r="UAX49" s="255"/>
      <c r="UAY49" s="255"/>
      <c r="UAZ49" s="255"/>
      <c r="UBA49" s="255"/>
      <c r="UBB49" s="255"/>
      <c r="UBC49" s="255"/>
      <c r="UBD49" s="255"/>
      <c r="UBE49" s="255"/>
      <c r="UBF49" s="255"/>
      <c r="UBG49" s="255"/>
      <c r="UBH49" s="255"/>
      <c r="UBI49" s="255"/>
      <c r="UBJ49" s="255"/>
      <c r="UBK49" s="255"/>
      <c r="UBL49" s="255"/>
      <c r="UBM49" s="255"/>
      <c r="UBN49" s="255"/>
      <c r="UBO49" s="255"/>
      <c r="UBP49" s="255"/>
      <c r="UBQ49" s="255"/>
      <c r="UBR49" s="255"/>
      <c r="UBS49" s="255"/>
      <c r="UBT49" s="255"/>
      <c r="UBU49" s="255"/>
      <c r="UBV49" s="255"/>
      <c r="UBW49" s="255"/>
      <c r="UBX49" s="255"/>
      <c r="UBY49" s="255"/>
      <c r="UBZ49" s="255"/>
      <c r="UCA49" s="255"/>
      <c r="UCB49" s="255"/>
      <c r="UCC49" s="255"/>
      <c r="UCD49" s="255"/>
      <c r="UCE49" s="255"/>
      <c r="UCF49" s="255"/>
      <c r="UCG49" s="255"/>
      <c r="UCH49" s="255"/>
      <c r="UCI49" s="255"/>
      <c r="UCJ49" s="255"/>
      <c r="UCK49" s="255"/>
      <c r="UCL49" s="255"/>
      <c r="UCM49" s="255"/>
      <c r="UCN49" s="255"/>
      <c r="UCO49" s="255"/>
      <c r="UCP49" s="255"/>
      <c r="UCQ49" s="255"/>
      <c r="UCR49" s="255"/>
      <c r="UCS49" s="255"/>
      <c r="UCT49" s="255"/>
      <c r="UCU49" s="255"/>
      <c r="UCV49" s="255"/>
      <c r="UCW49" s="255"/>
      <c r="UCX49" s="255"/>
      <c r="UCY49" s="255"/>
      <c r="UCZ49" s="255"/>
      <c r="UDA49" s="255"/>
      <c r="UDB49" s="255"/>
      <c r="UDC49" s="255"/>
      <c r="UDD49" s="255"/>
      <c r="UDE49" s="255"/>
      <c r="UDF49" s="255"/>
      <c r="UDG49" s="255"/>
      <c r="UDH49" s="255"/>
      <c r="UDI49" s="255"/>
      <c r="UDJ49" s="255"/>
      <c r="UDK49" s="255"/>
      <c r="UDL49" s="255"/>
      <c r="UDM49" s="255"/>
      <c r="UDN49" s="255"/>
      <c r="UDO49" s="255"/>
      <c r="UDP49" s="255"/>
      <c r="UDQ49" s="255"/>
      <c r="UDR49" s="255"/>
      <c r="UDS49" s="255"/>
      <c r="UDT49" s="255"/>
      <c r="UDU49" s="255"/>
      <c r="UDV49" s="255"/>
      <c r="UDW49" s="255"/>
      <c r="UDX49" s="255"/>
      <c r="UDY49" s="255"/>
      <c r="UDZ49" s="255"/>
      <c r="UEA49" s="255"/>
      <c r="UEB49" s="255"/>
      <c r="UEC49" s="255"/>
      <c r="UED49" s="255"/>
      <c r="UEE49" s="255"/>
      <c r="UEF49" s="255"/>
      <c r="UEG49" s="255"/>
      <c r="UEH49" s="255"/>
      <c r="UEI49" s="255"/>
      <c r="UEJ49" s="255"/>
      <c r="UEK49" s="255"/>
      <c r="UEL49" s="255"/>
      <c r="UEM49" s="255"/>
      <c r="UEN49" s="255"/>
      <c r="UEO49" s="255"/>
      <c r="UEP49" s="255"/>
      <c r="UEQ49" s="255"/>
      <c r="UER49" s="255"/>
      <c r="UES49" s="255"/>
      <c r="UET49" s="255"/>
      <c r="UEU49" s="255"/>
      <c r="UEV49" s="255"/>
      <c r="UEW49" s="255"/>
      <c r="UEX49" s="255"/>
      <c r="UEY49" s="255"/>
      <c r="UEZ49" s="255"/>
      <c r="UFA49" s="255"/>
      <c r="UFB49" s="255"/>
      <c r="UFC49" s="255"/>
      <c r="UFD49" s="255"/>
      <c r="UFE49" s="255"/>
      <c r="UFF49" s="255"/>
      <c r="UFG49" s="255"/>
      <c r="UFH49" s="255"/>
      <c r="UFI49" s="255"/>
      <c r="UFJ49" s="255"/>
      <c r="UFK49" s="255"/>
      <c r="UFL49" s="255"/>
      <c r="UFM49" s="255"/>
      <c r="UFN49" s="255"/>
      <c r="UFO49" s="255"/>
      <c r="UFP49" s="255"/>
      <c r="UFQ49" s="255"/>
      <c r="UFR49" s="255"/>
      <c r="UFS49" s="255"/>
      <c r="UFT49" s="255"/>
      <c r="UFU49" s="255"/>
      <c r="UFV49" s="255"/>
      <c r="UFW49" s="255"/>
      <c r="UFX49" s="255"/>
      <c r="UFY49" s="255"/>
      <c r="UFZ49" s="255"/>
      <c r="UGA49" s="255"/>
      <c r="UGB49" s="255"/>
      <c r="UGC49" s="255"/>
      <c r="UGD49" s="255"/>
      <c r="UGE49" s="255"/>
      <c r="UGF49" s="255"/>
      <c r="UGG49" s="255"/>
      <c r="UGH49" s="255"/>
      <c r="UGI49" s="255"/>
      <c r="UGJ49" s="255"/>
      <c r="UGK49" s="255"/>
      <c r="UGL49" s="255"/>
      <c r="UGM49" s="255"/>
      <c r="UGN49" s="255"/>
      <c r="UGO49" s="255"/>
      <c r="UGP49" s="255"/>
      <c r="UGQ49" s="255"/>
      <c r="UGR49" s="255"/>
      <c r="UGS49" s="255"/>
      <c r="UGT49" s="255"/>
      <c r="UGU49" s="255"/>
      <c r="UGV49" s="255"/>
      <c r="UGW49" s="255"/>
      <c r="UGX49" s="255"/>
      <c r="UGY49" s="255"/>
      <c r="UGZ49" s="255"/>
      <c r="UHA49" s="255"/>
      <c r="UHB49" s="255"/>
      <c r="UHC49" s="255"/>
      <c r="UHD49" s="255"/>
      <c r="UHE49" s="255"/>
      <c r="UHF49" s="255"/>
      <c r="UHG49" s="255"/>
      <c r="UHH49" s="255"/>
      <c r="UHI49" s="255"/>
      <c r="UHJ49" s="255"/>
      <c r="UHK49" s="255"/>
      <c r="UHL49" s="255"/>
      <c r="UHM49" s="255"/>
      <c r="UHN49" s="255"/>
      <c r="UHO49" s="255"/>
      <c r="UHP49" s="255"/>
      <c r="UHQ49" s="255"/>
      <c r="UHR49" s="255"/>
      <c r="UHS49" s="255"/>
      <c r="UHT49" s="255"/>
      <c r="UHU49" s="255"/>
      <c r="UHV49" s="255"/>
      <c r="UHW49" s="255"/>
      <c r="UHX49" s="255"/>
      <c r="UHY49" s="255"/>
      <c r="UHZ49" s="255"/>
      <c r="UIA49" s="255"/>
      <c r="UIB49" s="255"/>
      <c r="UIC49" s="255"/>
      <c r="UID49" s="255"/>
      <c r="UIE49" s="255"/>
      <c r="UIF49" s="255"/>
      <c r="UIG49" s="255"/>
      <c r="UIH49" s="255"/>
      <c r="UII49" s="255"/>
      <c r="UIJ49" s="255"/>
      <c r="UIK49" s="255"/>
      <c r="UIL49" s="255"/>
      <c r="UIM49" s="255"/>
      <c r="UIN49" s="255"/>
      <c r="UIO49" s="255"/>
      <c r="UIP49" s="255"/>
      <c r="UIQ49" s="255"/>
      <c r="UIR49" s="255"/>
      <c r="UIS49" s="255"/>
      <c r="UIT49" s="255"/>
      <c r="UIU49" s="255"/>
      <c r="UIV49" s="255"/>
      <c r="UIW49" s="255"/>
      <c r="UIX49" s="255"/>
      <c r="UIY49" s="255"/>
      <c r="UIZ49" s="255"/>
      <c r="UJA49" s="255"/>
      <c r="UJB49" s="255"/>
      <c r="UJC49" s="255"/>
      <c r="UJD49" s="255"/>
      <c r="UJE49" s="255"/>
      <c r="UJF49" s="255"/>
      <c r="UJG49" s="255"/>
      <c r="UJH49" s="255"/>
      <c r="UJI49" s="255"/>
      <c r="UJJ49" s="255"/>
      <c r="UJK49" s="255"/>
      <c r="UJL49" s="255"/>
      <c r="UJM49" s="255"/>
      <c r="UJN49" s="255"/>
      <c r="UJO49" s="255"/>
      <c r="UJP49" s="255"/>
      <c r="UJQ49" s="255"/>
      <c r="UJR49" s="255"/>
      <c r="UJS49" s="255"/>
      <c r="UJT49" s="255"/>
      <c r="UJU49" s="255"/>
      <c r="UJV49" s="255"/>
      <c r="UJW49" s="255"/>
      <c r="UJX49" s="255"/>
      <c r="UJY49" s="255"/>
      <c r="UJZ49" s="255"/>
      <c r="UKA49" s="255"/>
      <c r="UKB49" s="255"/>
      <c r="UKC49" s="255"/>
      <c r="UKD49" s="255"/>
      <c r="UKE49" s="255"/>
      <c r="UKF49" s="255"/>
      <c r="UKG49" s="255"/>
      <c r="UKH49" s="255"/>
      <c r="UKI49" s="255"/>
      <c r="UKJ49" s="255"/>
      <c r="UKK49" s="255"/>
      <c r="UKL49" s="255"/>
      <c r="UKM49" s="255"/>
      <c r="UKN49" s="255"/>
      <c r="UKO49" s="255"/>
      <c r="UKP49" s="255"/>
      <c r="UKQ49" s="255"/>
      <c r="UKR49" s="255"/>
      <c r="UKS49" s="255"/>
      <c r="UKT49" s="255"/>
      <c r="UKU49" s="255"/>
      <c r="UKV49" s="255"/>
      <c r="UKW49" s="255"/>
      <c r="UKX49" s="255"/>
      <c r="UKY49" s="255"/>
      <c r="UKZ49" s="255"/>
      <c r="ULA49" s="255"/>
      <c r="ULB49" s="255"/>
      <c r="ULC49" s="255"/>
      <c r="ULD49" s="255"/>
      <c r="ULE49" s="255"/>
      <c r="ULF49" s="255"/>
      <c r="ULG49" s="255"/>
      <c r="ULH49" s="255"/>
      <c r="ULI49" s="255"/>
      <c r="ULJ49" s="255"/>
      <c r="ULK49" s="255"/>
      <c r="ULL49" s="255"/>
      <c r="ULM49" s="255"/>
      <c r="ULN49" s="255"/>
      <c r="ULO49" s="255"/>
      <c r="ULP49" s="255"/>
      <c r="ULQ49" s="255"/>
      <c r="ULR49" s="255"/>
      <c r="ULS49" s="255"/>
      <c r="ULT49" s="255"/>
      <c r="ULU49" s="255"/>
      <c r="ULV49" s="255"/>
      <c r="ULW49" s="255"/>
      <c r="ULX49" s="255"/>
      <c r="ULY49" s="255"/>
      <c r="ULZ49" s="255"/>
      <c r="UMA49" s="255"/>
      <c r="UMB49" s="255"/>
      <c r="UMC49" s="255"/>
      <c r="UMD49" s="255"/>
      <c r="UME49" s="255"/>
      <c r="UMF49" s="255"/>
      <c r="UMG49" s="255"/>
      <c r="UMH49" s="255"/>
      <c r="UMI49" s="255"/>
      <c r="UMJ49" s="255"/>
      <c r="UMK49" s="255"/>
      <c r="UML49" s="255"/>
      <c r="UMM49" s="255"/>
      <c r="UMN49" s="255"/>
      <c r="UMO49" s="255"/>
      <c r="UMP49" s="255"/>
      <c r="UMQ49" s="255"/>
      <c r="UMR49" s="255"/>
      <c r="UMS49" s="255"/>
      <c r="UMT49" s="255"/>
      <c r="UMU49" s="255"/>
      <c r="UMV49" s="255"/>
      <c r="UMW49" s="255"/>
      <c r="UMX49" s="255"/>
      <c r="UMY49" s="255"/>
      <c r="UMZ49" s="255"/>
      <c r="UNA49" s="255"/>
      <c r="UNB49" s="255"/>
      <c r="UNC49" s="255"/>
      <c r="UND49" s="255"/>
      <c r="UNE49" s="255"/>
      <c r="UNF49" s="255"/>
      <c r="UNG49" s="255"/>
      <c r="UNH49" s="255"/>
      <c r="UNI49" s="255"/>
      <c r="UNJ49" s="255"/>
      <c r="UNK49" s="255"/>
      <c r="UNL49" s="255"/>
      <c r="UNM49" s="255"/>
      <c r="UNN49" s="255"/>
      <c r="UNO49" s="255"/>
      <c r="UNP49" s="255"/>
      <c r="UNQ49" s="255"/>
      <c r="UNR49" s="255"/>
      <c r="UNS49" s="255"/>
      <c r="UNT49" s="255"/>
      <c r="UNU49" s="255"/>
      <c r="UNV49" s="255"/>
      <c r="UNW49" s="255"/>
      <c r="UNX49" s="255"/>
      <c r="UNY49" s="255"/>
      <c r="UNZ49" s="255"/>
      <c r="UOA49" s="255"/>
      <c r="UOB49" s="255"/>
      <c r="UOC49" s="255"/>
      <c r="UOD49" s="255"/>
      <c r="UOE49" s="255"/>
      <c r="UOF49" s="255"/>
      <c r="UOG49" s="255"/>
      <c r="UOH49" s="255"/>
      <c r="UOI49" s="255"/>
      <c r="UOJ49" s="255"/>
      <c r="UOK49" s="255"/>
      <c r="UOL49" s="255"/>
      <c r="UOM49" s="255"/>
      <c r="UON49" s="255"/>
      <c r="UOO49" s="255"/>
      <c r="UOP49" s="255"/>
      <c r="UOQ49" s="255"/>
      <c r="UOR49" s="255"/>
      <c r="UOS49" s="255"/>
      <c r="UOT49" s="255"/>
      <c r="UOU49" s="255"/>
      <c r="UOV49" s="255"/>
      <c r="UOW49" s="255"/>
      <c r="UOX49" s="255"/>
      <c r="UOY49" s="255"/>
      <c r="UOZ49" s="255"/>
      <c r="UPA49" s="255"/>
      <c r="UPB49" s="255"/>
      <c r="UPC49" s="255"/>
      <c r="UPD49" s="255"/>
      <c r="UPE49" s="255"/>
      <c r="UPF49" s="255"/>
      <c r="UPG49" s="255"/>
      <c r="UPH49" s="255"/>
      <c r="UPI49" s="255"/>
      <c r="UPJ49" s="255"/>
      <c r="UPK49" s="255"/>
      <c r="UPL49" s="255"/>
      <c r="UPM49" s="255"/>
      <c r="UPN49" s="255"/>
      <c r="UPO49" s="255"/>
      <c r="UPP49" s="255"/>
      <c r="UPQ49" s="255"/>
      <c r="UPR49" s="255"/>
      <c r="UPS49" s="255"/>
      <c r="UPT49" s="255"/>
      <c r="UPU49" s="255"/>
      <c r="UPV49" s="255"/>
      <c r="UPW49" s="255"/>
      <c r="UPX49" s="255"/>
      <c r="UPY49" s="255"/>
      <c r="UPZ49" s="255"/>
      <c r="UQA49" s="255"/>
      <c r="UQB49" s="255"/>
      <c r="UQC49" s="255"/>
      <c r="UQD49" s="255"/>
      <c r="UQE49" s="255"/>
      <c r="UQF49" s="255"/>
      <c r="UQG49" s="255"/>
      <c r="UQH49" s="255"/>
      <c r="UQI49" s="255"/>
      <c r="UQJ49" s="255"/>
      <c r="UQK49" s="255"/>
      <c r="UQL49" s="255"/>
      <c r="UQM49" s="255"/>
      <c r="UQN49" s="255"/>
      <c r="UQO49" s="255"/>
      <c r="UQP49" s="255"/>
      <c r="UQQ49" s="255"/>
      <c r="UQR49" s="255"/>
      <c r="UQS49" s="255"/>
      <c r="UQT49" s="255"/>
      <c r="UQU49" s="255"/>
      <c r="UQV49" s="255"/>
      <c r="UQW49" s="255"/>
      <c r="UQX49" s="255"/>
      <c r="UQY49" s="255"/>
      <c r="UQZ49" s="255"/>
      <c r="URA49" s="255"/>
      <c r="URB49" s="255"/>
      <c r="URC49" s="255"/>
      <c r="URD49" s="255"/>
      <c r="URE49" s="255"/>
      <c r="URF49" s="255"/>
      <c r="URG49" s="255"/>
      <c r="URH49" s="255"/>
      <c r="URI49" s="255"/>
      <c r="URJ49" s="255"/>
      <c r="URK49" s="255"/>
      <c r="URL49" s="255"/>
      <c r="URM49" s="255"/>
      <c r="URN49" s="255"/>
      <c r="URO49" s="255"/>
      <c r="URP49" s="255"/>
      <c r="URQ49" s="255"/>
      <c r="URR49" s="255"/>
      <c r="URS49" s="255"/>
      <c r="URT49" s="255"/>
      <c r="URU49" s="255"/>
      <c r="URV49" s="255"/>
      <c r="URW49" s="255"/>
      <c r="URX49" s="255"/>
      <c r="URY49" s="255"/>
      <c r="URZ49" s="255"/>
      <c r="USA49" s="255"/>
      <c r="USB49" s="255"/>
      <c r="USC49" s="255"/>
      <c r="USD49" s="255"/>
      <c r="USE49" s="255"/>
      <c r="USF49" s="255"/>
      <c r="USG49" s="255"/>
      <c r="USH49" s="255"/>
      <c r="USI49" s="255"/>
      <c r="USJ49" s="255"/>
      <c r="USK49" s="255"/>
      <c r="USL49" s="255"/>
      <c r="USM49" s="255"/>
      <c r="USN49" s="255"/>
      <c r="USO49" s="255"/>
      <c r="USP49" s="255"/>
      <c r="USQ49" s="255"/>
      <c r="USR49" s="255"/>
      <c r="USS49" s="255"/>
      <c r="UST49" s="255"/>
      <c r="USU49" s="255"/>
      <c r="USV49" s="255"/>
      <c r="USW49" s="255"/>
      <c r="USX49" s="255"/>
      <c r="USY49" s="255"/>
      <c r="USZ49" s="255"/>
      <c r="UTA49" s="255"/>
      <c r="UTB49" s="255"/>
      <c r="UTC49" s="255"/>
      <c r="UTD49" s="255"/>
      <c r="UTE49" s="255"/>
      <c r="UTF49" s="255"/>
      <c r="UTG49" s="255"/>
      <c r="UTH49" s="255"/>
      <c r="UTI49" s="255"/>
      <c r="UTJ49" s="255"/>
      <c r="UTK49" s="255"/>
      <c r="UTL49" s="255"/>
      <c r="UTM49" s="255"/>
      <c r="UTN49" s="255"/>
      <c r="UTO49" s="255"/>
      <c r="UTP49" s="255"/>
      <c r="UTQ49" s="255"/>
      <c r="UTR49" s="255"/>
      <c r="UTS49" s="255"/>
      <c r="UTT49" s="255"/>
      <c r="UTU49" s="255"/>
      <c r="UTV49" s="255"/>
      <c r="UTW49" s="255"/>
      <c r="UTX49" s="255"/>
      <c r="UTY49" s="255"/>
      <c r="UTZ49" s="255"/>
      <c r="UUA49" s="255"/>
      <c r="UUB49" s="255"/>
      <c r="UUC49" s="255"/>
      <c r="UUD49" s="255"/>
      <c r="UUE49" s="255"/>
      <c r="UUF49" s="255"/>
      <c r="UUG49" s="255"/>
      <c r="UUH49" s="255"/>
      <c r="UUI49" s="255"/>
      <c r="UUJ49" s="255"/>
      <c r="UUK49" s="255"/>
      <c r="UUL49" s="255"/>
      <c r="UUM49" s="255"/>
      <c r="UUN49" s="255"/>
      <c r="UUO49" s="255"/>
      <c r="UUP49" s="255"/>
      <c r="UUQ49" s="255"/>
      <c r="UUR49" s="255"/>
      <c r="UUS49" s="255"/>
      <c r="UUT49" s="255"/>
      <c r="UUU49" s="255"/>
      <c r="UUV49" s="255"/>
      <c r="UUW49" s="255"/>
      <c r="UUX49" s="255"/>
      <c r="UUY49" s="255"/>
      <c r="UUZ49" s="255"/>
      <c r="UVA49" s="255"/>
      <c r="UVB49" s="255"/>
      <c r="UVC49" s="255"/>
      <c r="UVD49" s="255"/>
      <c r="UVE49" s="255"/>
      <c r="UVF49" s="255"/>
      <c r="UVG49" s="255"/>
      <c r="UVH49" s="255"/>
      <c r="UVI49" s="255"/>
      <c r="UVJ49" s="255"/>
      <c r="UVK49" s="255"/>
      <c r="UVL49" s="255"/>
      <c r="UVM49" s="255"/>
      <c r="UVN49" s="255"/>
      <c r="UVO49" s="255"/>
      <c r="UVP49" s="255"/>
      <c r="UVQ49" s="255"/>
      <c r="UVR49" s="255"/>
      <c r="UVS49" s="255"/>
      <c r="UVT49" s="255"/>
      <c r="UVU49" s="255"/>
      <c r="UVV49" s="255"/>
      <c r="UVW49" s="255"/>
      <c r="UVX49" s="255"/>
      <c r="UVY49" s="255"/>
      <c r="UVZ49" s="255"/>
      <c r="UWA49" s="255"/>
      <c r="UWB49" s="255"/>
      <c r="UWC49" s="255"/>
      <c r="UWD49" s="255"/>
      <c r="UWE49" s="255"/>
      <c r="UWF49" s="255"/>
      <c r="UWG49" s="255"/>
      <c r="UWH49" s="255"/>
      <c r="UWI49" s="255"/>
      <c r="UWJ49" s="255"/>
      <c r="UWK49" s="255"/>
      <c r="UWL49" s="255"/>
      <c r="UWM49" s="255"/>
      <c r="UWN49" s="255"/>
      <c r="UWO49" s="255"/>
      <c r="UWP49" s="255"/>
      <c r="UWQ49" s="255"/>
      <c r="UWR49" s="255"/>
      <c r="UWS49" s="255"/>
      <c r="UWT49" s="255"/>
      <c r="UWU49" s="255"/>
      <c r="UWV49" s="255"/>
      <c r="UWW49" s="255"/>
      <c r="UWX49" s="255"/>
      <c r="UWY49" s="255"/>
      <c r="UWZ49" s="255"/>
      <c r="UXA49" s="255"/>
      <c r="UXB49" s="255"/>
      <c r="UXC49" s="255"/>
      <c r="UXD49" s="255"/>
      <c r="UXE49" s="255"/>
      <c r="UXF49" s="255"/>
      <c r="UXG49" s="255"/>
      <c r="UXH49" s="255"/>
      <c r="UXI49" s="255"/>
      <c r="UXJ49" s="255"/>
      <c r="UXK49" s="255"/>
      <c r="UXL49" s="255"/>
      <c r="UXM49" s="255"/>
      <c r="UXN49" s="255"/>
      <c r="UXO49" s="255"/>
      <c r="UXP49" s="255"/>
      <c r="UXQ49" s="255"/>
      <c r="UXR49" s="255"/>
      <c r="UXS49" s="255"/>
      <c r="UXT49" s="255"/>
      <c r="UXU49" s="255"/>
      <c r="UXV49" s="255"/>
      <c r="UXW49" s="255"/>
      <c r="UXX49" s="255"/>
      <c r="UXY49" s="255"/>
      <c r="UXZ49" s="255"/>
      <c r="UYA49" s="255"/>
      <c r="UYB49" s="255"/>
      <c r="UYC49" s="255"/>
      <c r="UYD49" s="255"/>
      <c r="UYE49" s="255"/>
      <c r="UYF49" s="255"/>
      <c r="UYG49" s="255"/>
      <c r="UYH49" s="255"/>
      <c r="UYI49" s="255"/>
      <c r="UYJ49" s="255"/>
      <c r="UYK49" s="255"/>
      <c r="UYL49" s="255"/>
      <c r="UYM49" s="255"/>
      <c r="UYN49" s="255"/>
      <c r="UYO49" s="255"/>
      <c r="UYP49" s="255"/>
      <c r="UYQ49" s="255"/>
      <c r="UYR49" s="255"/>
      <c r="UYS49" s="255"/>
      <c r="UYT49" s="255"/>
      <c r="UYU49" s="255"/>
      <c r="UYV49" s="255"/>
      <c r="UYW49" s="255"/>
      <c r="UYX49" s="255"/>
      <c r="UYY49" s="255"/>
      <c r="UYZ49" s="255"/>
      <c r="UZA49" s="255"/>
      <c r="UZB49" s="255"/>
      <c r="UZC49" s="255"/>
      <c r="UZD49" s="255"/>
      <c r="UZE49" s="255"/>
      <c r="UZF49" s="255"/>
      <c r="UZG49" s="255"/>
      <c r="UZH49" s="255"/>
      <c r="UZI49" s="255"/>
      <c r="UZJ49" s="255"/>
      <c r="UZK49" s="255"/>
      <c r="UZL49" s="255"/>
      <c r="UZM49" s="255"/>
      <c r="UZN49" s="255"/>
      <c r="UZO49" s="255"/>
      <c r="UZP49" s="255"/>
      <c r="UZQ49" s="255"/>
      <c r="UZR49" s="255"/>
      <c r="UZS49" s="255"/>
      <c r="UZT49" s="255"/>
      <c r="UZU49" s="255"/>
      <c r="UZV49" s="255"/>
      <c r="UZW49" s="255"/>
      <c r="UZX49" s="255"/>
      <c r="UZY49" s="255"/>
      <c r="UZZ49" s="255"/>
      <c r="VAA49" s="255"/>
      <c r="VAB49" s="255"/>
      <c r="VAC49" s="255"/>
      <c r="VAD49" s="255"/>
      <c r="VAE49" s="255"/>
      <c r="VAF49" s="255"/>
      <c r="VAG49" s="255"/>
      <c r="VAH49" s="255"/>
      <c r="VAI49" s="255"/>
      <c r="VAJ49" s="255"/>
      <c r="VAK49" s="255"/>
      <c r="VAL49" s="255"/>
      <c r="VAM49" s="255"/>
      <c r="VAN49" s="255"/>
      <c r="VAO49" s="255"/>
      <c r="VAP49" s="255"/>
      <c r="VAQ49" s="255"/>
      <c r="VAR49" s="255"/>
      <c r="VAS49" s="255"/>
      <c r="VAT49" s="255"/>
      <c r="VAU49" s="255"/>
      <c r="VAV49" s="255"/>
      <c r="VAW49" s="255"/>
      <c r="VAX49" s="255"/>
      <c r="VAY49" s="255"/>
      <c r="VAZ49" s="255"/>
      <c r="VBA49" s="255"/>
      <c r="VBB49" s="255"/>
      <c r="VBC49" s="255"/>
      <c r="VBD49" s="255"/>
      <c r="VBE49" s="255"/>
      <c r="VBF49" s="255"/>
      <c r="VBG49" s="255"/>
      <c r="VBH49" s="255"/>
      <c r="VBI49" s="255"/>
      <c r="VBJ49" s="255"/>
      <c r="VBK49" s="255"/>
      <c r="VBL49" s="255"/>
      <c r="VBM49" s="255"/>
      <c r="VBN49" s="255"/>
      <c r="VBO49" s="255"/>
      <c r="VBP49" s="255"/>
      <c r="VBQ49" s="255"/>
      <c r="VBR49" s="255"/>
      <c r="VBS49" s="255"/>
      <c r="VBT49" s="255"/>
      <c r="VBU49" s="255"/>
      <c r="VBV49" s="255"/>
      <c r="VBW49" s="255"/>
      <c r="VBX49" s="255"/>
      <c r="VBY49" s="255"/>
      <c r="VBZ49" s="255"/>
      <c r="VCA49" s="255"/>
      <c r="VCB49" s="255"/>
      <c r="VCC49" s="255"/>
      <c r="VCD49" s="255"/>
      <c r="VCE49" s="255"/>
      <c r="VCF49" s="255"/>
      <c r="VCG49" s="255"/>
      <c r="VCH49" s="255"/>
      <c r="VCI49" s="255"/>
      <c r="VCJ49" s="255"/>
      <c r="VCK49" s="255"/>
      <c r="VCL49" s="255"/>
      <c r="VCM49" s="255"/>
      <c r="VCN49" s="255"/>
      <c r="VCO49" s="255"/>
      <c r="VCP49" s="255"/>
      <c r="VCQ49" s="255"/>
      <c r="VCR49" s="255"/>
      <c r="VCS49" s="255"/>
      <c r="VCT49" s="255"/>
      <c r="VCU49" s="255"/>
      <c r="VCV49" s="255"/>
      <c r="VCW49" s="255"/>
      <c r="VCX49" s="255"/>
      <c r="VCY49" s="255"/>
      <c r="VCZ49" s="255"/>
      <c r="VDA49" s="255"/>
      <c r="VDB49" s="255"/>
      <c r="VDC49" s="255"/>
      <c r="VDD49" s="255"/>
      <c r="VDE49" s="255"/>
      <c r="VDF49" s="255"/>
      <c r="VDG49" s="255"/>
      <c r="VDH49" s="255"/>
      <c r="VDI49" s="255"/>
      <c r="VDJ49" s="255"/>
      <c r="VDK49" s="255"/>
      <c r="VDL49" s="255"/>
      <c r="VDM49" s="255"/>
      <c r="VDN49" s="255"/>
      <c r="VDO49" s="255"/>
      <c r="VDP49" s="255"/>
      <c r="VDQ49" s="255"/>
      <c r="VDR49" s="255"/>
      <c r="VDS49" s="255"/>
      <c r="VDT49" s="255"/>
      <c r="VDU49" s="255"/>
      <c r="VDV49" s="255"/>
      <c r="VDW49" s="255"/>
      <c r="VDX49" s="255"/>
      <c r="VDY49" s="255"/>
      <c r="VDZ49" s="255"/>
      <c r="VEA49" s="255"/>
      <c r="VEB49" s="255"/>
      <c r="VEC49" s="255"/>
      <c r="VED49" s="255"/>
      <c r="VEE49" s="255"/>
      <c r="VEF49" s="255"/>
      <c r="VEG49" s="255"/>
      <c r="VEH49" s="255"/>
      <c r="VEI49" s="255"/>
      <c r="VEJ49" s="255"/>
      <c r="VEK49" s="255"/>
      <c r="VEL49" s="255"/>
      <c r="VEM49" s="255"/>
      <c r="VEN49" s="255"/>
      <c r="VEO49" s="255"/>
      <c r="VEP49" s="255"/>
      <c r="VEQ49" s="255"/>
      <c r="VER49" s="255"/>
      <c r="VES49" s="255"/>
      <c r="VET49" s="255"/>
      <c r="VEU49" s="255"/>
      <c r="VEV49" s="255"/>
      <c r="VEW49" s="255"/>
      <c r="VEX49" s="255"/>
      <c r="VEY49" s="255"/>
      <c r="VEZ49" s="255"/>
      <c r="VFA49" s="255"/>
      <c r="VFB49" s="255"/>
      <c r="VFC49" s="255"/>
      <c r="VFD49" s="255"/>
      <c r="VFE49" s="255"/>
      <c r="VFF49" s="255"/>
      <c r="VFG49" s="255"/>
      <c r="VFH49" s="255"/>
      <c r="VFI49" s="255"/>
      <c r="VFJ49" s="255"/>
      <c r="VFK49" s="255"/>
      <c r="VFL49" s="255"/>
      <c r="VFM49" s="255"/>
      <c r="VFN49" s="255"/>
      <c r="VFO49" s="255"/>
      <c r="VFP49" s="255"/>
      <c r="VFQ49" s="255"/>
      <c r="VFR49" s="255"/>
      <c r="VFS49" s="255"/>
      <c r="VFT49" s="255"/>
      <c r="VFU49" s="255"/>
      <c r="VFV49" s="255"/>
      <c r="VFW49" s="255"/>
      <c r="VFX49" s="255"/>
      <c r="VFY49" s="255"/>
      <c r="VFZ49" s="255"/>
      <c r="VGA49" s="255"/>
      <c r="VGB49" s="255"/>
      <c r="VGC49" s="255"/>
      <c r="VGD49" s="255"/>
      <c r="VGE49" s="255"/>
      <c r="VGF49" s="255"/>
      <c r="VGG49" s="255"/>
      <c r="VGH49" s="255"/>
      <c r="VGI49" s="255"/>
      <c r="VGJ49" s="255"/>
      <c r="VGK49" s="255"/>
      <c r="VGL49" s="255"/>
      <c r="VGM49" s="255"/>
      <c r="VGN49" s="255"/>
      <c r="VGO49" s="255"/>
      <c r="VGP49" s="255"/>
      <c r="VGQ49" s="255"/>
      <c r="VGR49" s="255"/>
      <c r="VGS49" s="255"/>
      <c r="VGT49" s="255"/>
      <c r="VGU49" s="255"/>
      <c r="VGV49" s="255"/>
      <c r="VGW49" s="255"/>
      <c r="VGX49" s="255"/>
      <c r="VGY49" s="255"/>
      <c r="VGZ49" s="255"/>
      <c r="VHA49" s="255"/>
      <c r="VHB49" s="255"/>
      <c r="VHC49" s="255"/>
      <c r="VHD49" s="255"/>
      <c r="VHE49" s="255"/>
      <c r="VHF49" s="255"/>
      <c r="VHG49" s="255"/>
      <c r="VHH49" s="255"/>
      <c r="VHI49" s="255"/>
      <c r="VHJ49" s="255"/>
      <c r="VHK49" s="255"/>
      <c r="VHL49" s="255"/>
      <c r="VHM49" s="255"/>
      <c r="VHN49" s="255"/>
      <c r="VHO49" s="255"/>
      <c r="VHP49" s="255"/>
      <c r="VHQ49" s="255"/>
      <c r="VHR49" s="255"/>
      <c r="VHS49" s="255"/>
      <c r="VHT49" s="255"/>
      <c r="VHU49" s="255"/>
      <c r="VHV49" s="255"/>
      <c r="VHW49" s="255"/>
      <c r="VHX49" s="255"/>
      <c r="VHY49" s="255"/>
      <c r="VHZ49" s="255"/>
      <c r="VIA49" s="255"/>
      <c r="VIB49" s="255"/>
      <c r="VIC49" s="255"/>
      <c r="VID49" s="255"/>
      <c r="VIE49" s="255"/>
      <c r="VIF49" s="255"/>
      <c r="VIG49" s="255"/>
      <c r="VIH49" s="255"/>
      <c r="VII49" s="255"/>
      <c r="VIJ49" s="255"/>
      <c r="VIK49" s="255"/>
      <c r="VIL49" s="255"/>
      <c r="VIM49" s="255"/>
      <c r="VIN49" s="255"/>
      <c r="VIO49" s="255"/>
      <c r="VIP49" s="255"/>
      <c r="VIQ49" s="255"/>
      <c r="VIR49" s="255"/>
      <c r="VIS49" s="255"/>
      <c r="VIT49" s="255"/>
      <c r="VIU49" s="255"/>
      <c r="VIV49" s="255"/>
      <c r="VIW49" s="255"/>
      <c r="VIX49" s="255"/>
      <c r="VIY49" s="255"/>
      <c r="VIZ49" s="255"/>
      <c r="VJA49" s="255"/>
      <c r="VJB49" s="255"/>
      <c r="VJC49" s="255"/>
      <c r="VJD49" s="255"/>
      <c r="VJE49" s="255"/>
      <c r="VJF49" s="255"/>
      <c r="VJG49" s="255"/>
      <c r="VJH49" s="255"/>
      <c r="VJI49" s="255"/>
      <c r="VJJ49" s="255"/>
      <c r="VJK49" s="255"/>
      <c r="VJL49" s="255"/>
      <c r="VJM49" s="255"/>
      <c r="VJN49" s="255"/>
      <c r="VJO49" s="255"/>
      <c r="VJP49" s="255"/>
      <c r="VJQ49" s="255"/>
      <c r="VJR49" s="255"/>
      <c r="VJS49" s="255"/>
      <c r="VJT49" s="255"/>
      <c r="VJU49" s="255"/>
      <c r="VJV49" s="255"/>
      <c r="VJW49" s="255"/>
      <c r="VJX49" s="255"/>
      <c r="VJY49" s="255"/>
      <c r="VJZ49" s="255"/>
      <c r="VKA49" s="255"/>
      <c r="VKB49" s="255"/>
      <c r="VKC49" s="255"/>
      <c r="VKD49" s="255"/>
      <c r="VKE49" s="255"/>
      <c r="VKF49" s="255"/>
      <c r="VKG49" s="255"/>
      <c r="VKH49" s="255"/>
      <c r="VKI49" s="255"/>
      <c r="VKJ49" s="255"/>
      <c r="VKK49" s="255"/>
      <c r="VKL49" s="255"/>
      <c r="VKM49" s="255"/>
      <c r="VKN49" s="255"/>
      <c r="VKO49" s="255"/>
      <c r="VKP49" s="255"/>
      <c r="VKQ49" s="255"/>
      <c r="VKR49" s="255"/>
      <c r="VKS49" s="255"/>
      <c r="VKT49" s="255"/>
      <c r="VKU49" s="255"/>
      <c r="VKV49" s="255"/>
      <c r="VKW49" s="255"/>
      <c r="VKX49" s="255"/>
      <c r="VKY49" s="255"/>
      <c r="VKZ49" s="255"/>
      <c r="VLA49" s="255"/>
      <c r="VLB49" s="255"/>
      <c r="VLC49" s="255"/>
      <c r="VLD49" s="255"/>
      <c r="VLE49" s="255"/>
      <c r="VLF49" s="255"/>
      <c r="VLG49" s="255"/>
      <c r="VLH49" s="255"/>
      <c r="VLI49" s="255"/>
      <c r="VLJ49" s="255"/>
      <c r="VLK49" s="255"/>
      <c r="VLL49" s="255"/>
      <c r="VLM49" s="255"/>
      <c r="VLN49" s="255"/>
      <c r="VLO49" s="255"/>
      <c r="VLP49" s="255"/>
      <c r="VLQ49" s="255"/>
      <c r="VLR49" s="255"/>
      <c r="VLS49" s="255"/>
      <c r="VLT49" s="255"/>
      <c r="VLU49" s="255"/>
      <c r="VLV49" s="255"/>
      <c r="VLW49" s="255"/>
      <c r="VLX49" s="255"/>
      <c r="VLY49" s="255"/>
      <c r="VLZ49" s="255"/>
      <c r="VMA49" s="255"/>
      <c r="VMB49" s="255"/>
      <c r="VMC49" s="255"/>
      <c r="VMD49" s="255"/>
      <c r="VME49" s="255"/>
      <c r="VMF49" s="255"/>
      <c r="VMG49" s="255"/>
      <c r="VMH49" s="255"/>
      <c r="VMI49" s="255"/>
      <c r="VMJ49" s="255"/>
      <c r="VMK49" s="255"/>
      <c r="VML49" s="255"/>
      <c r="VMM49" s="255"/>
      <c r="VMN49" s="255"/>
      <c r="VMO49" s="255"/>
      <c r="VMP49" s="255"/>
      <c r="VMQ49" s="255"/>
      <c r="VMR49" s="255"/>
      <c r="VMS49" s="255"/>
      <c r="VMT49" s="255"/>
      <c r="VMU49" s="255"/>
      <c r="VMV49" s="255"/>
      <c r="VMW49" s="255"/>
      <c r="VMX49" s="255"/>
      <c r="VMY49" s="255"/>
      <c r="VMZ49" s="255"/>
      <c r="VNA49" s="255"/>
      <c r="VNB49" s="255"/>
      <c r="VNC49" s="255"/>
      <c r="VND49" s="255"/>
      <c r="VNE49" s="255"/>
      <c r="VNF49" s="255"/>
      <c r="VNG49" s="255"/>
      <c r="VNH49" s="255"/>
      <c r="VNI49" s="255"/>
      <c r="VNJ49" s="255"/>
      <c r="VNK49" s="255"/>
      <c r="VNL49" s="255"/>
      <c r="VNM49" s="255"/>
      <c r="VNN49" s="255"/>
      <c r="VNO49" s="255"/>
      <c r="VNP49" s="255"/>
      <c r="VNQ49" s="255"/>
      <c r="VNR49" s="255"/>
      <c r="VNS49" s="255"/>
      <c r="VNT49" s="255"/>
      <c r="VNU49" s="255"/>
      <c r="VNV49" s="255"/>
      <c r="VNW49" s="255"/>
      <c r="VNX49" s="255"/>
      <c r="VNY49" s="255"/>
      <c r="VNZ49" s="255"/>
      <c r="VOA49" s="255"/>
      <c r="VOB49" s="255"/>
      <c r="VOC49" s="255"/>
      <c r="VOD49" s="255"/>
      <c r="VOE49" s="255"/>
      <c r="VOF49" s="255"/>
      <c r="VOG49" s="255"/>
      <c r="VOH49" s="255"/>
      <c r="VOI49" s="255"/>
      <c r="VOJ49" s="255"/>
      <c r="VOK49" s="255"/>
      <c r="VOL49" s="255"/>
      <c r="VOM49" s="255"/>
      <c r="VON49" s="255"/>
      <c r="VOO49" s="255"/>
      <c r="VOP49" s="255"/>
      <c r="VOQ49" s="255"/>
      <c r="VOR49" s="255"/>
      <c r="VOS49" s="255"/>
      <c r="VOT49" s="255"/>
      <c r="VOU49" s="255"/>
      <c r="VOV49" s="255"/>
      <c r="VOW49" s="255"/>
      <c r="VOX49" s="255"/>
      <c r="VOY49" s="255"/>
      <c r="VOZ49" s="255"/>
      <c r="VPA49" s="255"/>
      <c r="VPB49" s="255"/>
      <c r="VPC49" s="255"/>
      <c r="VPD49" s="255"/>
      <c r="VPE49" s="255"/>
      <c r="VPF49" s="255"/>
      <c r="VPG49" s="255"/>
      <c r="VPH49" s="255"/>
      <c r="VPI49" s="255"/>
      <c r="VPJ49" s="255"/>
      <c r="VPK49" s="255"/>
      <c r="VPL49" s="255"/>
      <c r="VPM49" s="255"/>
      <c r="VPN49" s="255"/>
      <c r="VPO49" s="255"/>
      <c r="VPP49" s="255"/>
      <c r="VPQ49" s="255"/>
      <c r="VPR49" s="255"/>
      <c r="VPS49" s="255"/>
      <c r="VPT49" s="255"/>
      <c r="VPU49" s="255"/>
      <c r="VPV49" s="255"/>
      <c r="VPW49" s="255"/>
      <c r="VPX49" s="255"/>
      <c r="VPY49" s="255"/>
      <c r="VPZ49" s="255"/>
      <c r="VQA49" s="255"/>
      <c r="VQB49" s="255"/>
      <c r="VQC49" s="255"/>
      <c r="VQD49" s="255"/>
      <c r="VQE49" s="255"/>
      <c r="VQF49" s="255"/>
      <c r="VQG49" s="255"/>
      <c r="VQH49" s="255"/>
      <c r="VQI49" s="255"/>
      <c r="VQJ49" s="255"/>
      <c r="VQK49" s="255"/>
      <c r="VQL49" s="255"/>
      <c r="VQM49" s="255"/>
      <c r="VQN49" s="255"/>
      <c r="VQO49" s="255"/>
      <c r="VQP49" s="255"/>
      <c r="VQQ49" s="255"/>
      <c r="VQR49" s="255"/>
      <c r="VQS49" s="255"/>
      <c r="VQT49" s="255"/>
      <c r="VQU49" s="255"/>
      <c r="VQV49" s="255"/>
      <c r="VQW49" s="255"/>
      <c r="VQX49" s="255"/>
      <c r="VQY49" s="255"/>
      <c r="VQZ49" s="255"/>
      <c r="VRA49" s="255"/>
      <c r="VRB49" s="255"/>
      <c r="VRC49" s="255"/>
      <c r="VRD49" s="255"/>
      <c r="VRE49" s="255"/>
      <c r="VRF49" s="255"/>
      <c r="VRG49" s="255"/>
      <c r="VRH49" s="255"/>
      <c r="VRI49" s="255"/>
      <c r="VRJ49" s="255"/>
      <c r="VRK49" s="255"/>
      <c r="VRL49" s="255"/>
      <c r="VRM49" s="255"/>
      <c r="VRN49" s="255"/>
      <c r="VRO49" s="255"/>
      <c r="VRP49" s="255"/>
      <c r="VRQ49" s="255"/>
      <c r="VRR49" s="255"/>
      <c r="VRS49" s="255"/>
      <c r="VRT49" s="255"/>
      <c r="VRU49" s="255"/>
      <c r="VRV49" s="255"/>
      <c r="VRW49" s="255"/>
      <c r="VRX49" s="255"/>
      <c r="VRY49" s="255"/>
      <c r="VRZ49" s="255"/>
      <c r="VSA49" s="255"/>
      <c r="VSB49" s="255"/>
      <c r="VSC49" s="255"/>
      <c r="VSD49" s="255"/>
      <c r="VSE49" s="255"/>
      <c r="VSF49" s="255"/>
      <c r="VSG49" s="255"/>
      <c r="VSH49" s="255"/>
      <c r="VSI49" s="255"/>
      <c r="VSJ49" s="255"/>
      <c r="VSK49" s="255"/>
      <c r="VSL49" s="255"/>
      <c r="VSM49" s="255"/>
      <c r="VSN49" s="255"/>
      <c r="VSO49" s="255"/>
      <c r="VSP49" s="255"/>
      <c r="VSQ49" s="255"/>
      <c r="VSR49" s="255"/>
      <c r="VSS49" s="255"/>
      <c r="VST49" s="255"/>
      <c r="VSU49" s="255"/>
      <c r="VSV49" s="255"/>
      <c r="VSW49" s="255"/>
      <c r="VSX49" s="255"/>
      <c r="VSY49" s="255"/>
      <c r="VSZ49" s="255"/>
      <c r="VTA49" s="255"/>
      <c r="VTB49" s="255"/>
      <c r="VTC49" s="255"/>
      <c r="VTD49" s="255"/>
      <c r="VTE49" s="255"/>
      <c r="VTF49" s="255"/>
      <c r="VTG49" s="255"/>
      <c r="VTH49" s="255"/>
      <c r="VTI49" s="255"/>
      <c r="VTJ49" s="255"/>
      <c r="VTK49" s="255"/>
      <c r="VTL49" s="255"/>
      <c r="VTM49" s="255"/>
      <c r="VTN49" s="255"/>
      <c r="VTO49" s="255"/>
      <c r="VTP49" s="255"/>
      <c r="VTQ49" s="255"/>
      <c r="VTR49" s="255"/>
      <c r="VTS49" s="255"/>
      <c r="VTT49" s="255"/>
      <c r="VTU49" s="255"/>
      <c r="VTV49" s="255"/>
      <c r="VTW49" s="255"/>
      <c r="VTX49" s="255"/>
      <c r="VTY49" s="255"/>
      <c r="VTZ49" s="255"/>
      <c r="VUA49" s="255"/>
      <c r="VUB49" s="255"/>
      <c r="VUC49" s="255"/>
      <c r="VUD49" s="255"/>
      <c r="VUE49" s="255"/>
      <c r="VUF49" s="255"/>
      <c r="VUG49" s="255"/>
      <c r="VUH49" s="255"/>
      <c r="VUI49" s="255"/>
      <c r="VUJ49" s="255"/>
      <c r="VUK49" s="255"/>
      <c r="VUL49" s="255"/>
      <c r="VUM49" s="255"/>
      <c r="VUN49" s="255"/>
      <c r="VUO49" s="255"/>
      <c r="VUP49" s="255"/>
      <c r="VUQ49" s="255"/>
      <c r="VUR49" s="255"/>
      <c r="VUS49" s="255"/>
      <c r="VUT49" s="255"/>
      <c r="VUU49" s="255"/>
      <c r="VUV49" s="255"/>
      <c r="VUW49" s="255"/>
      <c r="VUX49" s="255"/>
      <c r="VUY49" s="255"/>
      <c r="VUZ49" s="255"/>
      <c r="VVA49" s="255"/>
      <c r="VVB49" s="255"/>
      <c r="VVC49" s="255"/>
      <c r="VVD49" s="255"/>
      <c r="VVE49" s="255"/>
      <c r="VVF49" s="255"/>
      <c r="VVG49" s="255"/>
      <c r="VVH49" s="255"/>
      <c r="VVI49" s="255"/>
      <c r="VVJ49" s="255"/>
      <c r="VVK49" s="255"/>
      <c r="VVL49" s="255"/>
      <c r="VVM49" s="255"/>
      <c r="VVN49" s="255"/>
      <c r="VVO49" s="255"/>
      <c r="VVP49" s="255"/>
      <c r="VVQ49" s="255"/>
      <c r="VVR49" s="255"/>
      <c r="VVS49" s="255"/>
      <c r="VVT49" s="255"/>
      <c r="VVU49" s="255"/>
      <c r="VVV49" s="255"/>
      <c r="VVW49" s="255"/>
      <c r="VVX49" s="255"/>
      <c r="VVY49" s="255"/>
      <c r="VVZ49" s="255"/>
      <c r="VWA49" s="255"/>
      <c r="VWB49" s="255"/>
      <c r="VWC49" s="255"/>
      <c r="VWD49" s="255"/>
      <c r="VWE49" s="255"/>
      <c r="VWF49" s="255"/>
      <c r="VWG49" s="255"/>
      <c r="VWH49" s="255"/>
      <c r="VWI49" s="255"/>
      <c r="VWJ49" s="255"/>
      <c r="VWK49" s="255"/>
      <c r="VWL49" s="255"/>
      <c r="VWM49" s="255"/>
      <c r="VWN49" s="255"/>
      <c r="VWO49" s="255"/>
      <c r="VWP49" s="255"/>
      <c r="VWQ49" s="255"/>
      <c r="VWR49" s="255"/>
      <c r="VWS49" s="255"/>
      <c r="VWT49" s="255"/>
      <c r="VWU49" s="255"/>
      <c r="VWV49" s="255"/>
      <c r="VWW49" s="255"/>
      <c r="VWX49" s="255"/>
      <c r="VWY49" s="255"/>
      <c r="VWZ49" s="255"/>
      <c r="VXA49" s="255"/>
      <c r="VXB49" s="255"/>
      <c r="VXC49" s="255"/>
      <c r="VXD49" s="255"/>
      <c r="VXE49" s="255"/>
      <c r="VXF49" s="255"/>
      <c r="VXG49" s="255"/>
      <c r="VXH49" s="255"/>
      <c r="VXI49" s="255"/>
      <c r="VXJ49" s="255"/>
      <c r="VXK49" s="255"/>
      <c r="VXL49" s="255"/>
      <c r="VXM49" s="255"/>
      <c r="VXN49" s="255"/>
      <c r="VXO49" s="255"/>
      <c r="VXP49" s="255"/>
      <c r="VXQ49" s="255"/>
      <c r="VXR49" s="255"/>
      <c r="VXS49" s="255"/>
      <c r="VXT49" s="255"/>
      <c r="VXU49" s="255"/>
      <c r="VXV49" s="255"/>
      <c r="VXW49" s="255"/>
      <c r="VXX49" s="255"/>
      <c r="VXY49" s="255"/>
      <c r="VXZ49" s="255"/>
      <c r="VYA49" s="255"/>
      <c r="VYB49" s="255"/>
      <c r="VYC49" s="255"/>
      <c r="VYD49" s="255"/>
      <c r="VYE49" s="255"/>
      <c r="VYF49" s="255"/>
      <c r="VYG49" s="255"/>
      <c r="VYH49" s="255"/>
      <c r="VYI49" s="255"/>
      <c r="VYJ49" s="255"/>
      <c r="VYK49" s="255"/>
      <c r="VYL49" s="255"/>
      <c r="VYM49" s="255"/>
      <c r="VYN49" s="255"/>
      <c r="VYO49" s="255"/>
      <c r="VYP49" s="255"/>
      <c r="VYQ49" s="255"/>
      <c r="VYR49" s="255"/>
      <c r="VYS49" s="255"/>
      <c r="VYT49" s="255"/>
      <c r="VYU49" s="255"/>
      <c r="VYV49" s="255"/>
      <c r="VYW49" s="255"/>
      <c r="VYX49" s="255"/>
      <c r="VYY49" s="255"/>
      <c r="VYZ49" s="255"/>
      <c r="VZA49" s="255"/>
      <c r="VZB49" s="255"/>
      <c r="VZC49" s="255"/>
      <c r="VZD49" s="255"/>
      <c r="VZE49" s="255"/>
      <c r="VZF49" s="255"/>
      <c r="VZG49" s="255"/>
      <c r="VZH49" s="255"/>
      <c r="VZI49" s="255"/>
      <c r="VZJ49" s="255"/>
      <c r="VZK49" s="255"/>
      <c r="VZL49" s="255"/>
      <c r="VZM49" s="255"/>
      <c r="VZN49" s="255"/>
      <c r="VZO49" s="255"/>
      <c r="VZP49" s="255"/>
      <c r="VZQ49" s="255"/>
      <c r="VZR49" s="255"/>
      <c r="VZS49" s="255"/>
      <c r="VZT49" s="255"/>
      <c r="VZU49" s="255"/>
      <c r="VZV49" s="255"/>
      <c r="VZW49" s="255"/>
      <c r="VZX49" s="255"/>
      <c r="VZY49" s="255"/>
      <c r="VZZ49" s="255"/>
      <c r="WAA49" s="255"/>
      <c r="WAB49" s="255"/>
      <c r="WAC49" s="255"/>
      <c r="WAD49" s="255"/>
      <c r="WAE49" s="255"/>
      <c r="WAF49" s="255"/>
      <c r="WAG49" s="255"/>
      <c r="WAH49" s="255"/>
      <c r="WAI49" s="255"/>
      <c r="WAJ49" s="255"/>
      <c r="WAK49" s="255"/>
      <c r="WAL49" s="255"/>
      <c r="WAM49" s="255"/>
      <c r="WAN49" s="255"/>
      <c r="WAO49" s="255"/>
      <c r="WAP49" s="255"/>
      <c r="WAQ49" s="255"/>
      <c r="WAR49" s="255"/>
      <c r="WAS49" s="255"/>
      <c r="WAT49" s="255"/>
      <c r="WAU49" s="255"/>
      <c r="WAV49" s="255"/>
      <c r="WAW49" s="255"/>
      <c r="WAX49" s="255"/>
      <c r="WAY49" s="255"/>
      <c r="WAZ49" s="255"/>
      <c r="WBA49" s="255"/>
      <c r="WBB49" s="255"/>
      <c r="WBC49" s="255"/>
      <c r="WBD49" s="255"/>
      <c r="WBE49" s="255"/>
      <c r="WBF49" s="255"/>
      <c r="WBG49" s="255"/>
      <c r="WBH49" s="255"/>
      <c r="WBI49" s="255"/>
      <c r="WBJ49" s="255"/>
      <c r="WBK49" s="255"/>
      <c r="WBL49" s="255"/>
      <c r="WBM49" s="255"/>
      <c r="WBN49" s="255"/>
      <c r="WBO49" s="255"/>
      <c r="WBP49" s="255"/>
      <c r="WBQ49" s="255"/>
      <c r="WBR49" s="255"/>
      <c r="WBS49" s="255"/>
      <c r="WBT49" s="255"/>
      <c r="WBU49" s="255"/>
      <c r="WBV49" s="255"/>
      <c r="WBW49" s="255"/>
      <c r="WBX49" s="255"/>
      <c r="WBY49" s="255"/>
      <c r="WBZ49" s="255"/>
      <c r="WCA49" s="255"/>
      <c r="WCB49" s="255"/>
      <c r="WCC49" s="255"/>
      <c r="WCD49" s="255"/>
      <c r="WCE49" s="255"/>
      <c r="WCF49" s="255"/>
      <c r="WCG49" s="255"/>
      <c r="WCH49" s="255"/>
      <c r="WCI49" s="255"/>
      <c r="WCJ49" s="255"/>
      <c r="WCK49" s="255"/>
      <c r="WCL49" s="255"/>
      <c r="WCM49" s="255"/>
      <c r="WCN49" s="255"/>
      <c r="WCO49" s="255"/>
      <c r="WCP49" s="255"/>
      <c r="WCQ49" s="255"/>
      <c r="WCR49" s="255"/>
      <c r="WCS49" s="255"/>
      <c r="WCT49" s="255"/>
      <c r="WCU49" s="255"/>
      <c r="WCV49" s="255"/>
      <c r="WCW49" s="255"/>
      <c r="WCX49" s="255"/>
      <c r="WCY49" s="255"/>
      <c r="WCZ49" s="255"/>
      <c r="WDA49" s="255"/>
      <c r="WDB49" s="255"/>
      <c r="WDC49" s="255"/>
      <c r="WDD49" s="255"/>
      <c r="WDE49" s="255"/>
      <c r="WDF49" s="255"/>
      <c r="WDG49" s="255"/>
      <c r="WDH49" s="255"/>
      <c r="WDI49" s="255"/>
      <c r="WDJ49" s="255"/>
      <c r="WDK49" s="255"/>
      <c r="WDL49" s="255"/>
      <c r="WDM49" s="255"/>
      <c r="WDN49" s="255"/>
      <c r="WDO49" s="255"/>
      <c r="WDP49" s="255"/>
      <c r="WDQ49" s="255"/>
      <c r="WDR49" s="255"/>
      <c r="WDS49" s="255"/>
      <c r="WDT49" s="255"/>
      <c r="WDU49" s="255"/>
      <c r="WDV49" s="255"/>
      <c r="WDW49" s="255"/>
      <c r="WDX49" s="255"/>
      <c r="WDY49" s="255"/>
      <c r="WDZ49" s="255"/>
      <c r="WEA49" s="255"/>
      <c r="WEB49" s="255"/>
      <c r="WEC49" s="255"/>
      <c r="WED49" s="255"/>
      <c r="WEE49" s="255"/>
      <c r="WEF49" s="255"/>
      <c r="WEG49" s="255"/>
      <c r="WEH49" s="255"/>
      <c r="WEI49" s="255"/>
      <c r="WEJ49" s="255"/>
      <c r="WEK49" s="255"/>
      <c r="WEL49" s="255"/>
      <c r="WEM49" s="255"/>
      <c r="WEN49" s="255"/>
      <c r="WEO49" s="255"/>
      <c r="WEP49" s="255"/>
      <c r="WEQ49" s="255"/>
      <c r="WER49" s="255"/>
      <c r="WES49" s="255"/>
      <c r="WET49" s="255"/>
      <c r="WEU49" s="255"/>
      <c r="WEV49" s="255"/>
      <c r="WEW49" s="255"/>
      <c r="WEX49" s="255"/>
      <c r="WEY49" s="255"/>
      <c r="WEZ49" s="255"/>
      <c r="WFA49" s="255"/>
      <c r="WFB49" s="255"/>
      <c r="WFC49" s="255"/>
      <c r="WFD49" s="255"/>
      <c r="WFE49" s="255"/>
      <c r="WFF49" s="255"/>
      <c r="WFG49" s="255"/>
      <c r="WFH49" s="255"/>
      <c r="WFI49" s="255"/>
      <c r="WFJ49" s="255"/>
      <c r="WFK49" s="255"/>
      <c r="WFL49" s="255"/>
      <c r="WFM49" s="255"/>
      <c r="WFN49" s="255"/>
      <c r="WFO49" s="255"/>
      <c r="WFP49" s="255"/>
      <c r="WFQ49" s="255"/>
      <c r="WFR49" s="255"/>
      <c r="WFS49" s="255"/>
      <c r="WFT49" s="255"/>
      <c r="WFU49" s="255"/>
      <c r="WFV49" s="255"/>
      <c r="WFW49" s="255"/>
      <c r="WFX49" s="255"/>
      <c r="WFY49" s="255"/>
      <c r="WFZ49" s="255"/>
      <c r="WGA49" s="255"/>
      <c r="WGB49" s="255"/>
      <c r="WGC49" s="255"/>
      <c r="WGD49" s="255"/>
      <c r="WGE49" s="255"/>
      <c r="WGF49" s="255"/>
      <c r="WGG49" s="255"/>
      <c r="WGH49" s="255"/>
      <c r="WGI49" s="255"/>
      <c r="WGJ49" s="255"/>
      <c r="WGK49" s="255"/>
      <c r="WGL49" s="255"/>
      <c r="WGM49" s="255"/>
      <c r="WGN49" s="255"/>
      <c r="WGO49" s="255"/>
      <c r="WGP49" s="255"/>
      <c r="WGQ49" s="255"/>
      <c r="WGR49" s="255"/>
      <c r="WGS49" s="255"/>
      <c r="WGT49" s="255"/>
      <c r="WGU49" s="255"/>
      <c r="WGV49" s="255"/>
      <c r="WGW49" s="255"/>
      <c r="WGX49" s="255"/>
      <c r="WGY49" s="255"/>
      <c r="WGZ49" s="255"/>
      <c r="WHA49" s="255"/>
      <c r="WHB49" s="255"/>
      <c r="WHC49" s="255"/>
      <c r="WHD49" s="255"/>
      <c r="WHE49" s="255"/>
      <c r="WHF49" s="255"/>
      <c r="WHG49" s="255"/>
      <c r="WHH49" s="255"/>
      <c r="WHI49" s="255"/>
      <c r="WHJ49" s="255"/>
      <c r="WHK49" s="255"/>
      <c r="WHL49" s="255"/>
      <c r="WHM49" s="255"/>
      <c r="WHN49" s="255"/>
      <c r="WHO49" s="255"/>
      <c r="WHP49" s="255"/>
      <c r="WHQ49" s="255"/>
      <c r="WHR49" s="255"/>
      <c r="WHS49" s="255"/>
      <c r="WHT49" s="255"/>
      <c r="WHU49" s="255"/>
      <c r="WHV49" s="255"/>
      <c r="WHW49" s="255"/>
      <c r="WHX49" s="255"/>
      <c r="WHY49" s="255"/>
      <c r="WHZ49" s="255"/>
      <c r="WIA49" s="255"/>
      <c r="WIB49" s="255"/>
      <c r="WIC49" s="255"/>
      <c r="WID49" s="255"/>
      <c r="WIE49" s="255"/>
      <c r="WIF49" s="255"/>
      <c r="WIG49" s="255"/>
      <c r="WIH49" s="255"/>
      <c r="WII49" s="255"/>
      <c r="WIJ49" s="255"/>
      <c r="WIK49" s="255"/>
      <c r="WIL49" s="255"/>
      <c r="WIM49" s="255"/>
      <c r="WIN49" s="255"/>
      <c r="WIO49" s="255"/>
      <c r="WIP49" s="255"/>
      <c r="WIQ49" s="255"/>
      <c r="WIR49" s="255"/>
      <c r="WIS49" s="255"/>
      <c r="WIT49" s="255"/>
      <c r="WIU49" s="255"/>
      <c r="WIV49" s="255"/>
      <c r="WIW49" s="255"/>
      <c r="WIX49" s="255"/>
      <c r="WIY49" s="255"/>
      <c r="WIZ49" s="255"/>
      <c r="WJA49" s="255"/>
      <c r="WJB49" s="255"/>
      <c r="WJC49" s="255"/>
      <c r="WJD49" s="255"/>
      <c r="WJE49" s="255"/>
      <c r="WJF49" s="255"/>
      <c r="WJG49" s="255"/>
      <c r="WJH49" s="255"/>
      <c r="WJI49" s="255"/>
      <c r="WJJ49" s="255"/>
      <c r="WJK49" s="255"/>
      <c r="WJL49" s="255"/>
      <c r="WJM49" s="255"/>
      <c r="WJN49" s="255"/>
      <c r="WJO49" s="255"/>
      <c r="WJP49" s="255"/>
      <c r="WJQ49" s="255"/>
      <c r="WJR49" s="255"/>
      <c r="WJS49" s="255"/>
      <c r="WJT49" s="255"/>
      <c r="WJU49" s="255"/>
      <c r="WJV49" s="255"/>
      <c r="WJW49" s="255"/>
      <c r="WJX49" s="255"/>
      <c r="WJY49" s="255"/>
      <c r="WJZ49" s="255"/>
      <c r="WKA49" s="255"/>
      <c r="WKB49" s="255"/>
      <c r="WKC49" s="255"/>
      <c r="WKD49" s="255"/>
      <c r="WKE49" s="255"/>
      <c r="WKF49" s="255"/>
      <c r="WKG49" s="255"/>
      <c r="WKH49" s="255"/>
      <c r="WKI49" s="255"/>
      <c r="WKJ49" s="255"/>
      <c r="WKK49" s="255"/>
      <c r="WKL49" s="255"/>
      <c r="WKM49" s="255"/>
      <c r="WKN49" s="255"/>
      <c r="WKO49" s="255"/>
      <c r="WKP49" s="255"/>
      <c r="WKQ49" s="255"/>
      <c r="WKR49" s="255"/>
      <c r="WKS49" s="255"/>
      <c r="WKT49" s="255"/>
      <c r="WKU49" s="255"/>
      <c r="WKV49" s="255"/>
      <c r="WKW49" s="255"/>
      <c r="WKX49" s="255"/>
      <c r="WKY49" s="255"/>
      <c r="WKZ49" s="255"/>
      <c r="WLA49" s="255"/>
      <c r="WLB49" s="255"/>
      <c r="WLC49" s="255"/>
      <c r="WLD49" s="255"/>
      <c r="WLE49" s="255"/>
      <c r="WLF49" s="255"/>
      <c r="WLG49" s="255"/>
      <c r="WLH49" s="255"/>
      <c r="WLI49" s="255"/>
      <c r="WLJ49" s="255"/>
      <c r="WLK49" s="255"/>
      <c r="WLL49" s="255"/>
      <c r="WLM49" s="255"/>
      <c r="WLN49" s="255"/>
      <c r="WLO49" s="255"/>
      <c r="WLP49" s="255"/>
      <c r="WLQ49" s="255"/>
      <c r="WLR49" s="255"/>
      <c r="WLS49" s="255"/>
      <c r="WLT49" s="255"/>
      <c r="WLU49" s="255"/>
      <c r="WLV49" s="255"/>
      <c r="WLW49" s="255"/>
      <c r="WLX49" s="255"/>
      <c r="WLY49" s="255"/>
      <c r="WLZ49" s="255"/>
      <c r="WMA49" s="255"/>
      <c r="WMB49" s="255"/>
      <c r="WMC49" s="255"/>
      <c r="WMD49" s="255"/>
      <c r="WME49" s="255"/>
      <c r="WMF49" s="255"/>
      <c r="WMG49" s="255"/>
      <c r="WMH49" s="255"/>
      <c r="WMI49" s="255"/>
      <c r="WMJ49" s="255"/>
      <c r="WMK49" s="255"/>
      <c r="WML49" s="255"/>
      <c r="WMM49" s="255"/>
      <c r="WMN49" s="255"/>
      <c r="WMO49" s="255"/>
      <c r="WMP49" s="255"/>
      <c r="WMQ49" s="255"/>
      <c r="WMR49" s="255"/>
      <c r="WMS49" s="255"/>
      <c r="WMT49" s="255"/>
      <c r="WMU49" s="255"/>
      <c r="WMV49" s="255"/>
      <c r="WMW49" s="255"/>
      <c r="WMX49" s="255"/>
      <c r="WMY49" s="255"/>
      <c r="WMZ49" s="255"/>
      <c r="WNA49" s="255"/>
      <c r="WNB49" s="255"/>
      <c r="WNC49" s="255"/>
      <c r="WND49" s="255"/>
      <c r="WNE49" s="255"/>
      <c r="WNF49" s="255"/>
      <c r="WNG49" s="255"/>
      <c r="WNH49" s="255"/>
      <c r="WNI49" s="255"/>
      <c r="WNJ49" s="255"/>
      <c r="WNK49" s="255"/>
      <c r="WNL49" s="255"/>
      <c r="WNM49" s="255"/>
      <c r="WNN49" s="255"/>
      <c r="WNO49" s="255"/>
      <c r="WNP49" s="255"/>
      <c r="WNQ49" s="255"/>
      <c r="WNR49" s="255"/>
      <c r="WNS49" s="255"/>
      <c r="WNT49" s="255"/>
      <c r="WNU49" s="255"/>
      <c r="WNV49" s="255"/>
      <c r="WNW49" s="255"/>
      <c r="WNX49" s="255"/>
      <c r="WNY49" s="255"/>
      <c r="WNZ49" s="255"/>
      <c r="WOA49" s="255"/>
      <c r="WOB49" s="255"/>
      <c r="WOC49" s="255"/>
      <c r="WOD49" s="255"/>
      <c r="WOE49" s="255"/>
      <c r="WOF49" s="255"/>
      <c r="WOG49" s="255"/>
      <c r="WOH49" s="255"/>
      <c r="WOI49" s="255"/>
      <c r="WOJ49" s="255"/>
      <c r="WOK49" s="255"/>
      <c r="WOL49" s="255"/>
      <c r="WOM49" s="255"/>
      <c r="WON49" s="255"/>
      <c r="WOO49" s="255"/>
      <c r="WOP49" s="255"/>
      <c r="WOQ49" s="255"/>
      <c r="WOR49" s="255"/>
      <c r="WOS49" s="255"/>
      <c r="WOT49" s="255"/>
      <c r="WOU49" s="255"/>
      <c r="WOV49" s="255"/>
      <c r="WOW49" s="255"/>
      <c r="WOX49" s="255"/>
      <c r="WOY49" s="255"/>
      <c r="WOZ49" s="255"/>
      <c r="WPA49" s="255"/>
      <c r="WPB49" s="255"/>
      <c r="WPC49" s="255"/>
      <c r="WPD49" s="255"/>
      <c r="WPE49" s="255"/>
      <c r="WPF49" s="255"/>
      <c r="WPG49" s="255"/>
      <c r="WPH49" s="255"/>
      <c r="WPI49" s="255"/>
      <c r="WPJ49" s="255"/>
      <c r="WPK49" s="255"/>
      <c r="WPL49" s="255"/>
      <c r="WPM49" s="255"/>
      <c r="WPN49" s="255"/>
      <c r="WPO49" s="255"/>
      <c r="WPP49" s="255"/>
      <c r="WPQ49" s="255"/>
      <c r="WPR49" s="255"/>
      <c r="WPS49" s="255"/>
      <c r="WPT49" s="255"/>
      <c r="WPU49" s="255"/>
      <c r="WPV49" s="255"/>
      <c r="WPW49" s="255"/>
      <c r="WPX49" s="255"/>
      <c r="WPY49" s="255"/>
      <c r="WPZ49" s="255"/>
      <c r="WQA49" s="255"/>
      <c r="WQB49" s="255"/>
      <c r="WQC49" s="255"/>
      <c r="WQD49" s="255"/>
      <c r="WQE49" s="255"/>
      <c r="WQF49" s="255"/>
      <c r="WQG49" s="255"/>
      <c r="WQH49" s="255"/>
      <c r="WQI49" s="255"/>
      <c r="WQJ49" s="255"/>
      <c r="WQK49" s="255"/>
      <c r="WQL49" s="255"/>
      <c r="WQM49" s="255"/>
      <c r="WQN49" s="255"/>
      <c r="WQO49" s="255"/>
      <c r="WQP49" s="255"/>
      <c r="WQQ49" s="255"/>
      <c r="WQR49" s="255"/>
      <c r="WQS49" s="255"/>
      <c r="WQT49" s="255"/>
      <c r="WQU49" s="255"/>
      <c r="WQV49" s="255"/>
      <c r="WQW49" s="255"/>
      <c r="WQX49" s="255"/>
      <c r="WQY49" s="255"/>
      <c r="WQZ49" s="255"/>
      <c r="WRA49" s="255"/>
      <c r="WRB49" s="255"/>
      <c r="WRC49" s="255"/>
      <c r="WRD49" s="255"/>
      <c r="WRE49" s="255"/>
      <c r="WRF49" s="255"/>
      <c r="WRG49" s="255"/>
      <c r="WRH49" s="255"/>
      <c r="WRI49" s="255"/>
      <c r="WRJ49" s="255"/>
      <c r="WRK49" s="255"/>
      <c r="WRL49" s="255"/>
      <c r="WRM49" s="255"/>
      <c r="WRN49" s="255"/>
      <c r="WRO49" s="255"/>
      <c r="WRP49" s="255"/>
      <c r="WRQ49" s="255"/>
      <c r="WRR49" s="255"/>
      <c r="WRS49" s="255"/>
      <c r="WRT49" s="255"/>
      <c r="WRU49" s="255"/>
      <c r="WRV49" s="255"/>
      <c r="WRW49" s="255"/>
      <c r="WRX49" s="255"/>
      <c r="WRY49" s="255"/>
      <c r="WRZ49" s="255"/>
      <c r="WSA49" s="255"/>
      <c r="WSB49" s="255"/>
      <c r="WSC49" s="255"/>
      <c r="WSD49" s="255"/>
      <c r="WSE49" s="255"/>
      <c r="WSF49" s="255"/>
      <c r="WSG49" s="255"/>
      <c r="WSH49" s="255"/>
      <c r="WSI49" s="255"/>
      <c r="WSJ49" s="255"/>
      <c r="WSK49" s="255"/>
      <c r="WSL49" s="255"/>
      <c r="WSM49" s="255"/>
      <c r="WSN49" s="255"/>
      <c r="WSO49" s="255"/>
      <c r="WSP49" s="255"/>
      <c r="WSQ49" s="255"/>
      <c r="WSR49" s="255"/>
      <c r="WSS49" s="255"/>
      <c r="WST49" s="255"/>
      <c r="WSU49" s="255"/>
      <c r="WSV49" s="255"/>
      <c r="WSW49" s="255"/>
      <c r="WSX49" s="255"/>
      <c r="WSY49" s="255"/>
      <c r="WSZ49" s="255"/>
      <c r="WTA49" s="255"/>
      <c r="WTB49" s="255"/>
      <c r="WTC49" s="255"/>
      <c r="WTD49" s="255"/>
      <c r="WTE49" s="255"/>
      <c r="WTF49" s="255"/>
      <c r="WTG49" s="255"/>
      <c r="WTH49" s="255"/>
      <c r="WTI49" s="255"/>
      <c r="WTJ49" s="255"/>
      <c r="WTK49" s="255"/>
      <c r="WTL49" s="255"/>
      <c r="WTM49" s="255"/>
      <c r="WTN49" s="255"/>
      <c r="WTO49" s="255"/>
      <c r="WTP49" s="255"/>
      <c r="WTQ49" s="255"/>
      <c r="WTR49" s="255"/>
      <c r="WTS49" s="255"/>
      <c r="WTT49" s="255"/>
      <c r="WTU49" s="255"/>
      <c r="WTV49" s="255"/>
      <c r="WTW49" s="255"/>
      <c r="WTX49" s="255"/>
      <c r="WTY49" s="255"/>
      <c r="WTZ49" s="255"/>
      <c r="WUA49" s="255"/>
      <c r="WUB49" s="255"/>
      <c r="WUC49" s="255"/>
      <c r="WUD49" s="255"/>
      <c r="WUE49" s="255"/>
      <c r="WUF49" s="255"/>
      <c r="WUG49" s="255"/>
      <c r="WUH49" s="255"/>
      <c r="WUI49" s="255"/>
      <c r="WUJ49" s="255"/>
      <c r="WUK49" s="255"/>
      <c r="WUL49" s="255"/>
      <c r="WUM49" s="255"/>
      <c r="WUN49" s="255"/>
      <c r="WUO49" s="255"/>
      <c r="WUP49" s="255"/>
      <c r="WUQ49" s="255"/>
      <c r="WUR49" s="255"/>
      <c r="WUS49" s="255"/>
      <c r="WUT49" s="255"/>
      <c r="WUU49" s="255"/>
      <c r="WUV49" s="255"/>
      <c r="WUW49" s="255"/>
      <c r="WUX49" s="255"/>
      <c r="WUY49" s="255"/>
      <c r="WUZ49" s="255"/>
      <c r="WVA49" s="255"/>
      <c r="WVB49" s="255"/>
      <c r="WVC49" s="255"/>
      <c r="WVD49" s="255"/>
      <c r="WVE49" s="255"/>
      <c r="WVF49" s="255"/>
      <c r="WVG49" s="255"/>
      <c r="WVH49" s="255"/>
      <c r="WVI49" s="255"/>
      <c r="WVJ49" s="255"/>
      <c r="WVK49" s="255"/>
      <c r="WVL49" s="255"/>
      <c r="WVM49" s="255"/>
      <c r="WVN49" s="255"/>
      <c r="WVO49" s="255"/>
      <c r="WVP49" s="255"/>
      <c r="WVQ49" s="255"/>
      <c r="WVR49" s="255"/>
      <c r="WVS49" s="255"/>
      <c r="WVT49" s="255"/>
      <c r="WVU49" s="255"/>
      <c r="WVV49" s="255"/>
      <c r="WVW49" s="255"/>
      <c r="WVX49" s="255"/>
      <c r="WVY49" s="255"/>
      <c r="WVZ49" s="255"/>
      <c r="WWA49" s="255"/>
      <c r="WWB49" s="255"/>
      <c r="WWC49" s="255"/>
      <c r="WWD49" s="255"/>
      <c r="WWE49" s="255"/>
      <c r="WWF49" s="255"/>
      <c r="WWG49" s="255"/>
      <c r="WWH49" s="255"/>
      <c r="WWI49" s="255"/>
      <c r="WWJ49" s="255"/>
      <c r="WWK49" s="255"/>
      <c r="WWL49" s="255"/>
      <c r="WWM49" s="255"/>
      <c r="WWN49" s="255"/>
      <c r="WWO49" s="255"/>
      <c r="WWP49" s="255"/>
      <c r="WWQ49" s="255"/>
      <c r="WWR49" s="255"/>
      <c r="WWS49" s="255"/>
      <c r="WWT49" s="255"/>
      <c r="WWU49" s="255"/>
      <c r="WWV49" s="255"/>
      <c r="WWW49" s="255"/>
      <c r="WWX49" s="255"/>
      <c r="WWY49" s="255"/>
      <c r="WWZ49" s="255"/>
      <c r="WXA49" s="255"/>
      <c r="WXB49" s="255"/>
      <c r="WXC49" s="255"/>
      <c r="WXD49" s="255"/>
      <c r="WXE49" s="255"/>
      <c r="WXF49" s="255"/>
      <c r="WXG49" s="255"/>
      <c r="WXH49" s="255"/>
      <c r="WXI49" s="255"/>
      <c r="WXJ49" s="255"/>
      <c r="WXK49" s="255"/>
      <c r="WXL49" s="255"/>
      <c r="WXM49" s="255"/>
      <c r="WXN49" s="255"/>
      <c r="WXO49" s="255"/>
      <c r="WXP49" s="255"/>
      <c r="WXQ49" s="255"/>
      <c r="WXR49" s="255"/>
      <c r="WXS49" s="255"/>
      <c r="WXT49" s="255"/>
      <c r="WXU49" s="255"/>
      <c r="WXV49" s="255"/>
      <c r="WXW49" s="255"/>
      <c r="WXX49" s="255"/>
      <c r="WXY49" s="255"/>
      <c r="WXZ49" s="255"/>
      <c r="WYA49" s="255"/>
      <c r="WYB49" s="255"/>
      <c r="WYC49" s="255"/>
      <c r="WYD49" s="255"/>
      <c r="WYE49" s="255"/>
      <c r="WYF49" s="255"/>
      <c r="WYG49" s="255"/>
      <c r="WYH49" s="255"/>
      <c r="WYI49" s="255"/>
      <c r="WYJ49" s="255"/>
      <c r="WYK49" s="255"/>
      <c r="WYL49" s="255"/>
      <c r="WYM49" s="255"/>
      <c r="WYN49" s="255"/>
      <c r="WYO49" s="255"/>
      <c r="WYP49" s="255"/>
      <c r="WYQ49" s="255"/>
      <c r="WYR49" s="255"/>
      <c r="WYS49" s="255"/>
      <c r="WYT49" s="255"/>
      <c r="WYU49" s="255"/>
      <c r="WYV49" s="255"/>
      <c r="WYW49" s="255"/>
      <c r="WYX49" s="255"/>
      <c r="WYY49" s="255"/>
      <c r="WYZ49" s="255"/>
      <c r="WZA49" s="255"/>
      <c r="WZB49" s="255"/>
      <c r="WZC49" s="255"/>
      <c r="WZD49" s="255"/>
      <c r="WZE49" s="255"/>
      <c r="WZF49" s="255"/>
      <c r="WZG49" s="255"/>
      <c r="WZH49" s="255"/>
      <c r="WZI49" s="255"/>
      <c r="WZJ49" s="255"/>
      <c r="WZK49" s="255"/>
      <c r="WZL49" s="255"/>
      <c r="WZM49" s="255"/>
      <c r="WZN49" s="255"/>
      <c r="WZO49" s="255"/>
      <c r="WZP49" s="255"/>
      <c r="WZQ49" s="255"/>
      <c r="WZR49" s="255"/>
      <c r="WZS49" s="255"/>
      <c r="WZT49" s="255"/>
      <c r="WZU49" s="255"/>
      <c r="WZV49" s="255"/>
      <c r="WZW49" s="255"/>
      <c r="WZX49" s="255"/>
      <c r="WZY49" s="255"/>
      <c r="WZZ49" s="255"/>
      <c r="XAA49" s="255"/>
      <c r="XAB49" s="255"/>
      <c r="XAC49" s="255"/>
      <c r="XAD49" s="255"/>
      <c r="XAE49" s="255"/>
      <c r="XAF49" s="255"/>
      <c r="XAG49" s="255"/>
      <c r="XAH49" s="255"/>
      <c r="XAI49" s="255"/>
      <c r="XAJ49" s="255"/>
      <c r="XAK49" s="255"/>
      <c r="XAL49" s="255"/>
      <c r="XAM49" s="255"/>
      <c r="XAN49" s="255"/>
      <c r="XAO49" s="255"/>
      <c r="XAP49" s="255"/>
      <c r="XAQ49" s="255"/>
      <c r="XAR49" s="255"/>
      <c r="XAS49" s="255"/>
      <c r="XAT49" s="255"/>
      <c r="XAU49" s="255"/>
      <c r="XAV49" s="255"/>
      <c r="XAW49" s="255"/>
      <c r="XAX49" s="255"/>
      <c r="XAY49" s="255"/>
      <c r="XAZ49" s="255"/>
      <c r="XBA49" s="255"/>
      <c r="XBB49" s="255"/>
      <c r="XBC49" s="255"/>
      <c r="XBD49" s="255"/>
      <c r="XBE49" s="255"/>
      <c r="XBF49" s="255"/>
      <c r="XBG49" s="255"/>
      <c r="XBH49" s="255"/>
      <c r="XBI49" s="255"/>
      <c r="XBJ49" s="255"/>
      <c r="XBK49" s="255"/>
      <c r="XBL49" s="255"/>
      <c r="XBM49" s="255"/>
      <c r="XBN49" s="255"/>
      <c r="XBO49" s="255"/>
      <c r="XBP49" s="255"/>
      <c r="XBQ49" s="255"/>
      <c r="XBR49" s="255"/>
      <c r="XBS49" s="255"/>
      <c r="XBT49" s="255"/>
      <c r="XBU49" s="255"/>
      <c r="XBV49" s="255"/>
      <c r="XBW49" s="255"/>
      <c r="XBX49" s="255"/>
      <c r="XBY49" s="255"/>
      <c r="XBZ49" s="255"/>
      <c r="XCA49" s="255"/>
      <c r="XCB49" s="255"/>
      <c r="XCC49" s="255"/>
      <c r="XCD49" s="255"/>
      <c r="XCE49" s="255"/>
      <c r="XCF49" s="255"/>
      <c r="XCG49" s="255"/>
      <c r="XCH49" s="255"/>
      <c r="XCI49" s="255"/>
      <c r="XCJ49" s="255"/>
      <c r="XCK49" s="255"/>
      <c r="XCL49" s="255"/>
      <c r="XCM49" s="255"/>
      <c r="XCN49" s="255"/>
      <c r="XCO49" s="255"/>
      <c r="XCP49" s="255"/>
      <c r="XCQ49" s="255"/>
      <c r="XCR49" s="255"/>
      <c r="XCS49" s="255"/>
      <c r="XCT49" s="255"/>
      <c r="XCU49" s="255"/>
      <c r="XCV49" s="255"/>
      <c r="XCW49" s="255"/>
      <c r="XCX49" s="255"/>
      <c r="XCY49" s="255"/>
      <c r="XCZ49" s="255"/>
      <c r="XDA49" s="255"/>
      <c r="XDB49" s="255"/>
      <c r="XDC49" s="255"/>
      <c r="XDD49" s="255"/>
      <c r="XDE49" s="255"/>
      <c r="XDF49" s="255"/>
      <c r="XDG49" s="255"/>
      <c r="XDH49" s="255"/>
      <c r="XDI49" s="255"/>
      <c r="XDJ49" s="255"/>
      <c r="XDK49" s="255"/>
      <c r="XDL49" s="255"/>
      <c r="XDM49" s="255"/>
      <c r="XDN49" s="255"/>
      <c r="XDO49" s="255"/>
      <c r="XDP49" s="255"/>
      <c r="XDQ49" s="255"/>
      <c r="XDR49" s="255"/>
      <c r="XDS49" s="255"/>
      <c r="XDT49" s="255"/>
      <c r="XDU49" s="255"/>
      <c r="XDV49" s="255"/>
      <c r="XDW49" s="255"/>
      <c r="XDX49" s="255"/>
      <c r="XDY49" s="255"/>
      <c r="XDZ49" s="255"/>
      <c r="XEA49" s="255"/>
      <c r="XEB49" s="255"/>
      <c r="XEC49" s="255"/>
      <c r="XED49" s="255"/>
      <c r="XEE49" s="255"/>
      <c r="XEF49" s="255"/>
      <c r="XEG49" s="255"/>
      <c r="XEH49" s="255"/>
    </row>
    <row r="50" s="252" customFormat="1" customHeight="1" spans="1:1024 1025:16362">
      <c r="A50" s="182" t="s">
        <v>268</v>
      </c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</row>
    <row r="51" s="92" customFormat="1" ht="33" spans="1:1024 1025:16362">
      <c r="A51" s="196" t="s">
        <v>41</v>
      </c>
      <c r="B51" s="196" t="s">
        <v>42</v>
      </c>
      <c r="C51" s="196" t="s">
        <v>43</v>
      </c>
      <c r="D51" s="196" t="s">
        <v>44</v>
      </c>
      <c r="E51" s="197" t="s">
        <v>45</v>
      </c>
      <c r="F51" s="196" t="s">
        <v>46</v>
      </c>
      <c r="G51" s="196" t="s">
        <v>47</v>
      </c>
      <c r="H51" s="196" t="s">
        <v>48</v>
      </c>
      <c r="I51" s="196" t="s">
        <v>49</v>
      </c>
      <c r="J51" s="196" t="s">
        <v>50</v>
      </c>
      <c r="K51" s="196" t="s">
        <v>51</v>
      </c>
      <c r="L51" s="196" t="s">
        <v>52</v>
      </c>
      <c r="M51" s="196" t="s">
        <v>53</v>
      </c>
      <c r="N51" s="196" t="s">
        <v>54</v>
      </c>
      <c r="O51" s="196" t="s">
        <v>55</v>
      </c>
      <c r="P51" s="196" t="s">
        <v>56</v>
      </c>
      <c r="Q51" s="196" t="s">
        <v>57</v>
      </c>
      <c r="R51" s="196" t="s">
        <v>58</v>
      </c>
      <c r="S51" s="196" t="s">
        <v>59</v>
      </c>
      <c r="T51" s="196" t="s">
        <v>60</v>
      </c>
      <c r="U51" s="196" t="s">
        <v>61</v>
      </c>
      <c r="V51" s="196" t="s">
        <v>62</v>
      </c>
    </row>
    <row r="52" s="159" customFormat="1" ht="27" customHeight="1" spans="1:1024 1025:16362">
      <c r="A52" s="140">
        <v>1</v>
      </c>
      <c r="B52" s="140" t="s">
        <v>63</v>
      </c>
      <c r="C52" s="140" t="s">
        <v>64</v>
      </c>
      <c r="D52" s="141" t="s">
        <v>65</v>
      </c>
      <c r="E52" s="142">
        <v>45667</v>
      </c>
      <c r="F52" s="140" t="s">
        <v>66</v>
      </c>
      <c r="G52" s="140" t="s">
        <v>67</v>
      </c>
      <c r="H52" s="143">
        <v>411322</v>
      </c>
      <c r="I52" s="143">
        <v>2956747.06489904</v>
      </c>
      <c r="J52" s="144">
        <v>1</v>
      </c>
      <c r="K52" s="143">
        <v>205661</v>
      </c>
      <c r="L52" s="143">
        <v>1423749.9708</v>
      </c>
      <c r="M52" s="145">
        <v>205661</v>
      </c>
      <c r="N52" s="145">
        <f t="shared" ref="N52:N59" si="5">M52*6.7828</f>
        <v>1394957.4308</v>
      </c>
      <c r="O52" s="146">
        <f t="shared" ref="O52:O82" si="6">K52/H52</f>
        <v>0.5</v>
      </c>
      <c r="P52" s="147" t="s">
        <v>68</v>
      </c>
      <c r="Q52" s="143">
        <v>205661</v>
      </c>
      <c r="R52" s="143"/>
      <c r="S52" s="141"/>
      <c r="T52" s="147"/>
      <c r="U52" s="145"/>
      <c r="V52" s="145"/>
    </row>
    <row r="53" s="159" customFormat="1" ht="27" customHeight="1" spans="1:1024 1025:16362">
      <c r="A53" s="140">
        <v>2</v>
      </c>
      <c r="B53" s="140" t="s">
        <v>63</v>
      </c>
      <c r="C53" s="140" t="s">
        <v>64</v>
      </c>
      <c r="D53" s="141" t="s">
        <v>69</v>
      </c>
      <c r="E53" s="142">
        <v>45667</v>
      </c>
      <c r="F53" s="140" t="s">
        <v>66</v>
      </c>
      <c r="G53" s="140" t="s">
        <v>67</v>
      </c>
      <c r="H53" s="143">
        <v>5979154</v>
      </c>
      <c r="I53" s="143">
        <v>42980550.6150397</v>
      </c>
      <c r="J53" s="141" t="s">
        <v>70</v>
      </c>
      <c r="K53" s="143">
        <v>1439127.65</v>
      </c>
      <c r="L53" s="143">
        <v>9861873.53249</v>
      </c>
      <c r="M53" s="145">
        <v>4540026.35</v>
      </c>
      <c r="N53" s="145">
        <f t="shared" si="5"/>
        <v>30794090.72678</v>
      </c>
      <c r="O53" s="146">
        <f t="shared" si="6"/>
        <v>0.240690848571554</v>
      </c>
      <c r="P53" s="147" t="s">
        <v>71</v>
      </c>
      <c r="Q53" s="143"/>
      <c r="R53" s="143">
        <v>4540026.35</v>
      </c>
      <c r="S53" s="141"/>
      <c r="T53" s="147"/>
      <c r="U53" s="145">
        <v>223382.5</v>
      </c>
      <c r="V53" s="145">
        <v>1514913.10025</v>
      </c>
    </row>
    <row r="54" s="92" customFormat="1" ht="27" customHeight="1" spans="1:1024 1025:16362">
      <c r="A54" s="140">
        <v>3</v>
      </c>
      <c r="B54" s="140" t="s">
        <v>63</v>
      </c>
      <c r="C54" s="140" t="s">
        <v>64</v>
      </c>
      <c r="D54" s="141" t="s">
        <v>72</v>
      </c>
      <c r="E54" s="142">
        <v>45667</v>
      </c>
      <c r="F54" s="140" t="s">
        <v>66</v>
      </c>
      <c r="G54" s="140" t="s">
        <v>67</v>
      </c>
      <c r="H54" s="143">
        <v>1915844</v>
      </c>
      <c r="I54" s="143">
        <v>13771853.0100613</v>
      </c>
      <c r="J54" s="141" t="s">
        <v>70</v>
      </c>
      <c r="K54" s="143"/>
      <c r="L54" s="143"/>
      <c r="M54" s="145">
        <v>1915844</v>
      </c>
      <c r="N54" s="145">
        <f t="shared" si="5"/>
        <v>12994786.6832</v>
      </c>
      <c r="O54" s="146">
        <f t="shared" si="6"/>
        <v>0</v>
      </c>
      <c r="P54" s="147" t="s">
        <v>73</v>
      </c>
      <c r="Q54" s="143"/>
      <c r="R54" s="143">
        <v>1915844</v>
      </c>
      <c r="S54" s="141"/>
      <c r="T54" s="147"/>
      <c r="U54" s="145"/>
      <c r="V54" s="145"/>
    </row>
    <row r="55" s="159" customFormat="1" ht="27" customHeight="1" spans="1:1024 1025:16362">
      <c r="A55" s="140">
        <v>4</v>
      </c>
      <c r="B55" s="140" t="s">
        <v>63</v>
      </c>
      <c r="C55" s="140" t="s">
        <v>64</v>
      </c>
      <c r="D55" s="147" t="s">
        <v>74</v>
      </c>
      <c r="E55" s="221">
        <v>45866</v>
      </c>
      <c r="F55" s="198" t="s">
        <v>66</v>
      </c>
      <c r="G55" s="198" t="s">
        <v>67</v>
      </c>
      <c r="H55" s="222">
        <v>1899932.81</v>
      </c>
      <c r="I55" s="222">
        <v>13578249.813227</v>
      </c>
      <c r="J55" s="147" t="s">
        <v>75</v>
      </c>
      <c r="K55" s="222">
        <v>1709939.53</v>
      </c>
      <c r="L55" s="222">
        <v>1709924.53</v>
      </c>
      <c r="M55" s="223">
        <v>189993.28</v>
      </c>
      <c r="N55" s="145">
        <f t="shared" si="5"/>
        <v>1288686.419584</v>
      </c>
      <c r="O55" s="224">
        <f t="shared" si="6"/>
        <v>0.900000000526334</v>
      </c>
      <c r="P55" s="147" t="s">
        <v>76</v>
      </c>
      <c r="Q55" s="222"/>
      <c r="R55" s="222">
        <v>189993.28</v>
      </c>
      <c r="S55" s="147"/>
      <c r="T55" s="147"/>
      <c r="U55" s="145">
        <v>943258.69</v>
      </c>
      <c r="V55" s="145">
        <v>6396142.851021</v>
      </c>
    </row>
    <row r="56" s="159" customFormat="1" ht="27" customHeight="1" spans="1:1024 1025:16362">
      <c r="A56" s="140">
        <v>5</v>
      </c>
      <c r="B56" s="140" t="s">
        <v>63</v>
      </c>
      <c r="C56" s="140" t="s">
        <v>64</v>
      </c>
      <c r="D56" s="147" t="s">
        <v>77</v>
      </c>
      <c r="E56" s="221">
        <v>45866</v>
      </c>
      <c r="F56" s="198" t="s">
        <v>66</v>
      </c>
      <c r="G56" s="198" t="s">
        <v>67</v>
      </c>
      <c r="H56" s="222">
        <v>1498053.02</v>
      </c>
      <c r="I56" s="222">
        <v>10706135.518034</v>
      </c>
      <c r="J56" s="147" t="s">
        <v>78</v>
      </c>
      <c r="K56" s="222">
        <v>449415.91</v>
      </c>
      <c r="L56" s="222">
        <v>3194313.4350762</v>
      </c>
      <c r="M56" s="223">
        <v>1048637.114</v>
      </c>
      <c r="N56" s="145">
        <f t="shared" si="5"/>
        <v>7112695.8168392</v>
      </c>
      <c r="O56" s="224">
        <f t="shared" si="6"/>
        <v>0.300000002670132</v>
      </c>
      <c r="P56" s="147" t="s">
        <v>79</v>
      </c>
      <c r="Q56" s="222"/>
      <c r="R56" s="222">
        <v>1048637.114</v>
      </c>
      <c r="S56" s="147"/>
      <c r="T56" s="147"/>
      <c r="U56" s="145"/>
      <c r="V56" s="145"/>
    </row>
    <row r="57" s="92" customFormat="1" ht="27" customHeight="1" spans="1:1024 1025:16362">
      <c r="A57" s="140">
        <v>6</v>
      </c>
      <c r="B57" s="140" t="s">
        <v>63</v>
      </c>
      <c r="C57" s="140" t="s">
        <v>64</v>
      </c>
      <c r="D57" s="147" t="s">
        <v>80</v>
      </c>
      <c r="E57" s="142">
        <v>46042</v>
      </c>
      <c r="F57" s="140" t="s">
        <v>66</v>
      </c>
      <c r="G57" s="140" t="s">
        <v>67</v>
      </c>
      <c r="H57" s="143">
        <v>619431.18</v>
      </c>
      <c r="I57" s="143">
        <v>4217583.018384</v>
      </c>
      <c r="J57" s="141" t="s">
        <v>81</v>
      </c>
      <c r="K57" s="143">
        <v>213286.94</v>
      </c>
      <c r="L57" s="143">
        <v>1449751.717682</v>
      </c>
      <c r="M57" s="145">
        <v>406144.25</v>
      </c>
      <c r="N57" s="145">
        <f t="shared" si="5"/>
        <v>2754795.2189</v>
      </c>
      <c r="O57" s="146">
        <f t="shared" si="6"/>
        <v>0.344327096998895</v>
      </c>
      <c r="P57" s="147" t="s">
        <v>82</v>
      </c>
      <c r="Q57" s="143"/>
      <c r="R57" s="143">
        <v>406144.25</v>
      </c>
      <c r="S57" s="141"/>
      <c r="T57" s="147"/>
      <c r="U57" s="145">
        <v>89400.7</v>
      </c>
      <c r="V57" s="145">
        <v>606235.08677</v>
      </c>
    </row>
    <row r="58" s="92" customFormat="1" ht="27" customHeight="1" spans="1:1024 1025:16362">
      <c r="A58" s="140">
        <v>7</v>
      </c>
      <c r="B58" s="140" t="s">
        <v>63</v>
      </c>
      <c r="C58" s="140" t="s">
        <v>64</v>
      </c>
      <c r="D58" s="147" t="s">
        <v>83</v>
      </c>
      <c r="E58" s="221">
        <v>45408</v>
      </c>
      <c r="F58" s="198" t="s">
        <v>66</v>
      </c>
      <c r="G58" s="198" t="s">
        <v>67</v>
      </c>
      <c r="H58" s="222">
        <v>930000</v>
      </c>
      <c r="I58" s="222">
        <v>6608394</v>
      </c>
      <c r="J58" s="147" t="s">
        <v>75</v>
      </c>
      <c r="K58" s="222">
        <v>157873.28</v>
      </c>
      <c r="L58" s="222">
        <v>1122537.47728</v>
      </c>
      <c r="M58" s="223">
        <v>772126.72</v>
      </c>
      <c r="N58" s="145">
        <f t="shared" si="5"/>
        <v>5237181.116416</v>
      </c>
      <c r="O58" s="224">
        <f t="shared" si="6"/>
        <v>0.169756215053763</v>
      </c>
      <c r="P58" s="147" t="s">
        <v>84</v>
      </c>
      <c r="Q58" s="222">
        <v>772126.72</v>
      </c>
      <c r="R58" s="222"/>
      <c r="S58" s="147"/>
      <c r="T58" s="147"/>
      <c r="U58" s="145"/>
      <c r="V58" s="145"/>
    </row>
    <row r="59" s="92" customFormat="1" ht="27" customHeight="1" spans="1:1024 1025:16362">
      <c r="A59" s="140">
        <v>8</v>
      </c>
      <c r="B59" s="140" t="s">
        <v>63</v>
      </c>
      <c r="C59" s="140" t="s">
        <v>64</v>
      </c>
      <c r="D59" s="147" t="s">
        <v>83</v>
      </c>
      <c r="E59" s="221">
        <v>45408</v>
      </c>
      <c r="F59" s="198" t="s">
        <v>66</v>
      </c>
      <c r="G59" s="198" t="s">
        <v>67</v>
      </c>
      <c r="H59" s="222">
        <v>336059.69</v>
      </c>
      <c r="I59" s="222">
        <v>2387972.945202</v>
      </c>
      <c r="J59" s="147" t="s">
        <v>85</v>
      </c>
      <c r="K59" s="222"/>
      <c r="L59" s="222"/>
      <c r="M59" s="223">
        <v>336059.69</v>
      </c>
      <c r="N59" s="145">
        <f t="shared" si="5"/>
        <v>2279425.665332</v>
      </c>
      <c r="O59" s="224">
        <f t="shared" si="6"/>
        <v>0</v>
      </c>
      <c r="P59" s="147" t="s">
        <v>84</v>
      </c>
      <c r="Q59" s="222">
        <v>336059.69</v>
      </c>
      <c r="R59" s="222"/>
      <c r="S59" s="147"/>
      <c r="T59" s="147"/>
      <c r="U59" s="145"/>
      <c r="V59" s="145"/>
    </row>
    <row r="60" s="92" customFormat="1" ht="27" customHeight="1" spans="1:1024 1025:16362">
      <c r="A60" s="140">
        <v>9</v>
      </c>
      <c r="B60" s="140" t="s">
        <v>63</v>
      </c>
      <c r="C60" s="140" t="s">
        <v>64</v>
      </c>
      <c r="D60" s="147" t="s">
        <v>86</v>
      </c>
      <c r="E60" s="142">
        <v>46226</v>
      </c>
      <c r="F60" s="140" t="s">
        <v>66</v>
      </c>
      <c r="G60" s="140" t="s">
        <v>87</v>
      </c>
      <c r="H60" s="143">
        <v>3857600</v>
      </c>
      <c r="I60" s="143">
        <v>3857600</v>
      </c>
      <c r="J60" s="141" t="s">
        <v>88</v>
      </c>
      <c r="K60" s="143">
        <v>1157280</v>
      </c>
      <c r="L60" s="143">
        <v>1157280</v>
      </c>
      <c r="M60" s="145">
        <v>2700320</v>
      </c>
      <c r="N60" s="145">
        <v>2700320</v>
      </c>
      <c r="O60" s="146">
        <f t="shared" si="6"/>
        <v>0.3</v>
      </c>
      <c r="P60" s="147" t="s">
        <v>89</v>
      </c>
      <c r="Q60" s="143"/>
      <c r="R60" s="143">
        <v>2700320</v>
      </c>
      <c r="S60" s="141"/>
      <c r="T60" s="147"/>
      <c r="U60" s="145"/>
      <c r="V60" s="145"/>
    </row>
    <row r="61" s="92" customFormat="1" ht="27" customHeight="1" spans="1:1024 1025:16362">
      <c r="A61" s="140">
        <v>10</v>
      </c>
      <c r="B61" s="140" t="s">
        <v>63</v>
      </c>
      <c r="C61" s="140" t="s">
        <v>64</v>
      </c>
      <c r="D61" s="147" t="s">
        <v>90</v>
      </c>
      <c r="E61" s="142">
        <v>46188</v>
      </c>
      <c r="F61" s="140" t="s">
        <v>66</v>
      </c>
      <c r="G61" s="140" t="s">
        <v>87</v>
      </c>
      <c r="H61" s="143">
        <v>1680000</v>
      </c>
      <c r="I61" s="143">
        <v>1680000</v>
      </c>
      <c r="J61" s="141" t="s">
        <v>91</v>
      </c>
      <c r="K61" s="143">
        <v>504000</v>
      </c>
      <c r="L61" s="143">
        <v>504000</v>
      </c>
      <c r="M61" s="145">
        <v>1176000</v>
      </c>
      <c r="N61" s="145">
        <v>1176000</v>
      </c>
      <c r="O61" s="146">
        <f t="shared" si="6"/>
        <v>0.3</v>
      </c>
      <c r="P61" s="147" t="s">
        <v>92</v>
      </c>
      <c r="Q61" s="143"/>
      <c r="R61" s="143">
        <v>1176000</v>
      </c>
      <c r="S61" s="141"/>
      <c r="T61" s="147"/>
      <c r="U61" s="145"/>
      <c r="V61" s="145"/>
    </row>
    <row r="62" s="92" customFormat="1" ht="27" customHeight="1" spans="1:1024 1025:16362">
      <c r="A62" s="140">
        <v>11</v>
      </c>
      <c r="B62" s="140" t="s">
        <v>63</v>
      </c>
      <c r="C62" s="140" t="s">
        <v>64</v>
      </c>
      <c r="D62" s="147" t="s">
        <v>93</v>
      </c>
      <c r="E62" s="142">
        <v>46188</v>
      </c>
      <c r="F62" s="140" t="s">
        <v>66</v>
      </c>
      <c r="G62" s="140" t="s">
        <v>87</v>
      </c>
      <c r="H62" s="143">
        <v>833280</v>
      </c>
      <c r="I62" s="143">
        <v>833280</v>
      </c>
      <c r="J62" s="141" t="s">
        <v>91</v>
      </c>
      <c r="K62" s="143">
        <v>249984</v>
      </c>
      <c r="L62" s="143">
        <v>249984</v>
      </c>
      <c r="M62" s="145">
        <v>583296</v>
      </c>
      <c r="N62" s="145">
        <v>583296</v>
      </c>
      <c r="O62" s="146">
        <f t="shared" si="6"/>
        <v>0.3</v>
      </c>
      <c r="P62" s="147" t="s">
        <v>92</v>
      </c>
      <c r="Q62" s="143"/>
      <c r="R62" s="143">
        <v>583296</v>
      </c>
      <c r="S62" s="141"/>
      <c r="T62" s="147"/>
      <c r="U62" s="145"/>
      <c r="V62" s="145"/>
    </row>
    <row r="63" s="92" customFormat="1" ht="27" customHeight="1" spans="1:1024 1025:16362">
      <c r="A63" s="140">
        <v>12</v>
      </c>
      <c r="B63" s="140" t="s">
        <v>63</v>
      </c>
      <c r="C63" s="140" t="s">
        <v>64</v>
      </c>
      <c r="D63" s="147" t="s">
        <v>94</v>
      </c>
      <c r="E63" s="142">
        <v>46174</v>
      </c>
      <c r="F63" s="140" t="s">
        <v>66</v>
      </c>
      <c r="G63" s="140" t="s">
        <v>87</v>
      </c>
      <c r="H63" s="143">
        <v>345400</v>
      </c>
      <c r="I63" s="143">
        <v>345400</v>
      </c>
      <c r="J63" s="141" t="s">
        <v>88</v>
      </c>
      <c r="K63" s="143">
        <v>103620</v>
      </c>
      <c r="L63" s="143">
        <v>103620</v>
      </c>
      <c r="M63" s="145">
        <v>241780</v>
      </c>
      <c r="N63" s="145">
        <v>241780</v>
      </c>
      <c r="O63" s="146">
        <f t="shared" si="6"/>
        <v>0.3</v>
      </c>
      <c r="P63" s="147" t="s">
        <v>95</v>
      </c>
      <c r="Q63" s="143"/>
      <c r="R63" s="143">
        <v>241780</v>
      </c>
      <c r="S63" s="141"/>
      <c r="T63" s="147"/>
      <c r="U63" s="145"/>
      <c r="V63" s="145"/>
    </row>
    <row r="64" s="92" customFormat="1" ht="27" customHeight="1" spans="1:1024 1025:16362">
      <c r="A64" s="140">
        <v>13</v>
      </c>
      <c r="B64" s="140" t="s">
        <v>63</v>
      </c>
      <c r="C64" s="140" t="s">
        <v>64</v>
      </c>
      <c r="D64" s="147" t="s">
        <v>96</v>
      </c>
      <c r="E64" s="142">
        <v>46086</v>
      </c>
      <c r="F64" s="140" t="s">
        <v>66</v>
      </c>
      <c r="G64" s="140" t="s">
        <v>67</v>
      </c>
      <c r="H64" s="143">
        <f>169797.68-5481.2</f>
        <v>164316.48</v>
      </c>
      <c r="I64" s="143">
        <v>1135821.236352</v>
      </c>
      <c r="J64" s="141" t="s">
        <v>97</v>
      </c>
      <c r="K64" s="143">
        <v>127348.26</v>
      </c>
      <c r="L64" s="143">
        <v>870234.334184</v>
      </c>
      <c r="M64" s="145">
        <v>36968.21</v>
      </c>
      <c r="N64" s="145">
        <f t="shared" ref="N64:N82" si="7">M64*6.7828</f>
        <v>250747.974788</v>
      </c>
      <c r="O64" s="146">
        <f t="shared" si="6"/>
        <v>0.775018184420698</v>
      </c>
      <c r="P64" s="147" t="s">
        <v>98</v>
      </c>
      <c r="Q64" s="143"/>
      <c r="R64" s="143">
        <v>36968.21</v>
      </c>
      <c r="S64" s="141"/>
      <c r="T64" s="147"/>
      <c r="U64" s="145">
        <v>76408.96</v>
      </c>
      <c r="V64" s="145">
        <v>518121.516864</v>
      </c>
    </row>
    <row r="65" s="92" customFormat="1" ht="27" customHeight="1" spans="1:22">
      <c r="A65" s="140">
        <v>14</v>
      </c>
      <c r="B65" s="140" t="s">
        <v>63</v>
      </c>
      <c r="C65" s="140" t="s">
        <v>64</v>
      </c>
      <c r="D65" s="147" t="s">
        <v>99</v>
      </c>
      <c r="E65" s="142">
        <v>46232</v>
      </c>
      <c r="F65" s="140" t="s">
        <v>66</v>
      </c>
      <c r="G65" s="140" t="s">
        <v>67</v>
      </c>
      <c r="H65" s="143">
        <v>29995.12</v>
      </c>
      <c r="I65" s="143">
        <v>203618.872608</v>
      </c>
      <c r="J65" s="141" t="s">
        <v>100</v>
      </c>
      <c r="K65" s="143">
        <v>8998.54</v>
      </c>
      <c r="L65" s="143">
        <v>61085.688936</v>
      </c>
      <c r="M65" s="145">
        <v>20996.58</v>
      </c>
      <c r="N65" s="145">
        <f t="shared" si="7"/>
        <v>142415.602824</v>
      </c>
      <c r="O65" s="146">
        <f t="shared" si="6"/>
        <v>0.300000133355026</v>
      </c>
      <c r="P65" s="147" t="s">
        <v>101</v>
      </c>
      <c r="Q65" s="143"/>
      <c r="R65" s="143">
        <v>20996.58</v>
      </c>
      <c r="S65" s="141"/>
      <c r="T65" s="147"/>
      <c r="U65" s="145">
        <v>8998.54</v>
      </c>
      <c r="V65" s="145">
        <v>61085.688936</v>
      </c>
    </row>
    <row r="66" s="92" customFormat="1" ht="27" customHeight="1" spans="1:22">
      <c r="A66" s="140">
        <v>15</v>
      </c>
      <c r="B66" s="140" t="s">
        <v>63</v>
      </c>
      <c r="C66" s="140" t="s">
        <v>102</v>
      </c>
      <c r="D66" s="147" t="s">
        <v>103</v>
      </c>
      <c r="E66" s="142">
        <v>45162</v>
      </c>
      <c r="F66" s="140" t="s">
        <v>66</v>
      </c>
      <c r="G66" s="140" t="s">
        <v>67</v>
      </c>
      <c r="H66" s="143">
        <v>2520000</v>
      </c>
      <c r="I66" s="143">
        <v>18090576</v>
      </c>
      <c r="J66" s="141" t="s">
        <v>75</v>
      </c>
      <c r="K66" s="143">
        <v>2268000</v>
      </c>
      <c r="L66" s="143">
        <v>16170386.4</v>
      </c>
      <c r="M66" s="145">
        <v>252000</v>
      </c>
      <c r="N66" s="145">
        <f t="shared" si="7"/>
        <v>1709265.6</v>
      </c>
      <c r="O66" s="146">
        <f t="shared" si="6"/>
        <v>0.9</v>
      </c>
      <c r="P66" s="147" t="s">
        <v>76</v>
      </c>
      <c r="Q66" s="143">
        <v>252000</v>
      </c>
      <c r="R66" s="143"/>
      <c r="S66" s="141" t="s">
        <v>104</v>
      </c>
      <c r="T66" s="147" t="s">
        <v>105</v>
      </c>
      <c r="U66" s="145"/>
      <c r="V66" s="145"/>
    </row>
    <row r="67" s="92" customFormat="1" ht="27" customHeight="1" spans="1:22">
      <c r="A67" s="140">
        <v>16</v>
      </c>
      <c r="B67" s="140" t="s">
        <v>63</v>
      </c>
      <c r="C67" s="140" t="s">
        <v>102</v>
      </c>
      <c r="D67" s="147" t="s">
        <v>106</v>
      </c>
      <c r="E67" s="142">
        <v>44340</v>
      </c>
      <c r="F67" s="140" t="s">
        <v>66</v>
      </c>
      <c r="G67" s="140" t="s">
        <v>67</v>
      </c>
      <c r="H67" s="143">
        <v>2453192.92</v>
      </c>
      <c r="I67" s="143">
        <v>15700434.69</v>
      </c>
      <c r="J67" s="141" t="s">
        <v>107</v>
      </c>
      <c r="K67" s="143">
        <v>2207873.62</v>
      </c>
      <c r="L67" s="143">
        <v>14575797.997495</v>
      </c>
      <c r="M67" s="145">
        <v>245319.3</v>
      </c>
      <c r="N67" s="145">
        <f t="shared" si="7"/>
        <v>1663951.74804</v>
      </c>
      <c r="O67" s="146">
        <f t="shared" si="6"/>
        <v>0.899999996738944</v>
      </c>
      <c r="P67" s="147" t="s">
        <v>76</v>
      </c>
      <c r="Q67" s="143">
        <v>245319.3</v>
      </c>
      <c r="R67" s="143"/>
      <c r="S67" s="141" t="s">
        <v>108</v>
      </c>
      <c r="T67" s="147" t="s">
        <v>109</v>
      </c>
      <c r="U67" s="145"/>
      <c r="V67" s="145"/>
    </row>
    <row r="68" s="92" customFormat="1" ht="27" customHeight="1" spans="1:22">
      <c r="A68" s="140">
        <v>17</v>
      </c>
      <c r="B68" s="140" t="s">
        <v>63</v>
      </c>
      <c r="C68" s="140" t="s">
        <v>102</v>
      </c>
      <c r="D68" s="147" t="s">
        <v>110</v>
      </c>
      <c r="E68" s="142">
        <v>44218</v>
      </c>
      <c r="F68" s="140" t="s">
        <v>66</v>
      </c>
      <c r="G68" s="140" t="s">
        <v>67</v>
      </c>
      <c r="H68" s="143">
        <v>1635000</v>
      </c>
      <c r="I68" s="143">
        <v>10464000</v>
      </c>
      <c r="J68" s="141" t="s">
        <v>107</v>
      </c>
      <c r="K68" s="143">
        <v>1471500</v>
      </c>
      <c r="L68" s="143">
        <v>9453343.349087</v>
      </c>
      <c r="M68" s="145">
        <v>163500</v>
      </c>
      <c r="N68" s="145">
        <f t="shared" si="7"/>
        <v>1108987.8</v>
      </c>
      <c r="O68" s="146">
        <f t="shared" si="6"/>
        <v>0.9</v>
      </c>
      <c r="P68" s="147" t="s">
        <v>76</v>
      </c>
      <c r="Q68" s="143">
        <v>163500</v>
      </c>
      <c r="R68" s="143"/>
      <c r="S68" s="141" t="s">
        <v>111</v>
      </c>
      <c r="T68" s="147" t="s">
        <v>112</v>
      </c>
      <c r="U68" s="145"/>
      <c r="V68" s="145"/>
    </row>
    <row r="69" s="92" customFormat="1" ht="27" customHeight="1" spans="1:22">
      <c r="A69" s="140">
        <v>18</v>
      </c>
      <c r="B69" s="140" t="s">
        <v>63</v>
      </c>
      <c r="C69" s="140" t="s">
        <v>102</v>
      </c>
      <c r="D69" s="141" t="s">
        <v>113</v>
      </c>
      <c r="E69" s="142">
        <v>44788</v>
      </c>
      <c r="F69" s="140" t="s">
        <v>66</v>
      </c>
      <c r="G69" s="140" t="s">
        <v>67</v>
      </c>
      <c r="H69" s="143">
        <v>1465378.78</v>
      </c>
      <c r="I69" s="143">
        <v>10061144.17</v>
      </c>
      <c r="J69" s="141" t="s">
        <v>107</v>
      </c>
      <c r="K69" s="143">
        <v>1318840.9</v>
      </c>
      <c r="L69" s="143">
        <v>9314138.05</v>
      </c>
      <c r="M69" s="145">
        <v>146537.88</v>
      </c>
      <c r="N69" s="145">
        <f t="shared" si="7"/>
        <v>993937.132464</v>
      </c>
      <c r="O69" s="146">
        <f t="shared" si="6"/>
        <v>0.899999998635165</v>
      </c>
      <c r="P69" s="147" t="s">
        <v>76</v>
      </c>
      <c r="Q69" s="143">
        <v>146537.88</v>
      </c>
      <c r="R69" s="143"/>
      <c r="S69" s="141" t="s">
        <v>114</v>
      </c>
      <c r="T69" s="147" t="s">
        <v>115</v>
      </c>
      <c r="U69" s="145"/>
      <c r="V69" s="145"/>
    </row>
    <row r="70" s="92" customFormat="1" ht="27" customHeight="1" spans="1:22">
      <c r="A70" s="140">
        <v>19</v>
      </c>
      <c r="B70" s="140" t="s">
        <v>63</v>
      </c>
      <c r="C70" s="140" t="s">
        <v>102</v>
      </c>
      <c r="D70" s="141" t="s">
        <v>116</v>
      </c>
      <c r="E70" s="142">
        <v>45357</v>
      </c>
      <c r="F70" s="140" t="s">
        <v>66</v>
      </c>
      <c r="G70" s="140" t="s">
        <v>67</v>
      </c>
      <c r="H70" s="143">
        <v>1186373.5</v>
      </c>
      <c r="I70" s="143">
        <v>8420285.92</v>
      </c>
      <c r="J70" s="141" t="s">
        <v>75</v>
      </c>
      <c r="K70" s="143">
        <v>1067736.15</v>
      </c>
      <c r="L70" s="143">
        <v>7589931.239865</v>
      </c>
      <c r="M70" s="145">
        <v>118637.35</v>
      </c>
      <c r="N70" s="145">
        <f t="shared" si="7"/>
        <v>804693.41758</v>
      </c>
      <c r="O70" s="146">
        <f t="shared" si="6"/>
        <v>0.9</v>
      </c>
      <c r="P70" s="147" t="s">
        <v>76</v>
      </c>
      <c r="Q70" s="143"/>
      <c r="R70" s="143">
        <v>118637.35</v>
      </c>
      <c r="S70" s="141" t="s">
        <v>117</v>
      </c>
      <c r="T70" s="147"/>
      <c r="U70" s="145"/>
      <c r="V70" s="145"/>
    </row>
    <row r="71" s="92" customFormat="1" ht="27" customHeight="1" spans="1:22">
      <c r="A71" s="140">
        <v>20</v>
      </c>
      <c r="B71" s="140" t="s">
        <v>63</v>
      </c>
      <c r="C71" s="140" t="s">
        <v>102</v>
      </c>
      <c r="D71" s="141" t="s">
        <v>118</v>
      </c>
      <c r="E71" s="142">
        <v>45237</v>
      </c>
      <c r="F71" s="140" t="s">
        <v>66</v>
      </c>
      <c r="G71" s="140" t="s">
        <v>67</v>
      </c>
      <c r="H71" s="143">
        <v>813800</v>
      </c>
      <c r="I71" s="143">
        <v>5777980</v>
      </c>
      <c r="J71" s="141" t="s">
        <v>88</v>
      </c>
      <c r="K71" s="143">
        <v>732420</v>
      </c>
      <c r="L71" s="143">
        <v>5158824.68</v>
      </c>
      <c r="M71" s="145">
        <v>81380</v>
      </c>
      <c r="N71" s="145">
        <f t="shared" si="7"/>
        <v>551984.264</v>
      </c>
      <c r="O71" s="146">
        <f t="shared" si="6"/>
        <v>0.9</v>
      </c>
      <c r="P71" s="147" t="s">
        <v>76</v>
      </c>
      <c r="Q71" s="143">
        <v>81380</v>
      </c>
      <c r="R71" s="143"/>
      <c r="S71" s="141" t="s">
        <v>114</v>
      </c>
      <c r="T71" s="147" t="s">
        <v>119</v>
      </c>
      <c r="U71" s="145"/>
      <c r="V71" s="145"/>
    </row>
    <row r="72" s="159" customFormat="1" ht="27" customHeight="1" spans="1:22">
      <c r="A72" s="140">
        <v>21</v>
      </c>
      <c r="B72" s="140" t="s">
        <v>63</v>
      </c>
      <c r="C72" s="140" t="s">
        <v>102</v>
      </c>
      <c r="D72" s="141" t="s">
        <v>120</v>
      </c>
      <c r="E72" s="142">
        <v>44748</v>
      </c>
      <c r="F72" s="140" t="s">
        <v>66</v>
      </c>
      <c r="G72" s="140" t="s">
        <v>67</v>
      </c>
      <c r="H72" s="143">
        <v>433075.67</v>
      </c>
      <c r="I72" s="143">
        <v>2944238.46</v>
      </c>
      <c r="J72" s="141" t="s">
        <v>107</v>
      </c>
      <c r="K72" s="143">
        <v>389768.099</v>
      </c>
      <c r="L72" s="143">
        <v>2745518.6689945</v>
      </c>
      <c r="M72" s="145">
        <v>43307.567</v>
      </c>
      <c r="N72" s="145">
        <f t="shared" si="7"/>
        <v>293746.5654476</v>
      </c>
      <c r="O72" s="146">
        <f t="shared" si="6"/>
        <v>0.899999990763739</v>
      </c>
      <c r="P72" s="147" t="s">
        <v>76</v>
      </c>
      <c r="Q72" s="143">
        <v>43307.567</v>
      </c>
      <c r="R72" s="143"/>
      <c r="S72" s="141" t="s">
        <v>121</v>
      </c>
      <c r="T72" s="147" t="s">
        <v>122</v>
      </c>
      <c r="U72" s="145"/>
      <c r="V72" s="145"/>
    </row>
    <row r="73" s="159" customFormat="1" ht="27" customHeight="1" spans="1:22">
      <c r="A73" s="140">
        <v>22</v>
      </c>
      <c r="B73" s="140" t="s">
        <v>63</v>
      </c>
      <c r="C73" s="140" t="s">
        <v>102</v>
      </c>
      <c r="D73" s="141" t="s">
        <v>123</v>
      </c>
      <c r="E73" s="142">
        <v>45008</v>
      </c>
      <c r="F73" s="140" t="s">
        <v>66</v>
      </c>
      <c r="G73" s="140" t="s">
        <v>67</v>
      </c>
      <c r="H73" s="143">
        <v>664339</v>
      </c>
      <c r="I73" s="143">
        <v>4564606.84</v>
      </c>
      <c r="J73" s="141" t="s">
        <v>124</v>
      </c>
      <c r="K73" s="143">
        <v>631122</v>
      </c>
      <c r="L73" s="143">
        <v>4449888.57</v>
      </c>
      <c r="M73" s="145">
        <v>33217</v>
      </c>
      <c r="N73" s="145">
        <f t="shared" si="7"/>
        <v>225304.2676</v>
      </c>
      <c r="O73" s="146">
        <f t="shared" si="6"/>
        <v>0.94999992473722</v>
      </c>
      <c r="P73" s="147" t="s">
        <v>125</v>
      </c>
      <c r="Q73" s="143">
        <v>33217</v>
      </c>
      <c r="R73" s="143"/>
      <c r="S73" s="141" t="s">
        <v>126</v>
      </c>
      <c r="T73" s="147" t="s">
        <v>127</v>
      </c>
      <c r="U73" s="145"/>
      <c r="V73" s="145"/>
    </row>
    <row r="74" s="92" customFormat="1" ht="27" customHeight="1" spans="1:22">
      <c r="A74" s="140">
        <v>23</v>
      </c>
      <c r="B74" s="140" t="s">
        <v>63</v>
      </c>
      <c r="C74" s="140" t="s">
        <v>102</v>
      </c>
      <c r="D74" s="141" t="s">
        <v>128</v>
      </c>
      <c r="E74" s="142">
        <v>44768</v>
      </c>
      <c r="F74" s="140" t="s">
        <v>66</v>
      </c>
      <c r="G74" s="140" t="s">
        <v>67</v>
      </c>
      <c r="H74" s="143">
        <v>306391.91</v>
      </c>
      <c r="I74" s="143">
        <v>2077398.43</v>
      </c>
      <c r="J74" s="141" t="s">
        <v>107</v>
      </c>
      <c r="K74" s="143">
        <v>275752.72</v>
      </c>
      <c r="L74" s="143">
        <v>1924435.3174732</v>
      </c>
      <c r="M74" s="145">
        <v>30639.191</v>
      </c>
      <c r="N74" s="145">
        <f t="shared" si="7"/>
        <v>207819.5047148</v>
      </c>
      <c r="O74" s="146">
        <f t="shared" si="6"/>
        <v>0.900000003263794</v>
      </c>
      <c r="P74" s="147" t="s">
        <v>76</v>
      </c>
      <c r="Q74" s="143">
        <v>30639.191</v>
      </c>
      <c r="R74" s="143"/>
      <c r="S74" s="141" t="s">
        <v>129</v>
      </c>
      <c r="T74" s="147" t="s">
        <v>130</v>
      </c>
      <c r="U74" s="145"/>
      <c r="V74" s="145"/>
    </row>
    <row r="75" s="92" customFormat="1" ht="27" customHeight="1" spans="1:22">
      <c r="A75" s="140">
        <v>24</v>
      </c>
      <c r="B75" s="140" t="s">
        <v>63</v>
      </c>
      <c r="C75" s="140" t="s">
        <v>102</v>
      </c>
      <c r="D75" s="141" t="s">
        <v>131</v>
      </c>
      <c r="E75" s="142">
        <v>45056</v>
      </c>
      <c r="F75" s="140" t="s">
        <v>66</v>
      </c>
      <c r="G75" s="140" t="s">
        <v>67</v>
      </c>
      <c r="H75" s="143">
        <v>68532.25</v>
      </c>
      <c r="I75" s="143">
        <v>474921.64</v>
      </c>
      <c r="J75" s="141" t="s">
        <v>107</v>
      </c>
      <c r="K75" s="143">
        <v>61679.03</v>
      </c>
      <c r="L75" s="143">
        <v>439369.849265</v>
      </c>
      <c r="M75" s="199">
        <v>6853.225</v>
      </c>
      <c r="N75" s="145">
        <f t="shared" si="7"/>
        <v>46484.05453</v>
      </c>
      <c r="O75" s="146">
        <f t="shared" si="6"/>
        <v>0.900000072958352</v>
      </c>
      <c r="P75" s="147" t="s">
        <v>76</v>
      </c>
      <c r="Q75" s="143">
        <v>6853.225</v>
      </c>
      <c r="R75" s="143"/>
      <c r="S75" s="141" t="s">
        <v>132</v>
      </c>
      <c r="T75" s="147" t="s">
        <v>115</v>
      </c>
      <c r="U75" s="145"/>
      <c r="V75" s="145"/>
    </row>
    <row r="76" s="92" customFormat="1" ht="27" customHeight="1" spans="1:22">
      <c r="A76" s="140">
        <v>25</v>
      </c>
      <c r="B76" s="140" t="s">
        <v>63</v>
      </c>
      <c r="C76" s="140" t="s">
        <v>102</v>
      </c>
      <c r="D76" s="141" t="s">
        <v>133</v>
      </c>
      <c r="E76" s="142">
        <v>45495</v>
      </c>
      <c r="F76" s="140" t="s">
        <v>66</v>
      </c>
      <c r="G76" s="140" t="s">
        <v>67</v>
      </c>
      <c r="H76" s="143">
        <v>63763.87</v>
      </c>
      <c r="I76" s="143">
        <v>449599.05</v>
      </c>
      <c r="J76" s="141" t="s">
        <v>88</v>
      </c>
      <c r="K76" s="143">
        <v>57387.481</v>
      </c>
      <c r="L76" s="143">
        <v>410087.1276858</v>
      </c>
      <c r="M76" s="145">
        <v>6376.387</v>
      </c>
      <c r="N76" s="145">
        <f t="shared" si="7"/>
        <v>43249.7577436</v>
      </c>
      <c r="O76" s="146">
        <f t="shared" si="6"/>
        <v>0.899999968634275</v>
      </c>
      <c r="P76" s="147" t="s">
        <v>76</v>
      </c>
      <c r="Q76" s="143">
        <v>6376.387</v>
      </c>
      <c r="R76" s="143"/>
      <c r="S76" s="141" t="s">
        <v>134</v>
      </c>
      <c r="T76" s="147" t="s">
        <v>135</v>
      </c>
      <c r="U76" s="145"/>
      <c r="V76" s="145"/>
    </row>
    <row r="77" s="92" customFormat="1" ht="27" customHeight="1" spans="1:22">
      <c r="A77" s="140">
        <v>26</v>
      </c>
      <c r="B77" s="140" t="s">
        <v>63</v>
      </c>
      <c r="C77" s="140" t="s">
        <v>102</v>
      </c>
      <c r="D77" s="141" t="s">
        <v>136</v>
      </c>
      <c r="E77" s="142">
        <v>45318</v>
      </c>
      <c r="F77" s="140" t="s">
        <v>66</v>
      </c>
      <c r="G77" s="140" t="s">
        <v>67</v>
      </c>
      <c r="H77" s="143">
        <v>5587426.22</v>
      </c>
      <c r="I77" s="143">
        <v>39716543.057004</v>
      </c>
      <c r="J77" s="141" t="s">
        <v>75</v>
      </c>
      <c r="K77" s="143">
        <v>5028683.598</v>
      </c>
      <c r="L77" s="143">
        <v>36031517.9986244</v>
      </c>
      <c r="M77" s="145">
        <v>558742.622</v>
      </c>
      <c r="N77" s="145">
        <f t="shared" si="7"/>
        <v>3789839.4565016</v>
      </c>
      <c r="O77" s="146">
        <f t="shared" si="6"/>
        <v>0.9</v>
      </c>
      <c r="P77" s="147" t="s">
        <v>76</v>
      </c>
      <c r="Q77" s="143"/>
      <c r="R77" s="143">
        <v>558742.622</v>
      </c>
      <c r="S77" s="141" t="s">
        <v>137</v>
      </c>
      <c r="T77" s="147"/>
      <c r="U77" s="145"/>
      <c r="V77" s="145"/>
    </row>
    <row r="78" s="92" customFormat="1" ht="27" customHeight="1" spans="1:22">
      <c r="A78" s="140">
        <v>27</v>
      </c>
      <c r="B78" s="140" t="s">
        <v>63</v>
      </c>
      <c r="C78" s="140" t="s">
        <v>102</v>
      </c>
      <c r="D78" s="141" t="s">
        <v>138</v>
      </c>
      <c r="E78" s="142">
        <v>45318</v>
      </c>
      <c r="F78" s="140" t="s">
        <v>66</v>
      </c>
      <c r="G78" s="140" t="s">
        <v>67</v>
      </c>
      <c r="H78" s="143">
        <v>2994267.34</v>
      </c>
      <c r="I78" s="143">
        <v>21283851.106188</v>
      </c>
      <c r="J78" s="141" t="s">
        <v>139</v>
      </c>
      <c r="K78" s="143">
        <v>2694840.61</v>
      </c>
      <c r="L78" s="143">
        <v>18947673.385716</v>
      </c>
      <c r="M78" s="145">
        <v>299426.73</v>
      </c>
      <c r="N78" s="145">
        <f t="shared" si="7"/>
        <v>2030951.624244</v>
      </c>
      <c r="O78" s="146">
        <f t="shared" si="6"/>
        <v>0.900000001335886</v>
      </c>
      <c r="P78" s="147" t="s">
        <v>76</v>
      </c>
      <c r="Q78" s="143"/>
      <c r="R78" s="143">
        <v>299426.73</v>
      </c>
      <c r="S78" s="141" t="s">
        <v>137</v>
      </c>
      <c r="T78" s="147"/>
      <c r="U78" s="145"/>
      <c r="V78" s="145"/>
    </row>
    <row r="79" s="92" customFormat="1" ht="27" customHeight="1" spans="1:22">
      <c r="A79" s="140">
        <v>28</v>
      </c>
      <c r="B79" s="140" t="s">
        <v>63</v>
      </c>
      <c r="C79" s="140" t="s">
        <v>102</v>
      </c>
      <c r="D79" s="141" t="s">
        <v>140</v>
      </c>
      <c r="E79" s="142">
        <v>45595</v>
      </c>
      <c r="F79" s="140" t="s">
        <v>66</v>
      </c>
      <c r="G79" s="140" t="s">
        <v>67</v>
      </c>
      <c r="H79" s="143">
        <v>1147958.8</v>
      </c>
      <c r="I79" s="143">
        <v>8261400.3</v>
      </c>
      <c r="J79" s="141" t="s">
        <v>88</v>
      </c>
      <c r="K79" s="143">
        <v>1033162.92</v>
      </c>
      <c r="L79" s="143">
        <v>7372306.20948</v>
      </c>
      <c r="M79" s="145">
        <v>114795.88</v>
      </c>
      <c r="N79" s="145">
        <f t="shared" si="7"/>
        <v>778637.494864</v>
      </c>
      <c r="O79" s="146">
        <f t="shared" si="6"/>
        <v>0.9</v>
      </c>
      <c r="P79" s="147" t="s">
        <v>76</v>
      </c>
      <c r="Q79" s="143"/>
      <c r="R79" s="143">
        <v>114795.88</v>
      </c>
      <c r="S79" s="141"/>
      <c r="T79" s="147" t="s">
        <v>141</v>
      </c>
      <c r="U79" s="145"/>
      <c r="V79" s="145"/>
    </row>
    <row r="80" s="92" customFormat="1" ht="27" customHeight="1" spans="1:22">
      <c r="A80" s="140">
        <v>29</v>
      </c>
      <c r="B80" s="140" t="s">
        <v>63</v>
      </c>
      <c r="C80" s="140" t="s">
        <v>102</v>
      </c>
      <c r="D80" s="141" t="s">
        <v>142</v>
      </c>
      <c r="E80" s="142">
        <v>45502</v>
      </c>
      <c r="F80" s="140" t="s">
        <v>66</v>
      </c>
      <c r="G80" s="140" t="s">
        <v>67</v>
      </c>
      <c r="H80" s="143">
        <v>176377.59</v>
      </c>
      <c r="I80" s="143">
        <v>1263851.26</v>
      </c>
      <c r="J80" s="141" t="s">
        <v>88</v>
      </c>
      <c r="K80" s="143">
        <v>158739.83</v>
      </c>
      <c r="L80" s="143">
        <v>1135275.516092</v>
      </c>
      <c r="M80" s="145">
        <v>17637.76</v>
      </c>
      <c r="N80" s="145">
        <f t="shared" si="7"/>
        <v>119633.398528</v>
      </c>
      <c r="O80" s="146">
        <f t="shared" si="6"/>
        <v>0.899999994330345</v>
      </c>
      <c r="P80" s="147" t="s">
        <v>76</v>
      </c>
      <c r="Q80" s="143"/>
      <c r="R80" s="143">
        <v>17637.76</v>
      </c>
      <c r="S80" s="141" t="s">
        <v>143</v>
      </c>
      <c r="T80" s="147" t="s">
        <v>144</v>
      </c>
      <c r="U80" s="145"/>
      <c r="V80" s="145"/>
    </row>
    <row r="81" s="92" customFormat="1" ht="27" customHeight="1" spans="1:22">
      <c r="A81" s="140">
        <v>30</v>
      </c>
      <c r="B81" s="140" t="s">
        <v>63</v>
      </c>
      <c r="C81" s="140" t="s">
        <v>64</v>
      </c>
      <c r="D81" s="147" t="s">
        <v>145</v>
      </c>
      <c r="E81" s="142">
        <v>46042</v>
      </c>
      <c r="F81" s="140" t="s">
        <v>146</v>
      </c>
      <c r="G81" s="140" t="s">
        <v>67</v>
      </c>
      <c r="H81" s="143">
        <v>780000</v>
      </c>
      <c r="I81" s="143">
        <v>5310864</v>
      </c>
      <c r="J81" s="141" t="s">
        <v>81</v>
      </c>
      <c r="K81" s="143">
        <v>156000</v>
      </c>
      <c r="L81" s="143">
        <v>1062172.8</v>
      </c>
      <c r="M81" s="145">
        <v>624000</v>
      </c>
      <c r="N81" s="145">
        <f t="shared" si="7"/>
        <v>4232467.2</v>
      </c>
      <c r="O81" s="146">
        <f t="shared" si="6"/>
        <v>0.2</v>
      </c>
      <c r="P81" s="147" t="s">
        <v>147</v>
      </c>
      <c r="Q81" s="143"/>
      <c r="R81" s="143">
        <v>624000</v>
      </c>
      <c r="S81" s="141"/>
      <c r="T81" s="147"/>
      <c r="U81" s="145"/>
      <c r="V81" s="145"/>
    </row>
    <row r="82" s="92" customFormat="1" ht="27" customHeight="1" spans="1:22">
      <c r="A82" s="140">
        <v>31</v>
      </c>
      <c r="B82" s="140" t="s">
        <v>63</v>
      </c>
      <c r="C82" s="140" t="s">
        <v>64</v>
      </c>
      <c r="D82" s="147" t="s">
        <v>148</v>
      </c>
      <c r="E82" s="142">
        <v>46174</v>
      </c>
      <c r="F82" s="140" t="s">
        <v>146</v>
      </c>
      <c r="G82" s="140" t="s">
        <v>67</v>
      </c>
      <c r="H82" s="143">
        <v>100600</v>
      </c>
      <c r="I82" s="143">
        <v>686071.88</v>
      </c>
      <c r="J82" s="141" t="s">
        <v>149</v>
      </c>
      <c r="K82" s="143">
        <v>5000</v>
      </c>
      <c r="L82" s="143">
        <v>34078.5</v>
      </c>
      <c r="M82" s="145">
        <v>95600</v>
      </c>
      <c r="N82" s="145">
        <f t="shared" si="7"/>
        <v>648435.68</v>
      </c>
      <c r="O82" s="146">
        <f t="shared" si="6"/>
        <v>0.0497017892644135</v>
      </c>
      <c r="P82" s="147" t="s">
        <v>150</v>
      </c>
      <c r="Q82" s="143"/>
      <c r="R82" s="143">
        <v>95600</v>
      </c>
      <c r="S82" s="141"/>
      <c r="T82" s="147"/>
      <c r="U82" s="145"/>
      <c r="V82" s="145"/>
    </row>
    <row r="83" s="93" customFormat="1" ht="25" customHeight="1" spans="1:22">
      <c r="A83" s="148"/>
      <c r="B83" s="148"/>
      <c r="C83" s="148"/>
      <c r="D83" s="149" t="s">
        <v>269</v>
      </c>
      <c r="E83" s="142"/>
      <c r="F83" s="148"/>
      <c r="G83" s="148"/>
      <c r="H83" s="150">
        <f>SUMIF(G:G,"美元",H:H)</f>
        <v>36180586.15</v>
      </c>
      <c r="I83" s="150">
        <f>SUMIF(G:G,"美元",I:I)</f>
        <v>254094692.896999</v>
      </c>
      <c r="J83" s="148"/>
      <c r="K83" s="150">
        <f>SUMIF(G:G,"美元",K:K)</f>
        <v>23870158.068</v>
      </c>
      <c r="L83" s="150">
        <f>SUMIF(G:G,"美元",L:L)</f>
        <v>156508216.346226</v>
      </c>
      <c r="M83" s="150">
        <f>SUMIF(G:G,"美元",M:M)</f>
        <v>12310428.086</v>
      </c>
      <c r="N83" s="275">
        <f>SUMIF(G:G,"美元",N:N)</f>
        <v>83499171.6217208</v>
      </c>
      <c r="O83" s="276"/>
      <c r="P83" s="148"/>
      <c r="Q83" s="150">
        <f>SUMIF(G:G,"美元",Q:Q)</f>
        <v>2322977.96</v>
      </c>
      <c r="R83" s="150">
        <f>SUMIF(G:G,"美元",R:R)</f>
        <v>9987450.126</v>
      </c>
      <c r="S83" s="148"/>
      <c r="T83" s="153"/>
      <c r="U83" s="150">
        <f>SUMIF(G:G,"美元",U:U)</f>
        <v>1341449.39</v>
      </c>
      <c r="V83" s="275">
        <f>SUMIF(G:G,"美元",V:V)</f>
        <v>9096498.243841</v>
      </c>
    </row>
    <row r="84" s="93" customFormat="1" ht="25" customHeight="1" spans="1:22">
      <c r="A84" s="148"/>
      <c r="B84" s="148"/>
      <c r="C84" s="148"/>
      <c r="D84" s="149" t="s">
        <v>270</v>
      </c>
      <c r="E84" s="142"/>
      <c r="F84" s="148"/>
      <c r="G84" s="148"/>
      <c r="H84" s="150">
        <f>SUMIF(G:G,"人民币",H:H)</f>
        <v>6716280</v>
      </c>
      <c r="I84" s="150">
        <f>SUMIF(G:G,"人民币",I:I)</f>
        <v>6716280</v>
      </c>
      <c r="J84" s="148"/>
      <c r="K84" s="150">
        <f>SUMIF(G:G,"人民币",K:K)</f>
        <v>2014884</v>
      </c>
      <c r="L84" s="150">
        <f>SUMIF(G:G,"人民币",L:L)</f>
        <v>2014884</v>
      </c>
      <c r="M84" s="150">
        <f>SUMIF(G:G,"人民币",M:M)</f>
        <v>4701396</v>
      </c>
      <c r="N84" s="275">
        <f>SUMIF(G:G,"人民币",N:N)</f>
        <v>4701396</v>
      </c>
      <c r="O84" s="276"/>
      <c r="P84" s="148"/>
      <c r="Q84" s="150">
        <f>SUMIF(G:G,"人民币",Q:Q)</f>
        <v>0</v>
      </c>
      <c r="R84" s="150">
        <f>SUMIF(G:G,"人民币",R:R)</f>
        <v>4701396</v>
      </c>
      <c r="S84" s="148"/>
      <c r="T84" s="153"/>
      <c r="U84" s="150">
        <f>SUMIF(G:G,"人民币",U:U)</f>
        <v>0</v>
      </c>
      <c r="V84" s="275">
        <f>SUMIF(G:G,"人民币",V:V)</f>
        <v>0</v>
      </c>
    </row>
    <row r="85" s="93" customFormat="1" ht="25" customHeight="1" spans="1:22">
      <c r="A85" s="148"/>
      <c r="B85" s="148"/>
      <c r="C85" s="148"/>
      <c r="D85" s="149" t="s">
        <v>271</v>
      </c>
      <c r="E85" s="155"/>
      <c r="F85" s="148"/>
      <c r="G85" s="140"/>
      <c r="H85" s="148"/>
      <c r="I85" s="150">
        <f>I83+I84</f>
        <v>260810972.896999</v>
      </c>
      <c r="J85" s="148"/>
      <c r="K85" s="150"/>
      <c r="L85" s="150">
        <f t="shared" ref="I85:N85" si="8">L83+L84</f>
        <v>158523100.346226</v>
      </c>
      <c r="M85" s="150">
        <f t="shared" si="8"/>
        <v>17011824.086</v>
      </c>
      <c r="N85" s="275">
        <f t="shared" si="8"/>
        <v>88200567.6217208</v>
      </c>
      <c r="O85" s="148"/>
      <c r="P85" s="148"/>
      <c r="Q85" s="148"/>
      <c r="R85" s="148"/>
      <c r="S85" s="148"/>
      <c r="T85" s="153"/>
      <c r="U85" s="150">
        <f>U83+U84</f>
        <v>1341449.39</v>
      </c>
      <c r="V85" s="275">
        <f>V83+V84</f>
        <v>9096498.243841</v>
      </c>
    </row>
    <row r="86" s="92" customFormat="1" ht="15" spans="1:22">
      <c r="A86" s="156"/>
      <c r="B86" s="157"/>
      <c r="C86" s="157"/>
      <c r="E86" s="158"/>
      <c r="T86" s="159"/>
    </row>
    <row r="87" s="92" customFormat="1" ht="15" spans="1:22">
      <c r="A87" s="156"/>
      <c r="B87" s="157"/>
      <c r="C87" s="157"/>
      <c r="E87" s="158"/>
    </row>
    <row r="88" s="92" customFormat="1" ht="15" spans="1:22">
      <c r="A88" s="160" t="s">
        <v>272</v>
      </c>
      <c r="B88" s="157"/>
      <c r="C88" s="157"/>
      <c r="E88" s="158"/>
    </row>
    <row r="89" s="92" customFormat="1" ht="15" spans="1:22">
      <c r="A89" s="161" t="s">
        <v>273</v>
      </c>
      <c r="B89" s="157"/>
      <c r="C89" s="157"/>
      <c r="E89" s="158"/>
    </row>
  </sheetData>
  <mergeCells count="32">
    <mergeCell ref="A1:K1"/>
    <mergeCell ref="A6:B6"/>
    <mergeCell ref="A8:J8"/>
    <mergeCell ref="A19:F19"/>
    <mergeCell ref="A20:F20"/>
    <mergeCell ref="A24:D24"/>
    <mergeCell ref="A25:F25"/>
    <mergeCell ref="A31:D31"/>
    <mergeCell ref="A32:F32"/>
    <mergeCell ref="A36:D36"/>
    <mergeCell ref="A38:M38"/>
    <mergeCell ref="A50:O50"/>
    <mergeCell ref="A10:A11"/>
    <mergeCell ref="A12:A13"/>
    <mergeCell ref="A14:A15"/>
    <mergeCell ref="A40:A41"/>
    <mergeCell ref="A42:A43"/>
    <mergeCell ref="A44:A45"/>
    <mergeCell ref="B10:B11"/>
    <mergeCell ref="B12:B13"/>
    <mergeCell ref="B14:B15"/>
    <mergeCell ref="B40:B41"/>
    <mergeCell ref="B42:B43"/>
    <mergeCell ref="B44:B45"/>
    <mergeCell ref="L40:L41"/>
    <mergeCell ref="L42:L43"/>
    <mergeCell ref="L46:L47"/>
    <mergeCell ref="M40:M41"/>
    <mergeCell ref="M42:M43"/>
    <mergeCell ref="M46:M47"/>
    <mergeCell ref="A16:B17"/>
    <mergeCell ref="A46:B47"/>
  </mergeCells>
  <pageMargins left="0.75" right="0.75" top="1" bottom="1" header="0.5" footer="0.5"/>
  <pageSetup paperSize="8" scale="36" orientation="portrait"/>
  <headerFooter/>
  <ignoredErrors>
    <ignoredError sqref="F6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zoomScale="70" zoomScaleNormal="70" topLeftCell="A30" workbookViewId="0">
      <selection activeCell="D46" sqref="D46"/>
    </sheetView>
  </sheetViews>
  <sheetFormatPr defaultColWidth="20.1272727272727" defaultRowHeight="30" customHeight="1"/>
  <cols>
    <col min="1" max="1" width="10.2545454545455" style="258" customWidth="1"/>
    <col min="2" max="2" width="13.7818181818182" style="258" customWidth="1"/>
    <col min="3" max="3" width="34.7545454545455" style="258" customWidth="1"/>
    <col min="4" max="4" width="35.1909090909091" style="258" customWidth="1"/>
    <col min="5" max="5" width="17.7454545454545" style="258" customWidth="1"/>
    <col min="6" max="6" width="44.4181818181818" style="258" customWidth="1"/>
    <col min="7" max="7" width="21.4272727272727" style="258" customWidth="1"/>
    <col min="8" max="8" width="20.9" style="258" customWidth="1"/>
    <col min="9" max="9" width="15.5" style="258" customWidth="1"/>
    <col min="10" max="10" width="23.1181818181818" style="258" customWidth="1"/>
    <col min="11" max="11" width="28.4454545454545" style="258" customWidth="1"/>
    <col min="12" max="12" width="20.3727272727273" style="258" customWidth="1"/>
    <col min="13" max="13" width="24.3818181818182" style="258" customWidth="1"/>
    <col min="14" max="15" width="15.4545454545455" style="258" customWidth="1"/>
    <col min="16" max="16380" width="20.1272727272727" style="258" customWidth="1"/>
    <col min="16381" max="16384" width="20.1272727272727" style="258"/>
  </cols>
  <sheetData>
    <row r="1" s="252" customFormat="1" customHeight="1" spans="1:15">
      <c r="A1" s="94" t="s">
        <v>212</v>
      </c>
      <c r="B1" s="94"/>
      <c r="C1" s="95"/>
      <c r="D1" s="95"/>
      <c r="E1" s="95"/>
      <c r="F1" s="95"/>
      <c r="G1" s="95"/>
      <c r="H1" s="95"/>
      <c r="I1" s="95"/>
      <c r="J1" s="95"/>
      <c r="K1" s="95"/>
      <c r="L1" s="87"/>
      <c r="M1" s="87"/>
      <c r="N1" s="87"/>
      <c r="O1" s="87"/>
    </row>
    <row r="2" s="252" customFormat="1" ht="48" customHeight="1" spans="1:15">
      <c r="A2" s="96" t="s">
        <v>213</v>
      </c>
      <c r="B2" s="96" t="s">
        <v>214</v>
      </c>
      <c r="C2" s="97" t="s">
        <v>215</v>
      </c>
      <c r="D2" s="97" t="s">
        <v>216</v>
      </c>
      <c r="E2" s="97" t="s">
        <v>217</v>
      </c>
      <c r="F2" s="97" t="s">
        <v>218</v>
      </c>
      <c r="G2" s="97" t="s">
        <v>219</v>
      </c>
      <c r="H2" s="97" t="s">
        <v>220</v>
      </c>
      <c r="I2" s="97" t="s">
        <v>221</v>
      </c>
      <c r="J2" s="97" t="s">
        <v>222</v>
      </c>
      <c r="K2" s="97" t="s">
        <v>274</v>
      </c>
      <c r="L2" s="87"/>
      <c r="M2" s="87"/>
      <c r="N2" s="87"/>
      <c r="O2" s="87"/>
    </row>
    <row r="3" s="252" customFormat="1" ht="40" customHeight="1" spans="1:15">
      <c r="A3" s="98" t="s">
        <v>18</v>
      </c>
      <c r="B3" s="98" t="s">
        <v>153</v>
      </c>
      <c r="C3" s="130">
        <v>3300</v>
      </c>
      <c r="D3" s="167">
        <f>C3*0.3</f>
        <v>990</v>
      </c>
      <c r="E3" s="167">
        <v>0</v>
      </c>
      <c r="F3" s="166">
        <v>0</v>
      </c>
      <c r="G3" s="167">
        <v>1.14</v>
      </c>
      <c r="H3" s="102">
        <f>G3/C3</f>
        <v>0.000345454545454545</v>
      </c>
      <c r="I3" s="167">
        <f>C3-G3</f>
        <v>3298.86</v>
      </c>
      <c r="J3" s="102">
        <f>I3/C3</f>
        <v>0.999654545454545</v>
      </c>
      <c r="K3" s="259">
        <v>9600</v>
      </c>
      <c r="L3" s="87"/>
      <c r="M3" s="87"/>
      <c r="N3" s="87"/>
      <c r="O3" s="87"/>
    </row>
    <row r="4" s="252" customFormat="1" customHeight="1" spans="1:15">
      <c r="A4" s="98" t="s">
        <v>18</v>
      </c>
      <c r="B4" s="98" t="s">
        <v>158</v>
      </c>
      <c r="C4" s="130">
        <v>2200</v>
      </c>
      <c r="D4" s="167">
        <f>C4*0.3</f>
        <v>660</v>
      </c>
      <c r="E4" s="167">
        <v>0</v>
      </c>
      <c r="F4" s="166">
        <v>0</v>
      </c>
      <c r="G4" s="167">
        <v>0</v>
      </c>
      <c r="H4" s="166">
        <f>G4/C4</f>
        <v>0</v>
      </c>
      <c r="I4" s="167">
        <f>C4-G4</f>
        <v>2200</v>
      </c>
      <c r="J4" s="166">
        <f>I4/C4</f>
        <v>1</v>
      </c>
      <c r="K4" s="167">
        <v>400</v>
      </c>
      <c r="L4" s="87"/>
      <c r="M4" s="87"/>
      <c r="N4" s="87"/>
      <c r="O4" s="87"/>
    </row>
    <row r="5" s="253" customFormat="1" customHeight="1" spans="1:15">
      <c r="A5" s="96" t="s">
        <v>225</v>
      </c>
      <c r="B5" s="96"/>
      <c r="C5" s="168">
        <f>SUM(C3:C4)</f>
        <v>5500</v>
      </c>
      <c r="D5" s="168">
        <f>SUM(D3:D4)</f>
        <v>1650</v>
      </c>
      <c r="E5" s="168">
        <v>0</v>
      </c>
      <c r="F5" s="169">
        <v>0</v>
      </c>
      <c r="G5" s="168">
        <v>2015.141477</v>
      </c>
      <c r="H5" s="169">
        <v>0.373174347592593</v>
      </c>
      <c r="I5" s="168">
        <f>SUM(I3:I4)</f>
        <v>5498.86</v>
      </c>
      <c r="J5" s="169">
        <f>I5/C5</f>
        <v>0.999792727272727</v>
      </c>
      <c r="K5" s="168">
        <f>K3+K4</f>
        <v>10000</v>
      </c>
      <c r="L5" s="204"/>
      <c r="M5" s="204"/>
      <c r="N5" s="204"/>
      <c r="O5" s="204"/>
    </row>
    <row r="6" s="254" customFormat="1" customHeight="1" spans="1:15">
      <c r="A6" s="162"/>
      <c r="B6" s="162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</row>
    <row r="7" s="254" customFormat="1" customHeight="1" spans="1:15">
      <c r="A7" s="94" t="s">
        <v>226</v>
      </c>
      <c r="B7" s="94"/>
      <c r="C7" s="94"/>
      <c r="D7" s="94"/>
      <c r="E7" s="94"/>
      <c r="F7" s="94"/>
      <c r="G7" s="94"/>
      <c r="H7" s="94"/>
      <c r="I7" s="94"/>
      <c r="J7" s="94"/>
      <c r="K7" s="108"/>
      <c r="L7" s="108"/>
      <c r="M7" s="162"/>
      <c r="N7" s="162"/>
      <c r="O7" s="162"/>
    </row>
    <row r="8" s="254" customFormat="1" ht="35" customHeight="1" spans="1:15">
      <c r="A8" s="109" t="s">
        <v>42</v>
      </c>
      <c r="B8" s="109" t="s">
        <v>214</v>
      </c>
      <c r="C8" s="109" t="s">
        <v>227</v>
      </c>
      <c r="D8" s="110" t="s">
        <v>24</v>
      </c>
      <c r="E8" s="110" t="s">
        <v>25</v>
      </c>
      <c r="F8" s="110" t="s">
        <v>26</v>
      </c>
      <c r="G8" s="110" t="s">
        <v>27</v>
      </c>
      <c r="H8" s="110" t="s">
        <v>28</v>
      </c>
      <c r="I8" s="110" t="s">
        <v>29</v>
      </c>
      <c r="J8" s="110" t="s">
        <v>30</v>
      </c>
      <c r="K8" s="260"/>
      <c r="L8" s="162"/>
      <c r="M8" s="162"/>
      <c r="N8" s="162"/>
      <c r="O8" s="162"/>
    </row>
    <row r="9" s="254" customFormat="1" customHeight="1" spans="1:15">
      <c r="A9" s="113" t="s">
        <v>18</v>
      </c>
      <c r="B9" s="113" t="s">
        <v>153</v>
      </c>
      <c r="C9" s="113" t="s">
        <v>31</v>
      </c>
      <c r="D9" s="113">
        <v>17</v>
      </c>
      <c r="E9" s="113">
        <v>1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72"/>
      <c r="L9" s="162"/>
      <c r="M9" s="162"/>
      <c r="N9" s="162"/>
      <c r="O9" s="162"/>
    </row>
    <row r="10" s="254" customFormat="1" customHeight="1" spans="1:15">
      <c r="A10" s="113"/>
      <c r="B10" s="113"/>
      <c r="C10" s="113" t="s">
        <v>32</v>
      </c>
      <c r="D10" s="113">
        <v>72</v>
      </c>
      <c r="E10" s="113">
        <v>21</v>
      </c>
      <c r="F10" s="113">
        <v>4</v>
      </c>
      <c r="G10" s="113">
        <v>6</v>
      </c>
      <c r="H10" s="113">
        <v>0</v>
      </c>
      <c r="I10" s="113">
        <v>0</v>
      </c>
      <c r="J10" s="113">
        <v>110</v>
      </c>
      <c r="K10" s="172"/>
      <c r="L10" s="162"/>
      <c r="M10" s="162"/>
      <c r="N10" s="162"/>
      <c r="O10" s="162"/>
    </row>
    <row r="11" s="254" customFormat="1" customHeight="1" spans="1:15">
      <c r="A11" s="113" t="s">
        <v>18</v>
      </c>
      <c r="B11" s="113" t="s">
        <v>158</v>
      </c>
      <c r="C11" s="113" t="s">
        <v>31</v>
      </c>
      <c r="D11" s="113">
        <v>21</v>
      </c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72"/>
      <c r="L11" s="162"/>
      <c r="M11" s="162"/>
      <c r="N11" s="162"/>
      <c r="O11" s="162"/>
    </row>
    <row r="12" s="254" customFormat="1" customHeight="1" spans="1:15">
      <c r="A12" s="113"/>
      <c r="B12" s="113"/>
      <c r="C12" s="113" t="s">
        <v>32</v>
      </c>
      <c r="D12" s="113">
        <v>38</v>
      </c>
      <c r="E12" s="113">
        <v>3</v>
      </c>
      <c r="F12" s="113">
        <v>0</v>
      </c>
      <c r="G12" s="113">
        <v>2</v>
      </c>
      <c r="H12" s="113">
        <v>0</v>
      </c>
      <c r="I12" s="113">
        <v>0</v>
      </c>
      <c r="J12" s="113">
        <v>13</v>
      </c>
      <c r="K12" s="172"/>
      <c r="L12" s="162"/>
      <c r="M12" s="162"/>
      <c r="N12" s="162"/>
      <c r="O12" s="162"/>
    </row>
    <row r="13" s="254" customFormat="1" customHeight="1" spans="1:15">
      <c r="A13" s="109" t="s">
        <v>228</v>
      </c>
      <c r="B13" s="109"/>
      <c r="C13" s="113" t="s">
        <v>31</v>
      </c>
      <c r="D13" s="109">
        <f>D9+D11</f>
        <v>38</v>
      </c>
      <c r="E13" s="109">
        <f t="shared" ref="E13:J13" si="0">E9+E11</f>
        <v>1</v>
      </c>
      <c r="F13" s="109">
        <f t="shared" si="0"/>
        <v>0</v>
      </c>
      <c r="G13" s="109">
        <f t="shared" si="0"/>
        <v>0</v>
      </c>
      <c r="H13" s="109">
        <f t="shared" si="0"/>
        <v>0</v>
      </c>
      <c r="I13" s="109">
        <f t="shared" si="0"/>
        <v>0</v>
      </c>
      <c r="J13" s="109">
        <f t="shared" si="0"/>
        <v>0</v>
      </c>
      <c r="K13" s="260"/>
      <c r="L13" s="162"/>
      <c r="M13" s="162"/>
      <c r="N13" s="162"/>
      <c r="O13" s="162"/>
    </row>
    <row r="14" s="254" customFormat="1" customHeight="1" spans="1:15">
      <c r="A14" s="109"/>
      <c r="B14" s="109"/>
      <c r="C14" s="109" t="s">
        <v>32</v>
      </c>
      <c r="D14" s="109">
        <f>D10+D12</f>
        <v>110</v>
      </c>
      <c r="E14" s="109">
        <f t="shared" ref="E14:J14" si="1">E10+E12</f>
        <v>24</v>
      </c>
      <c r="F14" s="109">
        <f t="shared" si="1"/>
        <v>4</v>
      </c>
      <c r="G14" s="109">
        <f t="shared" si="1"/>
        <v>8</v>
      </c>
      <c r="H14" s="109">
        <f t="shared" si="1"/>
        <v>0</v>
      </c>
      <c r="I14" s="109">
        <f t="shared" si="1"/>
        <v>0</v>
      </c>
      <c r="J14" s="109">
        <f t="shared" si="1"/>
        <v>123</v>
      </c>
      <c r="K14" s="260"/>
      <c r="L14" s="162"/>
      <c r="M14" s="162"/>
      <c r="N14" s="162"/>
      <c r="O14" s="162"/>
    </row>
    <row r="15" s="254" customFormat="1" customHeight="1" spans="1:15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</row>
    <row r="16" s="252" customFormat="1" ht="28" customHeight="1" spans="1:15">
      <c r="A16" s="117"/>
      <c r="B16" s="117"/>
      <c r="C16" s="117"/>
      <c r="D16" s="117"/>
      <c r="E16" s="117"/>
      <c r="F16" s="117"/>
      <c r="G16" s="87"/>
      <c r="H16" s="87"/>
      <c r="I16" s="87"/>
      <c r="J16" s="87"/>
      <c r="K16" s="87"/>
      <c r="L16" s="87"/>
      <c r="M16" s="87"/>
      <c r="N16" s="87"/>
      <c r="O16" s="87"/>
    </row>
    <row r="17" s="252" customFormat="1" ht="28" customHeight="1" spans="1:15">
      <c r="A17" s="94" t="s">
        <v>275</v>
      </c>
      <c r="B17" s="94"/>
      <c r="C17" s="94"/>
      <c r="D17" s="94"/>
      <c r="E17" s="94"/>
      <c r="F17" s="94"/>
      <c r="G17" s="94"/>
      <c r="H17" s="87"/>
      <c r="I17" s="87"/>
      <c r="J17" s="87"/>
      <c r="K17" s="87"/>
      <c r="L17" s="87"/>
      <c r="M17" s="87"/>
      <c r="N17" s="87"/>
      <c r="O17" s="87"/>
    </row>
    <row r="18" s="252" customFormat="1" ht="28" customHeight="1" spans="1:15">
      <c r="A18" s="261" t="s">
        <v>230</v>
      </c>
      <c r="B18" s="262"/>
      <c r="C18" s="262"/>
      <c r="D18" s="262"/>
      <c r="E18" s="262"/>
      <c r="F18" s="263"/>
      <c r="G18" s="99"/>
      <c r="H18" s="87"/>
      <c r="I18" s="87"/>
      <c r="J18" s="87"/>
      <c r="K18" s="87"/>
      <c r="L18" s="87"/>
      <c r="M18" s="87"/>
      <c r="N18" s="87"/>
      <c r="O18" s="87"/>
    </row>
    <row r="19" s="252" customFormat="1" ht="28" customHeight="1" spans="1:15">
      <c r="A19" s="177" t="s">
        <v>42</v>
      </c>
      <c r="B19" s="177" t="s">
        <v>214</v>
      </c>
      <c r="C19" s="178" t="s">
        <v>232</v>
      </c>
      <c r="D19" s="178" t="s">
        <v>233</v>
      </c>
      <c r="E19" s="179" t="s">
        <v>276</v>
      </c>
      <c r="F19" s="178" t="s">
        <v>235</v>
      </c>
      <c r="G19" s="130"/>
      <c r="H19" s="87"/>
      <c r="I19" s="87"/>
      <c r="J19" s="87"/>
      <c r="K19" s="87"/>
      <c r="L19" s="87"/>
      <c r="M19" s="87"/>
      <c r="N19" s="87"/>
      <c r="O19" s="87"/>
    </row>
    <row r="20" s="252" customFormat="1" ht="35" customHeight="1" spans="1:15">
      <c r="A20" s="129" t="s">
        <v>18</v>
      </c>
      <c r="B20" s="129" t="s">
        <v>153</v>
      </c>
      <c r="C20" s="130" t="s">
        <v>277</v>
      </c>
      <c r="D20" s="130" t="s">
        <v>278</v>
      </c>
      <c r="E20" s="130">
        <v>8400</v>
      </c>
      <c r="F20" s="180" t="s">
        <v>279</v>
      </c>
      <c r="G20" s="130"/>
      <c r="H20" s="87"/>
      <c r="I20" s="87"/>
      <c r="J20" s="87"/>
      <c r="K20" s="87"/>
      <c r="L20" s="87"/>
      <c r="M20" s="87"/>
      <c r="N20" s="87"/>
      <c r="O20" s="87"/>
    </row>
    <row r="21" s="252" customFormat="1" ht="28" customHeight="1" spans="1:15">
      <c r="A21" s="177" t="s">
        <v>242</v>
      </c>
      <c r="B21" s="177"/>
      <c r="C21" s="177"/>
      <c r="D21" s="177"/>
      <c r="E21" s="178">
        <v>8400</v>
      </c>
      <c r="F21" s="178"/>
      <c r="G21" s="130"/>
      <c r="H21" s="87"/>
      <c r="I21" s="87"/>
      <c r="J21" s="87"/>
      <c r="K21" s="87"/>
      <c r="L21" s="87"/>
      <c r="M21" s="87"/>
      <c r="N21" s="87"/>
      <c r="O21" s="87"/>
    </row>
    <row r="22" s="252" customFormat="1" ht="28" customHeight="1" spans="1:15">
      <c r="A22" s="182" t="s">
        <v>243</v>
      </c>
      <c r="B22" s="182"/>
      <c r="C22" s="182"/>
      <c r="D22" s="182"/>
      <c r="E22" s="182"/>
      <c r="F22" s="182"/>
      <c r="G22" s="130"/>
      <c r="H22" s="87"/>
      <c r="I22" s="87"/>
      <c r="J22" s="87"/>
      <c r="K22" s="87"/>
      <c r="L22" s="87"/>
      <c r="M22" s="87"/>
      <c r="N22" s="87"/>
      <c r="O22" s="87"/>
    </row>
    <row r="23" s="252" customFormat="1" ht="28" customHeight="1" spans="1:15">
      <c r="A23" s="177" t="s">
        <v>42</v>
      </c>
      <c r="B23" s="177" t="s">
        <v>231</v>
      </c>
      <c r="C23" s="178" t="s">
        <v>232</v>
      </c>
      <c r="D23" s="178" t="s">
        <v>233</v>
      </c>
      <c r="E23" s="179" t="s">
        <v>276</v>
      </c>
      <c r="F23" s="178" t="s">
        <v>235</v>
      </c>
      <c r="G23" s="130"/>
      <c r="H23" s="87"/>
      <c r="I23" s="87"/>
      <c r="J23" s="87"/>
      <c r="K23" s="87"/>
      <c r="L23" s="87"/>
      <c r="M23" s="87"/>
      <c r="N23" s="87"/>
      <c r="O23" s="87"/>
    </row>
    <row r="24" s="252" customFormat="1" ht="28" customHeight="1" spans="1:15">
      <c r="A24" s="129" t="s">
        <v>18</v>
      </c>
      <c r="B24" s="129" t="s">
        <v>153</v>
      </c>
      <c r="C24" s="130" t="s">
        <v>280</v>
      </c>
      <c r="D24" s="130" t="s">
        <v>281</v>
      </c>
      <c r="E24" s="130">
        <v>1200</v>
      </c>
      <c r="F24" s="130" t="s">
        <v>282</v>
      </c>
      <c r="G24" s="130"/>
      <c r="H24" s="87"/>
      <c r="I24" s="87"/>
      <c r="J24" s="87"/>
      <c r="K24" s="87"/>
      <c r="L24" s="87"/>
      <c r="M24" s="87"/>
      <c r="N24" s="87"/>
      <c r="O24" s="87"/>
    </row>
    <row r="25" s="252" customFormat="1" ht="28" customHeight="1" spans="1:15">
      <c r="A25" s="129" t="s">
        <v>18</v>
      </c>
      <c r="B25" s="129" t="s">
        <v>158</v>
      </c>
      <c r="C25" s="181" t="s">
        <v>283</v>
      </c>
      <c r="D25" s="264" t="s">
        <v>284</v>
      </c>
      <c r="E25" s="188">
        <v>400</v>
      </c>
      <c r="F25" s="181" t="s">
        <v>285</v>
      </c>
      <c r="G25" s="130"/>
      <c r="H25" s="87"/>
      <c r="I25" s="87"/>
      <c r="J25" s="87"/>
      <c r="K25" s="87"/>
      <c r="L25" s="87"/>
      <c r="M25" s="87"/>
      <c r="N25" s="87"/>
      <c r="O25" s="87"/>
    </row>
    <row r="26" s="252" customFormat="1" ht="28" customHeight="1" spans="1:15">
      <c r="A26" s="177" t="s">
        <v>242</v>
      </c>
      <c r="B26" s="177"/>
      <c r="C26" s="177"/>
      <c r="D26" s="177"/>
      <c r="E26" s="178">
        <f>E24+E25</f>
        <v>1600</v>
      </c>
      <c r="F26" s="178"/>
      <c r="G26" s="130"/>
      <c r="H26" s="87"/>
      <c r="I26" s="87"/>
      <c r="J26" s="87"/>
      <c r="K26" s="87"/>
      <c r="L26" s="87"/>
      <c r="M26" s="87"/>
      <c r="N26" s="87"/>
      <c r="O26" s="87"/>
    </row>
    <row r="27" s="1" customFormat="1" customHeight="1" spans="1:15">
      <c r="A27" s="182" t="s">
        <v>253</v>
      </c>
      <c r="B27" s="182"/>
      <c r="C27" s="182"/>
      <c r="D27" s="182"/>
      <c r="E27" s="265"/>
      <c r="F27" s="265"/>
      <c r="G27" s="76"/>
      <c r="H27" s="117"/>
      <c r="I27" s="117"/>
      <c r="J27" s="117"/>
      <c r="K27" s="117"/>
      <c r="L27" s="117"/>
      <c r="M27" s="117"/>
      <c r="N27" s="117"/>
      <c r="O27" s="117"/>
    </row>
    <row r="28" s="252" customFormat="1" customHeight="1" spans="1:15">
      <c r="A28" s="266" t="s">
        <v>42</v>
      </c>
      <c r="B28" s="266" t="s">
        <v>231</v>
      </c>
      <c r="C28" s="266" t="s">
        <v>232</v>
      </c>
      <c r="D28" s="266" t="s">
        <v>233</v>
      </c>
      <c r="E28" s="267" t="s">
        <v>234</v>
      </c>
      <c r="F28" s="178" t="s">
        <v>235</v>
      </c>
      <c r="G28" s="76"/>
      <c r="H28" s="117"/>
      <c r="I28" s="117"/>
      <c r="J28" s="117"/>
      <c r="K28" s="117"/>
      <c r="L28" s="117"/>
      <c r="M28" s="117"/>
      <c r="N28" s="117"/>
      <c r="O28" s="117"/>
    </row>
    <row r="29" s="252" customFormat="1" customHeight="1" spans="1:15">
      <c r="A29" s="129" t="s">
        <v>18</v>
      </c>
      <c r="B29" s="129" t="s">
        <v>153</v>
      </c>
      <c r="C29" s="129" t="s">
        <v>286</v>
      </c>
      <c r="D29" s="131" t="s">
        <v>287</v>
      </c>
      <c r="E29" s="210">
        <v>15636</v>
      </c>
      <c r="F29" s="211"/>
      <c r="G29" s="76"/>
      <c r="H29" s="117"/>
      <c r="I29" s="117"/>
      <c r="J29" s="117"/>
      <c r="K29" s="117"/>
      <c r="L29" s="117"/>
      <c r="M29" s="117"/>
      <c r="N29" s="117"/>
      <c r="O29" s="117"/>
    </row>
    <row r="30" s="252" customFormat="1" customHeight="1" spans="1:15">
      <c r="A30" s="266" t="s">
        <v>242</v>
      </c>
      <c r="B30" s="266"/>
      <c r="C30" s="266"/>
      <c r="D30" s="266"/>
      <c r="E30" s="211">
        <f>SUM(E29:E29)</f>
        <v>15636</v>
      </c>
      <c r="F30" s="211"/>
      <c r="G30" s="76"/>
      <c r="H30" s="117"/>
      <c r="I30" s="117"/>
      <c r="J30" s="117"/>
      <c r="K30" s="117"/>
      <c r="L30" s="117"/>
      <c r="M30" s="117"/>
      <c r="N30" s="117"/>
      <c r="O30" s="117"/>
    </row>
    <row r="31" s="252" customFormat="1" customHeight="1" spans="1:15">
      <c r="A31" s="266" t="s">
        <v>242</v>
      </c>
      <c r="B31" s="266"/>
      <c r="C31" s="266"/>
      <c r="D31" s="266"/>
      <c r="E31" s="211">
        <f>SUM(E29:E30)</f>
        <v>31272</v>
      </c>
      <c r="F31" s="211"/>
      <c r="G31" s="76"/>
      <c r="H31" s="117"/>
      <c r="I31" s="117"/>
      <c r="J31" s="117"/>
      <c r="K31" s="117"/>
      <c r="L31" s="117"/>
      <c r="M31" s="117"/>
      <c r="N31" s="117"/>
      <c r="O31" s="117"/>
    </row>
    <row r="32" s="252" customFormat="1" customHeight="1" spans="1:15">
      <c r="A32" s="268"/>
      <c r="B32" s="268"/>
      <c r="C32" s="268"/>
      <c r="D32" s="268"/>
      <c r="E32" s="268"/>
      <c r="F32" s="268"/>
      <c r="G32" s="117"/>
      <c r="H32" s="117"/>
      <c r="I32" s="117"/>
      <c r="J32" s="117"/>
      <c r="K32" s="117"/>
      <c r="L32" s="117"/>
      <c r="M32" s="117"/>
      <c r="N32" s="117"/>
      <c r="O32" s="117"/>
    </row>
    <row r="33" s="252" customFormat="1" customHeight="1" spans="1:22">
      <c r="A33" s="268"/>
      <c r="B33" s="268"/>
      <c r="C33" s="268"/>
      <c r="D33" s="268"/>
      <c r="E33" s="268"/>
      <c r="F33" s="268"/>
      <c r="G33" s="117"/>
      <c r="H33" s="117"/>
      <c r="I33" s="117"/>
      <c r="J33" s="117"/>
      <c r="K33" s="117"/>
      <c r="L33" s="117"/>
      <c r="M33" s="117"/>
      <c r="N33" s="117"/>
      <c r="O33" s="117"/>
    </row>
    <row r="34" s="252" customFormat="1" customHeight="1" spans="1:22">
      <c r="A34" s="268"/>
      <c r="B34" s="268"/>
      <c r="C34" s="268"/>
      <c r="D34" s="268"/>
      <c r="E34" s="268"/>
      <c r="F34" s="268"/>
      <c r="G34" s="117"/>
      <c r="H34" s="117"/>
      <c r="I34" s="117"/>
      <c r="J34" s="117"/>
      <c r="K34" s="117"/>
      <c r="L34" s="117"/>
      <c r="M34" s="117"/>
      <c r="N34" s="117"/>
      <c r="O34" s="117"/>
    </row>
    <row r="35" s="252" customFormat="1" customHeight="1" spans="1:22">
      <c r="A35" s="105" t="s">
        <v>257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7"/>
      <c r="N35" s="108"/>
      <c r="O35" s="108"/>
    </row>
    <row r="36" s="252" customFormat="1" ht="60" customHeight="1" spans="1:22">
      <c r="A36" s="109" t="s">
        <v>213</v>
      </c>
      <c r="B36" s="109" t="s">
        <v>214</v>
      </c>
      <c r="C36" s="109" t="s">
        <v>227</v>
      </c>
      <c r="D36" s="110" t="s">
        <v>258</v>
      </c>
      <c r="E36" s="110" t="s">
        <v>259</v>
      </c>
      <c r="F36" s="110" t="s">
        <v>260</v>
      </c>
      <c r="G36" s="110" t="s">
        <v>261</v>
      </c>
      <c r="H36" s="110" t="s">
        <v>262</v>
      </c>
      <c r="I36" s="110" t="s">
        <v>263</v>
      </c>
      <c r="J36" s="110" t="s">
        <v>264</v>
      </c>
      <c r="K36" s="110" t="s">
        <v>228</v>
      </c>
      <c r="L36" s="110" t="s">
        <v>265</v>
      </c>
      <c r="M36" s="110" t="s">
        <v>266</v>
      </c>
      <c r="N36" s="256"/>
      <c r="O36" s="256"/>
    </row>
    <row r="37" s="252" customFormat="1" customHeight="1" spans="1:22">
      <c r="A37" s="269" t="s">
        <v>18</v>
      </c>
      <c r="B37" s="269" t="s">
        <v>153</v>
      </c>
      <c r="C37" s="62" t="s">
        <v>31</v>
      </c>
      <c r="D37" s="270"/>
      <c r="E37" s="270">
        <v>3274.6</v>
      </c>
      <c r="F37" s="270">
        <v>167</v>
      </c>
      <c r="G37" s="270"/>
      <c r="H37" s="270"/>
      <c r="I37" s="270"/>
      <c r="J37" s="270"/>
      <c r="K37" s="270">
        <v>3441.6</v>
      </c>
      <c r="L37" s="136" t="s">
        <v>11</v>
      </c>
      <c r="M37" s="136" t="s">
        <v>11</v>
      </c>
      <c r="N37" s="137"/>
      <c r="O37" s="137"/>
    </row>
    <row r="38" s="252" customFormat="1" customHeight="1" spans="1:22">
      <c r="A38" s="269"/>
      <c r="B38" s="269"/>
      <c r="C38" s="62" t="s">
        <v>267</v>
      </c>
      <c r="D38" s="270">
        <v>47.4</v>
      </c>
      <c r="E38" s="270">
        <v>37150.34</v>
      </c>
      <c r="F38" s="270">
        <v>1670.63</v>
      </c>
      <c r="G38" s="270">
        <v>200</v>
      </c>
      <c r="H38" s="270">
        <v>225.26</v>
      </c>
      <c r="I38" s="270"/>
      <c r="J38" s="270">
        <v>370.58</v>
      </c>
      <c r="K38" s="270">
        <v>39664.21</v>
      </c>
      <c r="L38" s="136"/>
      <c r="M38" s="136"/>
      <c r="N38" s="137"/>
      <c r="O38" s="137"/>
    </row>
    <row r="39" s="252" customFormat="1" customHeight="1" spans="1:22">
      <c r="A39" s="269" t="s">
        <v>18</v>
      </c>
      <c r="B39" s="269" t="s">
        <v>158</v>
      </c>
      <c r="C39" s="62" t="s">
        <v>31</v>
      </c>
      <c r="D39" s="270"/>
      <c r="E39" s="270"/>
      <c r="F39" s="270"/>
      <c r="G39" s="270"/>
      <c r="H39" s="270"/>
      <c r="I39" s="270"/>
      <c r="J39" s="270"/>
      <c r="K39" s="270">
        <v>0</v>
      </c>
      <c r="L39" s="136" t="s">
        <v>11</v>
      </c>
      <c r="M39" s="136" t="s">
        <v>11</v>
      </c>
      <c r="N39" s="137"/>
      <c r="O39" s="137"/>
    </row>
    <row r="40" s="252" customFormat="1" customHeight="1" spans="1:22">
      <c r="A40" s="269"/>
      <c r="B40" s="269"/>
      <c r="C40" s="62" t="s">
        <v>267</v>
      </c>
      <c r="D40" s="270"/>
      <c r="E40" s="270">
        <v>7619.89</v>
      </c>
      <c r="F40" s="270">
        <v>3595.93</v>
      </c>
      <c r="G40" s="270"/>
      <c r="H40" s="270">
        <v>15</v>
      </c>
      <c r="I40" s="270"/>
      <c r="J40" s="270"/>
      <c r="K40" s="270">
        <v>11230.82</v>
      </c>
      <c r="L40" s="136"/>
      <c r="M40" s="136"/>
      <c r="N40" s="137"/>
      <c r="O40" s="137"/>
    </row>
    <row r="41" s="252" customFormat="1" customHeight="1" spans="1:22">
      <c r="A41" s="271" t="s">
        <v>228</v>
      </c>
      <c r="B41" s="271"/>
      <c r="C41" s="72" t="s">
        <v>31</v>
      </c>
      <c r="D41" s="272">
        <f>D37+D39</f>
        <v>0</v>
      </c>
      <c r="E41" s="272">
        <f t="shared" ref="E41:K41" si="2">E37+E39</f>
        <v>3274.6</v>
      </c>
      <c r="F41" s="272">
        <f t="shared" si="2"/>
        <v>167</v>
      </c>
      <c r="G41" s="272">
        <f t="shared" si="2"/>
        <v>0</v>
      </c>
      <c r="H41" s="272">
        <f t="shared" si="2"/>
        <v>0</v>
      </c>
      <c r="I41" s="272">
        <f t="shared" si="2"/>
        <v>0</v>
      </c>
      <c r="J41" s="272">
        <f t="shared" si="2"/>
        <v>0</v>
      </c>
      <c r="K41" s="272">
        <f>SUM(D41:J41)</f>
        <v>3441.6</v>
      </c>
      <c r="L41" s="136" t="s">
        <v>11</v>
      </c>
      <c r="M41" s="136" t="s">
        <v>11</v>
      </c>
      <c r="N41" s="137"/>
      <c r="O41" s="137"/>
    </row>
    <row r="42" s="252" customFormat="1" customHeight="1" spans="1:22">
      <c r="A42" s="271"/>
      <c r="B42" s="271"/>
      <c r="C42" s="271" t="s">
        <v>267</v>
      </c>
      <c r="D42" s="272">
        <f>D38+D40</f>
        <v>47.4</v>
      </c>
      <c r="E42" s="272">
        <f t="shared" ref="E42:K42" si="3">E38+E40</f>
        <v>44770.23</v>
      </c>
      <c r="F42" s="272">
        <f t="shared" si="3"/>
        <v>5266.56</v>
      </c>
      <c r="G42" s="272">
        <f t="shared" si="3"/>
        <v>200</v>
      </c>
      <c r="H42" s="272">
        <f t="shared" si="3"/>
        <v>240.26</v>
      </c>
      <c r="I42" s="272">
        <f t="shared" si="3"/>
        <v>0</v>
      </c>
      <c r="J42" s="272">
        <f t="shared" si="3"/>
        <v>370.58</v>
      </c>
      <c r="K42" s="272">
        <f>SUM(D42:J42)</f>
        <v>50895.03</v>
      </c>
      <c r="L42" s="136"/>
      <c r="M42" s="136"/>
      <c r="N42" s="137"/>
      <c r="O42" s="137"/>
    </row>
    <row r="43" s="255" customFormat="1" customHeight="1" spans="1:22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</row>
    <row r="44" s="256" customFormat="1" customHeight="1" spans="1:22">
      <c r="A44" s="94" t="s">
        <v>268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1"/>
    </row>
    <row r="45" s="92" customFormat="1" ht="33" spans="1:22">
      <c r="A45" s="196" t="s">
        <v>41</v>
      </c>
      <c r="B45" s="196" t="s">
        <v>42</v>
      </c>
      <c r="C45" s="196" t="s">
        <v>43</v>
      </c>
      <c r="D45" s="196" t="s">
        <v>44</v>
      </c>
      <c r="E45" s="197" t="s">
        <v>45</v>
      </c>
      <c r="F45" s="196" t="s">
        <v>46</v>
      </c>
      <c r="G45" s="196" t="s">
        <v>47</v>
      </c>
      <c r="H45" s="196" t="s">
        <v>48</v>
      </c>
      <c r="I45" s="196" t="s">
        <v>49</v>
      </c>
      <c r="J45" s="196" t="s">
        <v>50</v>
      </c>
      <c r="K45" s="196" t="s">
        <v>51</v>
      </c>
      <c r="L45" s="196" t="s">
        <v>52</v>
      </c>
      <c r="M45" s="196" t="s">
        <v>53</v>
      </c>
      <c r="N45" s="196" t="s">
        <v>54</v>
      </c>
      <c r="O45" s="196" t="s">
        <v>55</v>
      </c>
      <c r="P45" s="196" t="s">
        <v>56</v>
      </c>
      <c r="Q45" s="196" t="s">
        <v>57</v>
      </c>
      <c r="R45" s="196" t="s">
        <v>58</v>
      </c>
      <c r="S45" s="196" t="s">
        <v>59</v>
      </c>
      <c r="T45" s="196" t="s">
        <v>60</v>
      </c>
      <c r="U45" s="196" t="s">
        <v>61</v>
      </c>
      <c r="V45" s="196" t="s">
        <v>62</v>
      </c>
    </row>
    <row r="46" s="257" customFormat="1" customHeight="1" spans="1:22">
      <c r="A46" s="140">
        <v>1</v>
      </c>
      <c r="B46" s="140" t="s">
        <v>151</v>
      </c>
      <c r="C46" s="140" t="s">
        <v>102</v>
      </c>
      <c r="D46" s="141" t="s">
        <v>152</v>
      </c>
      <c r="E46" s="142">
        <v>45231</v>
      </c>
      <c r="F46" s="140" t="s">
        <v>153</v>
      </c>
      <c r="G46" s="140" t="s">
        <v>67</v>
      </c>
      <c r="H46" s="273">
        <v>480000</v>
      </c>
      <c r="I46" s="273">
        <v>3409488</v>
      </c>
      <c r="J46" s="141" t="s">
        <v>154</v>
      </c>
      <c r="K46" s="273">
        <v>426549.24</v>
      </c>
      <c r="L46" s="273">
        <v>2727895.2</v>
      </c>
      <c r="M46" s="274">
        <v>53450.76</v>
      </c>
      <c r="N46" s="274">
        <v>362545.814928</v>
      </c>
      <c r="O46" s="146">
        <v>0.88864425</v>
      </c>
      <c r="P46" s="147" t="s">
        <v>155</v>
      </c>
      <c r="Q46" s="273">
        <v>53450.76</v>
      </c>
      <c r="R46" s="273"/>
      <c r="S46" s="141" t="s">
        <v>134</v>
      </c>
      <c r="T46" s="147" t="s">
        <v>156</v>
      </c>
      <c r="U46" s="274"/>
      <c r="V46" s="274"/>
    </row>
    <row r="47" s="257" customFormat="1" customHeight="1" spans="1:22">
      <c r="A47" s="140">
        <v>2</v>
      </c>
      <c r="B47" s="140" t="s">
        <v>151</v>
      </c>
      <c r="C47" s="140" t="s">
        <v>64</v>
      </c>
      <c r="D47" s="147" t="s">
        <v>157</v>
      </c>
      <c r="E47" s="142">
        <v>45883</v>
      </c>
      <c r="F47" s="140" t="s">
        <v>158</v>
      </c>
      <c r="G47" s="140" t="s">
        <v>67</v>
      </c>
      <c r="H47" s="273">
        <v>2750000</v>
      </c>
      <c r="I47" s="273">
        <v>19617675</v>
      </c>
      <c r="J47" s="141" t="s">
        <v>159</v>
      </c>
      <c r="K47" s="273">
        <v>825000</v>
      </c>
      <c r="L47" s="273">
        <v>5854131.25</v>
      </c>
      <c r="M47" s="274">
        <v>1925000</v>
      </c>
      <c r="N47" s="274">
        <v>13056890</v>
      </c>
      <c r="O47" s="146">
        <v>0.3</v>
      </c>
      <c r="P47" s="147" t="s">
        <v>160</v>
      </c>
      <c r="Q47" s="273"/>
      <c r="R47" s="273">
        <v>1925000</v>
      </c>
      <c r="S47" s="141"/>
      <c r="T47" s="147"/>
      <c r="U47" s="274"/>
      <c r="V47" s="274"/>
    </row>
    <row r="48" s="93" customFormat="1" ht="25" customHeight="1" spans="1:22">
      <c r="A48" s="148"/>
      <c r="B48" s="148"/>
      <c r="C48" s="148"/>
      <c r="D48" s="149" t="s">
        <v>269</v>
      </c>
      <c r="E48" s="142"/>
      <c r="F48" s="148"/>
      <c r="G48" s="148"/>
      <c r="H48" s="150">
        <f>SUMIF(G:G,"美元",H:H)</f>
        <v>3230000</v>
      </c>
      <c r="I48" s="150">
        <f>SUMIF(G:G,"美元",I:I)</f>
        <v>23027163</v>
      </c>
      <c r="J48" s="148"/>
      <c r="K48" s="150">
        <f>SUMIF(G:G,"美元",K:K)</f>
        <v>1251549.24</v>
      </c>
      <c r="L48" s="150">
        <f>SUMIF(G:G,"美元",L:L)</f>
        <v>8582026.45</v>
      </c>
      <c r="M48" s="150">
        <f>SUMIF(G:G,"美元",M:M)</f>
        <v>1978450.76</v>
      </c>
      <c r="N48" s="275">
        <f>SUMIF(G:G,"美元",N:N)</f>
        <v>13419435.814928</v>
      </c>
      <c r="O48" s="276"/>
      <c r="P48" s="148"/>
      <c r="Q48" s="150">
        <f>SUMIF(G:G,"美元",Q:Q)</f>
        <v>53450.76</v>
      </c>
      <c r="R48" s="150">
        <f>SUMIF(G:G,"美元",R:R)</f>
        <v>1925000</v>
      </c>
      <c r="S48" s="148"/>
      <c r="T48" s="153"/>
      <c r="U48" s="150">
        <f>SUMIF(G:G,"美元",U:U)</f>
        <v>0</v>
      </c>
      <c r="V48" s="275">
        <f>SUMIF(G:G,"美元",V:V)</f>
        <v>0</v>
      </c>
    </row>
    <row r="49" s="93" customFormat="1" ht="25" customHeight="1" spans="1:22">
      <c r="A49" s="148"/>
      <c r="B49" s="148"/>
      <c r="C49" s="148"/>
      <c r="D49" s="149" t="s">
        <v>270</v>
      </c>
      <c r="E49" s="142"/>
      <c r="F49" s="148"/>
      <c r="G49" s="148"/>
      <c r="H49" s="150">
        <f>SUMIF(G:G,"人民币",H:H)</f>
        <v>0</v>
      </c>
      <c r="I49" s="150">
        <f>SUMIF(G:G,"人民币",I:I)</f>
        <v>0</v>
      </c>
      <c r="J49" s="148"/>
      <c r="K49" s="150">
        <f>SUMIF(G:G,"人民币",K:K)</f>
        <v>0</v>
      </c>
      <c r="L49" s="150">
        <f>SUMIF(G:G,"人民币",L:L)</f>
        <v>0</v>
      </c>
      <c r="M49" s="150">
        <f>SUMIF(G:G,"人民币",M:M)</f>
        <v>0</v>
      </c>
      <c r="N49" s="275">
        <f>SUMIF(G:G,"人民币",N:N)</f>
        <v>0</v>
      </c>
      <c r="O49" s="276"/>
      <c r="P49" s="148"/>
      <c r="Q49" s="150">
        <f>SUMIF(G:G,"人民币",Q:Q)</f>
        <v>0</v>
      </c>
      <c r="R49" s="150">
        <f>SUMIF(G:G,"人民币",R:R)</f>
        <v>0</v>
      </c>
      <c r="S49" s="148"/>
      <c r="T49" s="153"/>
      <c r="U49" s="150">
        <f>SUMIF(G:G,"人民币",U:U)</f>
        <v>0</v>
      </c>
      <c r="V49" s="275">
        <f>SUMIF(G:G,"人民币",V:V)</f>
        <v>0</v>
      </c>
    </row>
    <row r="50" s="93" customFormat="1" ht="25" customHeight="1" spans="1:22">
      <c r="A50" s="148"/>
      <c r="B50" s="148"/>
      <c r="C50" s="148"/>
      <c r="D50" s="149" t="s">
        <v>271</v>
      </c>
      <c r="E50" s="155"/>
      <c r="F50" s="148"/>
      <c r="G50" s="140"/>
      <c r="H50" s="148"/>
      <c r="I50" s="150">
        <f t="shared" ref="I50:N50" si="4">I48+I49</f>
        <v>23027163</v>
      </c>
      <c r="J50" s="148"/>
      <c r="K50" s="150"/>
      <c r="L50" s="150">
        <f t="shared" si="4"/>
        <v>8582026.45</v>
      </c>
      <c r="M50" s="150">
        <f t="shared" si="4"/>
        <v>1978450.76</v>
      </c>
      <c r="N50" s="275">
        <f t="shared" si="4"/>
        <v>13419435.814928</v>
      </c>
      <c r="O50" s="148"/>
      <c r="P50" s="148"/>
      <c r="Q50" s="148"/>
      <c r="R50" s="148"/>
      <c r="S50" s="148"/>
      <c r="T50" s="153"/>
      <c r="U50" s="150">
        <f>U48+U49</f>
        <v>0</v>
      </c>
      <c r="V50" s="275">
        <f>V48+V49</f>
        <v>0</v>
      </c>
    </row>
    <row r="51" s="92" customFormat="1" ht="15" spans="1:22">
      <c r="A51" s="156"/>
      <c r="B51" s="157"/>
      <c r="C51" s="157"/>
      <c r="E51" s="158"/>
      <c r="T51" s="159"/>
    </row>
    <row r="52" s="92" customFormat="1" ht="15" spans="1:22">
      <c r="A52" s="156"/>
      <c r="B52" s="157"/>
      <c r="C52" s="157"/>
      <c r="E52" s="158"/>
    </row>
    <row r="53" s="92" customFormat="1" ht="15" spans="1:22">
      <c r="A53" s="160" t="s">
        <v>272</v>
      </c>
      <c r="B53" s="157"/>
      <c r="C53" s="157"/>
      <c r="E53" s="158"/>
    </row>
    <row r="54" s="92" customFormat="1" ht="15" spans="1:22">
      <c r="A54" s="161" t="s">
        <v>273</v>
      </c>
      <c r="B54" s="157"/>
      <c r="C54" s="157"/>
      <c r="E54" s="158"/>
    </row>
  </sheetData>
  <mergeCells count="35">
    <mergeCell ref="A1:K1"/>
    <mergeCell ref="A5:B5"/>
    <mergeCell ref="A7:J7"/>
    <mergeCell ref="A17:G17"/>
    <mergeCell ref="A18:F18"/>
    <mergeCell ref="A21:D21"/>
    <mergeCell ref="A22:F22"/>
    <mergeCell ref="A26:D26"/>
    <mergeCell ref="A27:F27"/>
    <mergeCell ref="A30:D30"/>
    <mergeCell ref="A31:D31"/>
    <mergeCell ref="A35:M35"/>
    <mergeCell ref="A44:N44"/>
    <mergeCell ref="A9:A10"/>
    <mergeCell ref="A11:A12"/>
    <mergeCell ref="A37:A38"/>
    <mergeCell ref="A39:A40"/>
    <mergeCell ref="B9:B10"/>
    <mergeCell ref="B11:B12"/>
    <mergeCell ref="B37:B38"/>
    <mergeCell ref="B39:B40"/>
    <mergeCell ref="L37:L38"/>
    <mergeCell ref="L39:L40"/>
    <mergeCell ref="L41:L42"/>
    <mergeCell ref="M37:M38"/>
    <mergeCell ref="M39:M40"/>
    <mergeCell ref="M41:M42"/>
    <mergeCell ref="N37:N38"/>
    <mergeCell ref="N39:N40"/>
    <mergeCell ref="N41:N42"/>
    <mergeCell ref="O37:O38"/>
    <mergeCell ref="O39:O40"/>
    <mergeCell ref="O41:O42"/>
    <mergeCell ref="A13:B14"/>
    <mergeCell ref="A41:B42"/>
  </mergeCells>
  <pageMargins left="0.75" right="0.75" top="1" bottom="1" header="0.5" footer="0.5"/>
  <pageSetup paperSize="8" scale="40" orientation="landscape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7"/>
  <sheetViews>
    <sheetView zoomScale="50" zoomScaleNormal="50" topLeftCell="A33" workbookViewId="0">
      <selection activeCell="C46" sqref="C46"/>
    </sheetView>
  </sheetViews>
  <sheetFormatPr defaultColWidth="20.1272727272727" defaultRowHeight="30" customHeight="1"/>
  <cols>
    <col min="1" max="1" width="14.4181818181818" style="87" customWidth="1"/>
    <col min="2" max="2" width="15.3181818181818" style="87" customWidth="1"/>
    <col min="3" max="3" width="47.5727272727273" style="87" customWidth="1"/>
    <col min="4" max="4" width="29.6090909090909" style="87" customWidth="1"/>
    <col min="5" max="5" width="15.5" style="87" customWidth="1"/>
    <col min="6" max="6" width="19.2181818181818" style="87" customWidth="1"/>
    <col min="7" max="7" width="17.2727272727273" style="87" customWidth="1"/>
    <col min="8" max="8" width="20" style="87" customWidth="1"/>
    <col min="9" max="9" width="15.5" style="87" customWidth="1"/>
    <col min="10" max="10" width="19.6727272727273" style="87" customWidth="1"/>
    <col min="11" max="11" width="28.9636363636364" style="87" customWidth="1"/>
    <col min="12" max="12" width="20.3727272727273" style="87" customWidth="1"/>
    <col min="13" max="13" width="12.7272727272727" style="87" customWidth="1"/>
    <col min="14" max="14" width="25.5818181818182" style="87" customWidth="1"/>
    <col min="15" max="16380" width="20.1272727272727" style="87" customWidth="1"/>
    <col min="16381" max="16384" width="20.1272727272727" style="87"/>
  </cols>
  <sheetData>
    <row r="1" s="87" customFormat="1" customHeight="1" spans="1:12">
      <c r="A1" s="94" t="s">
        <v>212</v>
      </c>
      <c r="B1" s="94"/>
      <c r="C1" s="95"/>
      <c r="D1" s="95"/>
      <c r="E1" s="95"/>
      <c r="F1" s="95"/>
      <c r="G1" s="95"/>
      <c r="H1" s="95"/>
      <c r="I1" s="95"/>
      <c r="J1" s="95"/>
      <c r="K1" s="95"/>
    </row>
    <row r="2" s="87" customFormat="1" ht="48" customHeight="1" spans="1:12">
      <c r="A2" s="96" t="s">
        <v>213</v>
      </c>
      <c r="B2" s="96" t="s">
        <v>214</v>
      </c>
      <c r="C2" s="97" t="s">
        <v>215</v>
      </c>
      <c r="D2" s="97" t="s">
        <v>216</v>
      </c>
      <c r="E2" s="97" t="s">
        <v>217</v>
      </c>
      <c r="F2" s="97" t="s">
        <v>218</v>
      </c>
      <c r="G2" s="97" t="s">
        <v>219</v>
      </c>
      <c r="H2" s="97" t="s">
        <v>220</v>
      </c>
      <c r="I2" s="97" t="s">
        <v>221</v>
      </c>
      <c r="J2" s="97" t="s">
        <v>222</v>
      </c>
      <c r="K2" s="97" t="s">
        <v>274</v>
      </c>
    </row>
    <row r="3" s="87" customFormat="1" customHeight="1" spans="1:12">
      <c r="A3" s="98" t="s">
        <v>19</v>
      </c>
      <c r="B3" s="98" t="s">
        <v>165</v>
      </c>
      <c r="C3" s="130">
        <v>3300</v>
      </c>
      <c r="D3" s="100">
        <v>990</v>
      </c>
      <c r="E3" s="101">
        <v>0</v>
      </c>
      <c r="F3" s="102">
        <f>E3/C3</f>
        <v>0</v>
      </c>
      <c r="G3" s="101">
        <v>10.48</v>
      </c>
      <c r="H3" s="102">
        <f>G3/C3</f>
        <v>0.00317575757575758</v>
      </c>
      <c r="I3" s="101">
        <f>C3-G3</f>
        <v>3289.52</v>
      </c>
      <c r="J3" s="102">
        <f>I3/C3</f>
        <v>0.996824242424242</v>
      </c>
      <c r="K3" s="228">
        <v>520</v>
      </c>
    </row>
    <row r="4" s="87" customFormat="1" customHeight="1" spans="1:12">
      <c r="A4" s="98" t="s">
        <v>19</v>
      </c>
      <c r="B4" s="98" t="s">
        <v>163</v>
      </c>
      <c r="C4" s="130">
        <v>2200</v>
      </c>
      <c r="D4" s="100">
        <v>660</v>
      </c>
      <c r="E4" s="101">
        <v>0</v>
      </c>
      <c r="F4" s="166">
        <v>0</v>
      </c>
      <c r="G4" s="101">
        <v>20.08</v>
      </c>
      <c r="H4" s="102">
        <f>G4/C4</f>
        <v>0.00912727272727273</v>
      </c>
      <c r="I4" s="101">
        <f>C4-G4</f>
        <v>2179.92</v>
      </c>
      <c r="J4" s="102">
        <f>I4/C4</f>
        <v>0.990872727272727</v>
      </c>
      <c r="K4" s="228">
        <v>400</v>
      </c>
    </row>
    <row r="5" s="204" customFormat="1" customHeight="1" spans="1:12">
      <c r="A5" s="96" t="s">
        <v>225</v>
      </c>
      <c r="B5" s="96"/>
      <c r="C5" s="96">
        <f>SUM(C3:C4)</f>
        <v>5500</v>
      </c>
      <c r="D5" s="229">
        <f t="shared" ref="D5:G5" si="0">D3+D4</f>
        <v>1650</v>
      </c>
      <c r="E5" s="229">
        <f t="shared" si="0"/>
        <v>0</v>
      </c>
      <c r="F5" s="166">
        <f>E5/C5</f>
        <v>0</v>
      </c>
      <c r="G5" s="229">
        <f t="shared" si="0"/>
        <v>30.56</v>
      </c>
      <c r="H5" s="102">
        <f>G5/C5</f>
        <v>0.00555636363636364</v>
      </c>
      <c r="I5" s="229">
        <f>I3+I4</f>
        <v>5469.44</v>
      </c>
      <c r="J5" s="102">
        <f>I5/C5</f>
        <v>0.994443636363636</v>
      </c>
      <c r="K5" s="103">
        <f>K3+K4</f>
        <v>920</v>
      </c>
    </row>
    <row r="6" s="89" customFormat="1" customHeight="1"/>
    <row r="7" s="162" customFormat="1" customHeight="1" spans="1:12">
      <c r="A7" s="105" t="s">
        <v>226</v>
      </c>
      <c r="B7" s="106"/>
      <c r="C7" s="106"/>
      <c r="D7" s="106"/>
      <c r="E7" s="106"/>
      <c r="F7" s="106"/>
      <c r="G7" s="106"/>
      <c r="H7" s="106"/>
      <c r="I7" s="106"/>
      <c r="J7" s="107"/>
      <c r="K7" s="108"/>
      <c r="L7" s="108"/>
    </row>
    <row r="8" s="89" customFormat="1" customHeight="1" spans="1:12">
      <c r="A8" s="230" t="s">
        <v>42</v>
      </c>
      <c r="B8" s="231" t="s">
        <v>214</v>
      </c>
      <c r="C8" s="230" t="s">
        <v>227</v>
      </c>
      <c r="D8" s="232" t="s">
        <v>24</v>
      </c>
      <c r="E8" s="232" t="s">
        <v>25</v>
      </c>
      <c r="F8" s="232" t="s">
        <v>26</v>
      </c>
      <c r="G8" s="232" t="s">
        <v>27</v>
      </c>
      <c r="H8" s="232" t="s">
        <v>28</v>
      </c>
      <c r="I8" s="232" t="s">
        <v>29</v>
      </c>
      <c r="J8" s="232" t="s">
        <v>30</v>
      </c>
    </row>
    <row r="9" s="89" customFormat="1" customHeight="1" spans="1:12">
      <c r="A9" s="233" t="s">
        <v>19</v>
      </c>
      <c r="B9" s="233" t="s">
        <v>165</v>
      </c>
      <c r="C9" s="114" t="s">
        <v>31</v>
      </c>
      <c r="D9" s="114">
        <v>11</v>
      </c>
      <c r="E9" s="114">
        <v>1</v>
      </c>
      <c r="F9" s="114">
        <v>2</v>
      </c>
      <c r="G9" s="114">
        <v>0</v>
      </c>
      <c r="H9" s="114">
        <v>0</v>
      </c>
      <c r="I9" s="114">
        <v>0</v>
      </c>
      <c r="J9" s="114">
        <v>0</v>
      </c>
    </row>
    <row r="10" s="89" customFormat="1" customHeight="1" spans="1:12">
      <c r="A10" s="234"/>
      <c r="B10" s="234"/>
      <c r="C10" s="114" t="s">
        <v>32</v>
      </c>
      <c r="D10" s="114">
        <v>47</v>
      </c>
      <c r="E10" s="114">
        <v>14</v>
      </c>
      <c r="F10" s="114">
        <v>5</v>
      </c>
      <c r="G10" s="114">
        <v>4</v>
      </c>
      <c r="H10" s="114">
        <v>0</v>
      </c>
      <c r="I10" s="114">
        <v>0</v>
      </c>
      <c r="J10" s="114">
        <v>55</v>
      </c>
    </row>
    <row r="11" s="89" customFormat="1" customHeight="1" spans="1:12">
      <c r="A11" s="233" t="s">
        <v>19</v>
      </c>
      <c r="B11" s="233" t="s">
        <v>163</v>
      </c>
      <c r="C11" s="114" t="s">
        <v>31</v>
      </c>
      <c r="D11" s="114">
        <v>25</v>
      </c>
      <c r="E11" s="114">
        <v>1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</row>
    <row r="12" s="89" customFormat="1" customHeight="1" spans="1:12">
      <c r="A12" s="234"/>
      <c r="B12" s="234"/>
      <c r="C12" s="114" t="s">
        <v>32</v>
      </c>
      <c r="D12" s="114">
        <v>54</v>
      </c>
      <c r="E12" s="114">
        <v>1</v>
      </c>
      <c r="F12" s="114">
        <v>0</v>
      </c>
      <c r="G12" s="114">
        <v>0</v>
      </c>
      <c r="H12" s="114">
        <v>0</v>
      </c>
      <c r="I12" s="114">
        <v>0</v>
      </c>
      <c r="J12" s="114">
        <v>14</v>
      </c>
    </row>
    <row r="13" s="89" customFormat="1" customHeight="1" spans="1:12">
      <c r="A13" s="235" t="s">
        <v>228</v>
      </c>
      <c r="B13" s="236"/>
      <c r="C13" s="114" t="s">
        <v>31</v>
      </c>
      <c r="D13" s="231">
        <f t="shared" ref="D13:J13" si="1">D9+D11</f>
        <v>36</v>
      </c>
      <c r="E13" s="231">
        <f t="shared" si="1"/>
        <v>2</v>
      </c>
      <c r="F13" s="231">
        <f t="shared" si="1"/>
        <v>2</v>
      </c>
      <c r="G13" s="231">
        <f t="shared" si="1"/>
        <v>0</v>
      </c>
      <c r="H13" s="231">
        <f t="shared" si="1"/>
        <v>0</v>
      </c>
      <c r="I13" s="231">
        <f t="shared" si="1"/>
        <v>0</v>
      </c>
      <c r="J13" s="231">
        <f t="shared" si="1"/>
        <v>0</v>
      </c>
    </row>
    <row r="14" s="89" customFormat="1" customHeight="1" spans="1:12">
      <c r="A14" s="237"/>
      <c r="B14" s="238"/>
      <c r="C14" s="231" t="s">
        <v>32</v>
      </c>
      <c r="D14" s="231">
        <f t="shared" ref="D14:J14" si="2">D10+D12</f>
        <v>101</v>
      </c>
      <c r="E14" s="231">
        <f t="shared" si="2"/>
        <v>15</v>
      </c>
      <c r="F14" s="231">
        <f t="shared" si="2"/>
        <v>5</v>
      </c>
      <c r="G14" s="231">
        <f t="shared" si="2"/>
        <v>4</v>
      </c>
      <c r="H14" s="231">
        <f t="shared" si="2"/>
        <v>0</v>
      </c>
      <c r="I14" s="231">
        <f t="shared" si="2"/>
        <v>0</v>
      </c>
      <c r="J14" s="231">
        <f t="shared" si="2"/>
        <v>69</v>
      </c>
    </row>
    <row r="15" s="90" customFormat="1" customHeight="1"/>
    <row r="16" s="87" customFormat="1" ht="28" customHeight="1" spans="1:12">
      <c r="A16" s="105" t="s">
        <v>275</v>
      </c>
      <c r="B16" s="106"/>
      <c r="C16" s="106"/>
      <c r="D16" s="106"/>
      <c r="E16" s="106"/>
      <c r="F16" s="106"/>
      <c r="G16" s="106"/>
      <c r="H16" s="106"/>
      <c r="I16" s="106"/>
      <c r="J16" s="107"/>
    </row>
    <row r="17" s="87" customFormat="1" customHeight="1" spans="1:15">
      <c r="A17" s="94" t="s">
        <v>230</v>
      </c>
      <c r="B17" s="94"/>
      <c r="C17" s="94"/>
      <c r="D17" s="94"/>
      <c r="E17" s="94"/>
      <c r="F17" s="94"/>
      <c r="G17" s="94"/>
      <c r="H17" s="94"/>
      <c r="I17" s="94"/>
      <c r="J17" s="94"/>
    </row>
    <row r="18" s="87" customFormat="1" customHeight="1" spans="1:15">
      <c r="A18" s="96" t="s">
        <v>42</v>
      </c>
      <c r="B18" s="96" t="s">
        <v>214</v>
      </c>
      <c r="C18" s="121" t="s">
        <v>232</v>
      </c>
      <c r="D18" s="121" t="s">
        <v>233</v>
      </c>
      <c r="E18" s="121"/>
      <c r="F18" s="121"/>
      <c r="G18" s="121"/>
      <c r="H18" s="121"/>
      <c r="I18" s="122" t="s">
        <v>288</v>
      </c>
      <c r="J18" s="121" t="s">
        <v>289</v>
      </c>
    </row>
    <row r="19" s="87" customFormat="1" customHeight="1" spans="1:15">
      <c r="A19" s="98" t="s">
        <v>19</v>
      </c>
      <c r="B19" s="98" t="s">
        <v>165</v>
      </c>
      <c r="C19" s="99"/>
      <c r="D19" s="99"/>
      <c r="E19" s="99"/>
      <c r="F19" s="99"/>
      <c r="G19" s="99"/>
      <c r="H19" s="99"/>
      <c r="I19" s="228"/>
      <c r="J19" s="99"/>
    </row>
    <row r="20" s="87" customFormat="1" customHeight="1" spans="1:15">
      <c r="A20" s="98" t="s">
        <v>19</v>
      </c>
      <c r="B20" s="98" t="s">
        <v>163</v>
      </c>
      <c r="C20" s="99" t="s">
        <v>244</v>
      </c>
      <c r="D20" s="99" t="s">
        <v>290</v>
      </c>
      <c r="E20" s="99"/>
      <c r="F20" s="99"/>
      <c r="G20" s="99"/>
      <c r="H20" s="99"/>
      <c r="I20" s="46">
        <v>400</v>
      </c>
      <c r="J20" s="45"/>
    </row>
    <row r="21" s="87" customFormat="1" customHeight="1" spans="1:15">
      <c r="A21" s="96" t="s">
        <v>242</v>
      </c>
      <c r="B21" s="96"/>
      <c r="C21" s="96"/>
      <c r="D21" s="96"/>
      <c r="E21" s="96"/>
      <c r="F21" s="96"/>
      <c r="G21" s="96"/>
      <c r="H21" s="96"/>
      <c r="I21" s="42">
        <f>SUM(I19:I20)</f>
        <v>400</v>
      </c>
      <c r="J21" s="42"/>
    </row>
    <row r="22" s="87" customFormat="1" customHeight="1" spans="1:15">
      <c r="A22" s="94" t="s">
        <v>291</v>
      </c>
      <c r="B22" s="94"/>
      <c r="C22" s="94"/>
      <c r="D22" s="94"/>
      <c r="E22" s="94"/>
      <c r="F22" s="94"/>
      <c r="G22" s="94"/>
      <c r="H22" s="94"/>
      <c r="I22" s="94"/>
      <c r="J22" s="94"/>
    </row>
    <row r="23" s="87" customFormat="1" customHeight="1" spans="1:15">
      <c r="A23" s="96" t="s">
        <v>42</v>
      </c>
      <c r="B23" s="96" t="s">
        <v>214</v>
      </c>
      <c r="C23" s="121" t="s">
        <v>232</v>
      </c>
      <c r="D23" s="121" t="s">
        <v>233</v>
      </c>
      <c r="E23" s="121"/>
      <c r="F23" s="121"/>
      <c r="G23" s="121"/>
      <c r="H23" s="121"/>
      <c r="I23" s="122" t="s">
        <v>288</v>
      </c>
      <c r="J23" s="121" t="s">
        <v>289</v>
      </c>
    </row>
    <row r="24" s="87" customFormat="1" customHeight="1" spans="1:15">
      <c r="A24" s="98" t="s">
        <v>19</v>
      </c>
      <c r="B24" s="98" t="s">
        <v>165</v>
      </c>
      <c r="C24" s="99" t="s">
        <v>292</v>
      </c>
      <c r="D24" s="99" t="s">
        <v>293</v>
      </c>
      <c r="E24" s="99"/>
      <c r="F24" s="99"/>
      <c r="G24" s="99"/>
      <c r="H24" s="99"/>
      <c r="I24" s="45">
        <v>520</v>
      </c>
      <c r="J24" s="99"/>
    </row>
    <row r="25" s="87" customFormat="1" customHeight="1" spans="1:15">
      <c r="A25" s="98" t="s">
        <v>19</v>
      </c>
      <c r="B25" s="98" t="s">
        <v>163</v>
      </c>
      <c r="C25" s="99"/>
      <c r="D25" s="99"/>
      <c r="E25" s="99"/>
      <c r="F25" s="99"/>
      <c r="G25" s="99"/>
      <c r="H25" s="99"/>
      <c r="I25" s="228"/>
      <c r="J25" s="99"/>
    </row>
    <row r="26" s="88" customFormat="1" customHeight="1" spans="1:15">
      <c r="A26" s="96" t="s">
        <v>242</v>
      </c>
      <c r="B26" s="96"/>
      <c r="C26" s="96"/>
      <c r="D26" s="96"/>
      <c r="E26" s="96"/>
      <c r="F26" s="96"/>
      <c r="G26" s="96"/>
      <c r="H26" s="96"/>
      <c r="I26" s="239">
        <f>SUM(I24:I25)</f>
        <v>520</v>
      </c>
      <c r="J26" s="121"/>
    </row>
    <row r="27" s="89" customFormat="1" customHeight="1" spans="1:15">
      <c r="A27" s="120" t="s">
        <v>253</v>
      </c>
      <c r="B27" s="240"/>
      <c r="C27" s="240"/>
      <c r="D27" s="240"/>
      <c r="E27" s="240"/>
      <c r="F27" s="240"/>
      <c r="G27" s="240"/>
      <c r="H27" s="240"/>
      <c r="I27" s="240"/>
      <c r="J27" s="240"/>
    </row>
    <row r="28" s="227" customFormat="1" customHeight="1" spans="1:15">
      <c r="A28" s="241" t="s">
        <v>42</v>
      </c>
      <c r="B28" s="96" t="s">
        <v>231</v>
      </c>
      <c r="C28" s="96" t="s">
        <v>232</v>
      </c>
      <c r="D28" s="96" t="s">
        <v>233</v>
      </c>
      <c r="E28" s="96"/>
      <c r="F28" s="96"/>
      <c r="G28" s="96"/>
      <c r="H28" s="96"/>
      <c r="I28" s="97" t="s">
        <v>294</v>
      </c>
      <c r="J28" s="96" t="s">
        <v>289</v>
      </c>
    </row>
    <row r="29" s="227" customFormat="1" customHeight="1" spans="1:15">
      <c r="A29" s="242" t="s">
        <v>19</v>
      </c>
      <c r="B29" s="98" t="s">
        <v>165</v>
      </c>
      <c r="C29" s="98" t="s">
        <v>295</v>
      </c>
      <c r="D29" s="98" t="s">
        <v>296</v>
      </c>
      <c r="E29" s="98"/>
      <c r="F29" s="98"/>
      <c r="G29" s="98"/>
      <c r="H29" s="98"/>
      <c r="I29" s="243">
        <v>10000</v>
      </c>
      <c r="J29" s="198" t="s">
        <v>297</v>
      </c>
    </row>
    <row r="30" s="227" customFormat="1" customHeight="1" spans="1:15">
      <c r="A30" s="241" t="s">
        <v>242</v>
      </c>
      <c r="B30" s="96"/>
      <c r="C30" s="96"/>
      <c r="D30" s="96"/>
      <c r="E30" s="96"/>
      <c r="F30" s="96"/>
      <c r="G30" s="96"/>
      <c r="H30" s="96"/>
      <c r="I30" s="244">
        <v>10000</v>
      </c>
      <c r="J30" s="98"/>
    </row>
    <row r="31" s="227" customFormat="1" customHeight="1" spans="1:15">
      <c r="A31" s="245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</row>
    <row r="32" s="87" customFormat="1" customHeight="1" spans="1:1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</row>
    <row r="33" s="87" customFormat="1" customHeight="1" spans="1:22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</row>
    <row r="34" s="87" customFormat="1" customHeight="1" spans="1:22">
      <c r="A34" s="94" t="s">
        <v>257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</row>
    <row r="35" s="87" customFormat="1" ht="45.95" customHeight="1" spans="1:22">
      <c r="A35" s="231" t="s">
        <v>213</v>
      </c>
      <c r="B35" s="231" t="s">
        <v>214</v>
      </c>
      <c r="C35" s="231" t="s">
        <v>227</v>
      </c>
      <c r="D35" s="232" t="s">
        <v>258</v>
      </c>
      <c r="E35" s="232" t="s">
        <v>259</v>
      </c>
      <c r="F35" s="232" t="s">
        <v>260</v>
      </c>
      <c r="G35" s="232" t="s">
        <v>261</v>
      </c>
      <c r="H35" s="232" t="s">
        <v>262</v>
      </c>
      <c r="I35" s="232" t="s">
        <v>263</v>
      </c>
      <c r="J35" s="232" t="s">
        <v>264</v>
      </c>
      <c r="K35" s="232" t="s">
        <v>228</v>
      </c>
      <c r="L35" s="232" t="s">
        <v>298</v>
      </c>
      <c r="M35" s="232" t="s">
        <v>299</v>
      </c>
      <c r="N35" s="232" t="s">
        <v>265</v>
      </c>
      <c r="O35" s="232" t="s">
        <v>266</v>
      </c>
    </row>
    <row r="36" s="87" customFormat="1" customHeight="1" spans="1:22">
      <c r="A36" s="246" t="s">
        <v>19</v>
      </c>
      <c r="B36" s="246" t="s">
        <v>165</v>
      </c>
      <c r="C36" s="45" t="s">
        <v>31</v>
      </c>
      <c r="D36" s="46"/>
      <c r="E36" s="46"/>
      <c r="F36" s="46"/>
      <c r="G36" s="46"/>
      <c r="H36" s="46"/>
      <c r="I36" s="53"/>
      <c r="J36" s="46"/>
      <c r="K36" s="47">
        <v>0</v>
      </c>
      <c r="L36" s="247">
        <v>0</v>
      </c>
      <c r="M36" s="247"/>
      <c r="N36" s="248">
        <f>K37/(G3*10000)</f>
        <v>0.995156965648855</v>
      </c>
      <c r="O36" s="248">
        <f>I37/(G3*10000)</f>
        <v>0.603618320610687</v>
      </c>
    </row>
    <row r="37" s="87" customFormat="1" customHeight="1" spans="1:22">
      <c r="A37" s="249"/>
      <c r="B37" s="249"/>
      <c r="C37" s="45" t="s">
        <v>267</v>
      </c>
      <c r="D37" s="46">
        <v>330.3</v>
      </c>
      <c r="E37" s="46">
        <v>33993.07</v>
      </c>
      <c r="F37" s="46">
        <v>2054</v>
      </c>
      <c r="G37" s="46">
        <v>1892.62</v>
      </c>
      <c r="H37" s="46">
        <v>14</v>
      </c>
      <c r="I37" s="46">
        <v>63259.2</v>
      </c>
      <c r="J37" s="46">
        <v>2749.26</v>
      </c>
      <c r="K37" s="47">
        <v>104292.45</v>
      </c>
      <c r="L37" s="247">
        <v>0</v>
      </c>
      <c r="M37" s="247"/>
      <c r="N37" s="250"/>
      <c r="O37" s="250"/>
    </row>
    <row r="38" s="87" customFormat="1" customHeight="1" spans="1:22">
      <c r="A38" s="246" t="s">
        <v>19</v>
      </c>
      <c r="B38" s="246" t="s">
        <v>163</v>
      </c>
      <c r="C38" s="45" t="s">
        <v>31</v>
      </c>
      <c r="D38" s="46"/>
      <c r="E38" s="46"/>
      <c r="F38" s="46"/>
      <c r="G38" s="46">
        <v>2108.86</v>
      </c>
      <c r="H38" s="46"/>
      <c r="I38" s="46"/>
      <c r="J38" s="46"/>
      <c r="K38" s="47">
        <v>2108.86</v>
      </c>
      <c r="L38" s="247">
        <v>0</v>
      </c>
      <c r="M38" s="247"/>
      <c r="N38" s="248" t="s">
        <v>11</v>
      </c>
      <c r="O38" s="248" t="s">
        <v>11</v>
      </c>
    </row>
    <row r="39" s="87" customFormat="1" customHeight="1" spans="1:22">
      <c r="A39" s="249"/>
      <c r="B39" s="249"/>
      <c r="C39" s="45" t="s">
        <v>267</v>
      </c>
      <c r="D39" s="46">
        <v>18</v>
      </c>
      <c r="E39" s="46">
        <v>13628.13</v>
      </c>
      <c r="F39" s="46">
        <v>1909.28</v>
      </c>
      <c r="G39" s="46">
        <v>2108.86</v>
      </c>
      <c r="H39" s="46">
        <v>15</v>
      </c>
      <c r="I39" s="46"/>
      <c r="J39" s="46">
        <v>400</v>
      </c>
      <c r="K39" s="47">
        <v>18079.27</v>
      </c>
      <c r="L39" s="247">
        <v>0</v>
      </c>
      <c r="M39" s="247"/>
      <c r="N39" s="250"/>
      <c r="O39" s="250"/>
    </row>
    <row r="40" s="87" customFormat="1" customHeight="1" spans="1:22">
      <c r="A40" s="168" t="s">
        <v>242</v>
      </c>
      <c r="B40" s="168"/>
      <c r="C40" s="45" t="s">
        <v>31</v>
      </c>
      <c r="D40" s="251">
        <f t="shared" ref="D40:L40" si="3">D36+D38</f>
        <v>0</v>
      </c>
      <c r="E40" s="251">
        <f t="shared" si="3"/>
        <v>0</v>
      </c>
      <c r="F40" s="251">
        <f t="shared" si="3"/>
        <v>0</v>
      </c>
      <c r="G40" s="251">
        <f t="shared" si="3"/>
        <v>2108.86</v>
      </c>
      <c r="H40" s="251">
        <f t="shared" si="3"/>
        <v>0</v>
      </c>
      <c r="I40" s="251">
        <f t="shared" si="3"/>
        <v>0</v>
      </c>
      <c r="J40" s="251">
        <f t="shared" si="3"/>
        <v>0</v>
      </c>
      <c r="K40" s="251">
        <f>SUM(D40:J40)</f>
        <v>2108.86</v>
      </c>
      <c r="L40" s="251">
        <f t="shared" si="3"/>
        <v>0</v>
      </c>
      <c r="M40" s="251" t="s">
        <v>11</v>
      </c>
      <c r="N40" s="248">
        <f>K41/(G5*10000)</f>
        <v>0.400431020942408</v>
      </c>
      <c r="O40" s="248">
        <f>I41/(G5*10000)</f>
        <v>0.207</v>
      </c>
    </row>
    <row r="41" s="87" customFormat="1" customHeight="1" spans="1:22">
      <c r="A41" s="168"/>
      <c r="B41" s="168"/>
      <c r="C41" s="168" t="s">
        <v>32</v>
      </c>
      <c r="D41" s="168">
        <f t="shared" ref="D41:L41" si="4">D37+D39</f>
        <v>348.3</v>
      </c>
      <c r="E41" s="168">
        <f t="shared" si="4"/>
        <v>47621.2</v>
      </c>
      <c r="F41" s="168">
        <f t="shared" si="4"/>
        <v>3963.28</v>
      </c>
      <c r="G41" s="168">
        <f t="shared" si="4"/>
        <v>4001.48</v>
      </c>
      <c r="H41" s="168">
        <f t="shared" si="4"/>
        <v>29</v>
      </c>
      <c r="I41" s="168">
        <f t="shared" si="4"/>
        <v>63259.2</v>
      </c>
      <c r="J41" s="168">
        <f t="shared" si="4"/>
        <v>3149.26</v>
      </c>
      <c r="K41" s="168">
        <f>SUM(D41:J41)</f>
        <v>122371.72</v>
      </c>
      <c r="L41" s="168">
        <f t="shared" si="4"/>
        <v>0</v>
      </c>
      <c r="M41" s="168" t="s">
        <v>11</v>
      </c>
      <c r="N41" s="250"/>
      <c r="O41" s="250"/>
    </row>
    <row r="42" s="90" customFormat="1" customHeight="1"/>
    <row r="43" s="91" customFormat="1" customHeight="1" spans="1:22">
      <c r="A43" s="94" t="s">
        <v>268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9"/>
    </row>
    <row r="44" customFormat="1" ht="29" spans="1:22">
      <c r="A44" s="8" t="s">
        <v>41</v>
      </c>
      <c r="B44" s="8" t="s">
        <v>42</v>
      </c>
      <c r="C44" s="8" t="s">
        <v>43</v>
      </c>
      <c r="D44" s="8" t="s">
        <v>44</v>
      </c>
      <c r="E44" s="9" t="s">
        <v>45</v>
      </c>
      <c r="F44" s="8" t="s">
        <v>46</v>
      </c>
      <c r="G44" s="8" t="s">
        <v>47</v>
      </c>
      <c r="H44" s="8" t="s">
        <v>48</v>
      </c>
      <c r="I44" s="8" t="s">
        <v>49</v>
      </c>
      <c r="J44" s="8" t="s">
        <v>50</v>
      </c>
      <c r="K44" s="8" t="s">
        <v>51</v>
      </c>
      <c r="L44" s="8" t="s">
        <v>52</v>
      </c>
      <c r="M44" s="8" t="s">
        <v>53</v>
      </c>
      <c r="N44" s="8" t="s">
        <v>54</v>
      </c>
      <c r="O44" s="8" t="s">
        <v>55</v>
      </c>
      <c r="P44" s="8" t="s">
        <v>56</v>
      </c>
      <c r="Q44" s="8" t="s">
        <v>57</v>
      </c>
      <c r="R44" s="8" t="s">
        <v>58</v>
      </c>
      <c r="S44" s="8" t="s">
        <v>59</v>
      </c>
      <c r="T44" s="8" t="s">
        <v>60</v>
      </c>
      <c r="U44" s="8" t="s">
        <v>61</v>
      </c>
      <c r="V44" s="8" t="s">
        <v>62</v>
      </c>
    </row>
    <row r="45" s="164" customFormat="1" ht="29" customHeight="1" spans="1:22">
      <c r="A45" s="198">
        <v>1</v>
      </c>
      <c r="B45" s="198" t="s">
        <v>161</v>
      </c>
      <c r="C45" s="198" t="s">
        <v>64</v>
      </c>
      <c r="D45" s="147" t="s">
        <v>162</v>
      </c>
      <c r="E45" s="142">
        <v>46129</v>
      </c>
      <c r="F45" s="140" t="s">
        <v>163</v>
      </c>
      <c r="G45" s="140" t="s">
        <v>67</v>
      </c>
      <c r="H45" s="143">
        <v>29588</v>
      </c>
      <c r="I45" s="143">
        <v>201458.7744</v>
      </c>
      <c r="J45" s="144">
        <v>1</v>
      </c>
      <c r="K45" s="143">
        <v>29588</v>
      </c>
      <c r="L45" s="200">
        <v>200837.43</v>
      </c>
      <c r="M45" s="145">
        <v>0</v>
      </c>
      <c r="N45" s="145">
        <v>0</v>
      </c>
      <c r="O45" s="146">
        <v>1</v>
      </c>
      <c r="P45" s="147"/>
      <c r="Q45" s="143"/>
      <c r="R45" s="143"/>
      <c r="S45" s="141"/>
      <c r="T45" s="147"/>
      <c r="U45" s="145">
        <v>29588</v>
      </c>
      <c r="V45" s="145">
        <v>200837.43</v>
      </c>
    </row>
    <row r="46" s="164" customFormat="1" ht="29" customHeight="1" spans="1:22">
      <c r="A46" s="198">
        <v>2</v>
      </c>
      <c r="B46" s="198" t="s">
        <v>161</v>
      </c>
      <c r="C46" s="198" t="s">
        <v>64</v>
      </c>
      <c r="D46" s="147" t="s">
        <v>164</v>
      </c>
      <c r="E46" s="142">
        <v>45954</v>
      </c>
      <c r="F46" s="140" t="s">
        <v>165</v>
      </c>
      <c r="G46" s="140" t="s">
        <v>67</v>
      </c>
      <c r="H46" s="143">
        <v>508000</v>
      </c>
      <c r="I46" s="143">
        <v>3603142.4</v>
      </c>
      <c r="J46" s="141" t="s">
        <v>100</v>
      </c>
      <c r="K46" s="143">
        <v>152400</v>
      </c>
      <c r="L46" s="143">
        <v>1080013.08</v>
      </c>
      <c r="M46" s="145">
        <v>355600</v>
      </c>
      <c r="N46" s="145">
        <v>2411963.68</v>
      </c>
      <c r="O46" s="146">
        <v>0.3</v>
      </c>
      <c r="P46" s="147" t="s">
        <v>101</v>
      </c>
      <c r="Q46" s="143"/>
      <c r="R46" s="143">
        <v>355600</v>
      </c>
      <c r="S46" s="141"/>
      <c r="T46" s="147"/>
      <c r="U46" s="145"/>
      <c r="V46" s="145"/>
    </row>
    <row r="47" s="164" customFormat="1" ht="29" customHeight="1" spans="1:22">
      <c r="A47" s="198">
        <v>3</v>
      </c>
      <c r="B47" s="198" t="s">
        <v>161</v>
      </c>
      <c r="C47" s="198" t="s">
        <v>64</v>
      </c>
      <c r="D47" s="147" t="s">
        <v>166</v>
      </c>
      <c r="E47" s="142">
        <v>45660</v>
      </c>
      <c r="F47" s="140" t="s">
        <v>165</v>
      </c>
      <c r="G47" s="140" t="s">
        <v>67</v>
      </c>
      <c r="H47" s="143">
        <v>5586000</v>
      </c>
      <c r="I47" s="143">
        <v>40154402.4</v>
      </c>
      <c r="J47" s="141" t="s">
        <v>167</v>
      </c>
      <c r="K47" s="143">
        <v>4468800</v>
      </c>
      <c r="L47" s="143">
        <v>31649047.08</v>
      </c>
      <c r="M47" s="145">
        <v>1117200</v>
      </c>
      <c r="N47" s="145">
        <v>7577744.16</v>
      </c>
      <c r="O47" s="146">
        <v>0.8</v>
      </c>
      <c r="P47" s="147" t="s">
        <v>168</v>
      </c>
      <c r="Q47" s="143"/>
      <c r="R47" s="143">
        <v>1117200</v>
      </c>
      <c r="S47" s="141"/>
      <c r="T47" s="147"/>
      <c r="U47" s="145"/>
      <c r="V47" s="145"/>
    </row>
    <row r="48" s="164" customFormat="1" ht="29" customHeight="1" spans="1:22">
      <c r="A48" s="198">
        <v>4</v>
      </c>
      <c r="B48" s="198" t="s">
        <v>161</v>
      </c>
      <c r="C48" s="198" t="s">
        <v>64</v>
      </c>
      <c r="D48" s="147" t="s">
        <v>169</v>
      </c>
      <c r="E48" s="142">
        <v>45510</v>
      </c>
      <c r="F48" s="140" t="s">
        <v>165</v>
      </c>
      <c r="G48" s="140" t="s">
        <v>67</v>
      </c>
      <c r="H48" s="143">
        <v>2700000</v>
      </c>
      <c r="I48" s="143">
        <v>19209960</v>
      </c>
      <c r="J48" s="141" t="s">
        <v>170</v>
      </c>
      <c r="K48" s="143">
        <v>2295000</v>
      </c>
      <c r="L48" s="143">
        <v>16400731.5</v>
      </c>
      <c r="M48" s="145">
        <v>405000</v>
      </c>
      <c r="N48" s="145">
        <v>2747034</v>
      </c>
      <c r="O48" s="146">
        <v>0.85</v>
      </c>
      <c r="P48" s="147" t="s">
        <v>171</v>
      </c>
      <c r="Q48" s="143"/>
      <c r="R48" s="143">
        <v>405000</v>
      </c>
      <c r="S48" s="141"/>
      <c r="T48" s="147"/>
      <c r="U48" s="145"/>
      <c r="V48" s="145"/>
    </row>
    <row r="49" s="164" customFormat="1" ht="29" customHeight="1" spans="1:22">
      <c r="A49" s="198">
        <v>5</v>
      </c>
      <c r="B49" s="198" t="s">
        <v>161</v>
      </c>
      <c r="C49" s="198" t="s">
        <v>64</v>
      </c>
      <c r="D49" s="147" t="s">
        <v>172</v>
      </c>
      <c r="E49" s="142">
        <v>46031</v>
      </c>
      <c r="F49" s="140" t="s">
        <v>165</v>
      </c>
      <c r="G49" s="140" t="s">
        <v>67</v>
      </c>
      <c r="H49" s="143">
        <v>9600</v>
      </c>
      <c r="I49" s="143">
        <v>66806.4</v>
      </c>
      <c r="J49" s="141" t="s">
        <v>85</v>
      </c>
      <c r="K49" s="143">
        <v>4800</v>
      </c>
      <c r="L49" s="143">
        <v>33393.6</v>
      </c>
      <c r="M49" s="145">
        <v>4800</v>
      </c>
      <c r="N49" s="145">
        <v>32557.44</v>
      </c>
      <c r="O49" s="146">
        <v>0.5</v>
      </c>
      <c r="P49" s="147" t="s">
        <v>173</v>
      </c>
      <c r="Q49" s="143"/>
      <c r="R49" s="143">
        <v>4800</v>
      </c>
      <c r="S49" s="141"/>
      <c r="T49" s="147"/>
      <c r="U49" s="145"/>
      <c r="V49" s="145"/>
    </row>
    <row r="50" s="164" customFormat="1" ht="29" customHeight="1" spans="1:22">
      <c r="A50" s="198">
        <v>6</v>
      </c>
      <c r="B50" s="198" t="s">
        <v>161</v>
      </c>
      <c r="C50" s="198" t="s">
        <v>102</v>
      </c>
      <c r="D50" s="141" t="s">
        <v>174</v>
      </c>
      <c r="E50" s="142">
        <v>45355</v>
      </c>
      <c r="F50" s="140" t="s">
        <v>165</v>
      </c>
      <c r="G50" s="140" t="s">
        <v>67</v>
      </c>
      <c r="H50" s="143">
        <v>9600</v>
      </c>
      <c r="I50" s="143">
        <v>68124.48</v>
      </c>
      <c r="J50" s="141" t="s">
        <v>100</v>
      </c>
      <c r="K50" s="143">
        <v>6000</v>
      </c>
      <c r="L50" s="143">
        <v>41933.7</v>
      </c>
      <c r="M50" s="145">
        <v>3600</v>
      </c>
      <c r="N50" s="145">
        <v>24418.08</v>
      </c>
      <c r="O50" s="146">
        <v>0.625</v>
      </c>
      <c r="P50" s="147" t="s">
        <v>175</v>
      </c>
      <c r="Q50" s="143">
        <v>3600</v>
      </c>
      <c r="R50" s="143"/>
      <c r="S50" s="141" t="s">
        <v>176</v>
      </c>
      <c r="T50" s="147" t="s">
        <v>177</v>
      </c>
      <c r="U50" s="145"/>
      <c r="V50" s="145"/>
    </row>
    <row r="51" s="2" customFormat="1" ht="25" customHeight="1" spans="1:22">
      <c r="A51" s="28"/>
      <c r="B51" s="28"/>
      <c r="C51" s="28"/>
      <c r="D51" s="29" t="s">
        <v>269</v>
      </c>
      <c r="E51" s="13"/>
      <c r="F51" s="28"/>
      <c r="G51" s="28"/>
      <c r="H51" s="30">
        <f>SUMIF(G:G,"美元",H:H)</f>
        <v>8842788</v>
      </c>
      <c r="I51" s="30">
        <f>SUMIF(G:G,"美元",I:I)</f>
        <v>63303894.4544</v>
      </c>
      <c r="J51" s="28"/>
      <c r="K51" s="30">
        <f>SUMIF(G:G,"美元",K:K)</f>
        <v>6956588</v>
      </c>
      <c r="L51" s="30">
        <f>SUMIF(G:G,"美元",L:L)</f>
        <v>49405956.39</v>
      </c>
      <c r="M51" s="30">
        <f>SUMIF(G:G,"美元",M:M)</f>
        <v>1886200</v>
      </c>
      <c r="N51" s="31">
        <f>SUMIF(G:G,"美元",N:N)</f>
        <v>12793717.36</v>
      </c>
      <c r="O51" s="32"/>
      <c r="P51" s="28"/>
      <c r="Q51" s="30">
        <f>SUMIF(G:G,"美元",Q:Q)</f>
        <v>3600</v>
      </c>
      <c r="R51" s="30">
        <f>SUMIF(G:G,"美元",R:R)</f>
        <v>1882600</v>
      </c>
      <c r="S51" s="28"/>
      <c r="T51" s="33"/>
      <c r="U51" s="30">
        <f>SUMIF(G:G,"美元",U:U)</f>
        <v>29588</v>
      </c>
      <c r="V51" s="31">
        <f>SUMIF(G:G,"美元",V:V)</f>
        <v>200837.43</v>
      </c>
    </row>
    <row r="52" s="2" customFormat="1" ht="25" customHeight="1" spans="1:22">
      <c r="A52" s="28"/>
      <c r="B52" s="28"/>
      <c r="C52" s="28"/>
      <c r="D52" s="29" t="s">
        <v>270</v>
      </c>
      <c r="E52" s="13"/>
      <c r="F52" s="28"/>
      <c r="G52" s="28"/>
      <c r="H52" s="30">
        <f>SUMIF(G:G,"人民币",H:H)</f>
        <v>0</v>
      </c>
      <c r="I52" s="30">
        <f>SUMIF(G:G,"人民币",I:I)</f>
        <v>0</v>
      </c>
      <c r="J52" s="28"/>
      <c r="K52" s="30">
        <f>SUMIF(G:G,"人民币",K:K)</f>
        <v>0</v>
      </c>
      <c r="L52" s="30">
        <f>SUMIF(G:G,"人民币",L:L)</f>
        <v>0</v>
      </c>
      <c r="M52" s="30">
        <f>SUMIF(G:G,"人民币",M:M)</f>
        <v>0</v>
      </c>
      <c r="N52" s="31">
        <f>SUMIF(G:G,"人民币",N:N)</f>
        <v>0</v>
      </c>
      <c r="O52" s="32"/>
      <c r="P52" s="28"/>
      <c r="Q52" s="30">
        <f>SUMIF(G:G,"人民币",Q:Q)</f>
        <v>0</v>
      </c>
      <c r="R52" s="30">
        <f>SUMIF(G:G,"人民币",R:R)</f>
        <v>0</v>
      </c>
      <c r="S52" s="28"/>
      <c r="T52" s="33"/>
      <c r="U52" s="30">
        <f>SUMIF(G:G,"人民币",U:U)</f>
        <v>0</v>
      </c>
      <c r="V52" s="31">
        <f>SUMIF(G:G,"人民币",V:V)</f>
        <v>0</v>
      </c>
    </row>
    <row r="53" s="2" customFormat="1" ht="25" customHeight="1" spans="1:22">
      <c r="A53" s="28"/>
      <c r="B53" s="28"/>
      <c r="C53" s="28"/>
      <c r="D53" s="29" t="s">
        <v>271</v>
      </c>
      <c r="E53" s="34"/>
      <c r="F53" s="28"/>
      <c r="G53" s="14"/>
      <c r="H53" s="28"/>
      <c r="I53" s="30">
        <f t="shared" ref="I53:N53" si="5">I51+I52</f>
        <v>63303894.4544</v>
      </c>
      <c r="J53" s="28"/>
      <c r="K53" s="30"/>
      <c r="L53" s="30">
        <f t="shared" si="5"/>
        <v>49405956.39</v>
      </c>
      <c r="M53" s="30">
        <f t="shared" si="5"/>
        <v>1886200</v>
      </c>
      <c r="N53" s="31">
        <f t="shared" si="5"/>
        <v>12793717.36</v>
      </c>
      <c r="O53" s="28"/>
      <c r="P53" s="28"/>
      <c r="Q53" s="28"/>
      <c r="R53" s="28"/>
      <c r="S53" s="28"/>
      <c r="T53" s="33"/>
      <c r="U53" s="30">
        <f>U51+U52</f>
        <v>29588</v>
      </c>
      <c r="V53" s="31">
        <f>V51+V52</f>
        <v>200837.43</v>
      </c>
    </row>
    <row r="54" customFormat="1" ht="14" spans="1:22">
      <c r="A54" s="3"/>
      <c r="B54" s="4"/>
      <c r="C54" s="4"/>
      <c r="E54" s="5"/>
      <c r="T54" s="1"/>
    </row>
    <row r="55" customFormat="1" ht="14" spans="1:22">
      <c r="A55" s="3"/>
      <c r="B55" s="4"/>
      <c r="C55" s="4"/>
      <c r="E55" s="5"/>
    </row>
    <row r="56" customFormat="1" ht="14" spans="1:22">
      <c r="A56" s="35" t="s">
        <v>272</v>
      </c>
      <c r="B56" s="4"/>
      <c r="C56" s="4"/>
      <c r="E56" s="5"/>
    </row>
    <row r="57" customFormat="1" ht="14" spans="1:22">
      <c r="A57" s="36" t="s">
        <v>273</v>
      </c>
      <c r="B57" s="4"/>
      <c r="C57" s="4"/>
      <c r="E57" s="5"/>
    </row>
  </sheetData>
  <mergeCells count="36">
    <mergeCell ref="A1:K1"/>
    <mergeCell ref="A5:B5"/>
    <mergeCell ref="A7:J7"/>
    <mergeCell ref="A16:J16"/>
    <mergeCell ref="A17:J17"/>
    <mergeCell ref="D18:H18"/>
    <mergeCell ref="D19:H19"/>
    <mergeCell ref="D20:H20"/>
    <mergeCell ref="A21:H21"/>
    <mergeCell ref="A22:J22"/>
    <mergeCell ref="D23:H23"/>
    <mergeCell ref="D24:H24"/>
    <mergeCell ref="D25:H25"/>
    <mergeCell ref="A26:H26"/>
    <mergeCell ref="A27:J27"/>
    <mergeCell ref="D28:H28"/>
    <mergeCell ref="D29:H29"/>
    <mergeCell ref="A30:H30"/>
    <mergeCell ref="A34:O34"/>
    <mergeCell ref="A43:N43"/>
    <mergeCell ref="A9:A10"/>
    <mergeCell ref="A11:A12"/>
    <mergeCell ref="A36:A37"/>
    <mergeCell ref="A38:A39"/>
    <mergeCell ref="B9:B10"/>
    <mergeCell ref="B11:B12"/>
    <mergeCell ref="B36:B37"/>
    <mergeCell ref="B38:B39"/>
    <mergeCell ref="N36:N37"/>
    <mergeCell ref="N38:N39"/>
    <mergeCell ref="N40:N41"/>
    <mergeCell ref="O36:O37"/>
    <mergeCell ref="O38:O39"/>
    <mergeCell ref="O40:O41"/>
    <mergeCell ref="A13:B14"/>
    <mergeCell ref="A40:B41"/>
  </mergeCells>
  <pageMargins left="0.75" right="0.75" top="1" bottom="1" header="0.5" footer="0.5"/>
  <pageSetup paperSize="8" scale="39" orientation="landscape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"/>
  <sheetViews>
    <sheetView zoomScale="50" zoomScaleNormal="50" topLeftCell="A27" workbookViewId="0">
      <selection activeCell="F52" sqref="F52"/>
    </sheetView>
  </sheetViews>
  <sheetFormatPr defaultColWidth="20.1272727272727" defaultRowHeight="30" customHeight="1"/>
  <cols>
    <col min="1" max="1" width="12.5090909090909" style="87" customWidth="1"/>
    <col min="2" max="2" width="13.2636363636364" style="87" customWidth="1"/>
    <col min="3" max="3" width="45.7545454545455" style="87" customWidth="1"/>
    <col min="4" max="4" width="31.1090909090909" style="87" customWidth="1"/>
    <col min="5" max="5" width="17.0454545454545" style="87" customWidth="1"/>
    <col min="6" max="6" width="47.1454545454545" style="87" customWidth="1"/>
    <col min="7" max="7" width="18.5818181818182" style="87" customWidth="1"/>
    <col min="8" max="8" width="19.6909090909091" style="87" customWidth="1"/>
    <col min="9" max="9" width="17.6454545454545" style="87" customWidth="1"/>
    <col min="10" max="10" width="18.9272727272727" style="87" customWidth="1"/>
    <col min="11" max="11" width="23.9545454545455" style="87" customWidth="1"/>
    <col min="12" max="12" width="20.3727272727273" style="87" customWidth="1"/>
    <col min="13" max="13" width="15.4545454545455" style="87" customWidth="1"/>
    <col min="14" max="16380" width="20.1272727272727" style="87" customWidth="1"/>
    <col min="16381" max="16384" width="20.1272727272727" style="87"/>
  </cols>
  <sheetData>
    <row r="1" s="87" customFormat="1" customHeight="1" spans="1:12">
      <c r="A1" s="94" t="s">
        <v>212</v>
      </c>
      <c r="B1" s="94"/>
      <c r="C1" s="95"/>
      <c r="D1" s="95"/>
      <c r="E1" s="95"/>
      <c r="F1" s="95"/>
      <c r="G1" s="95"/>
      <c r="H1" s="95"/>
      <c r="I1" s="95"/>
      <c r="J1" s="95"/>
      <c r="K1" s="95"/>
    </row>
    <row r="2" s="87" customFormat="1" ht="48" customHeight="1" spans="1:12">
      <c r="A2" s="96" t="s">
        <v>213</v>
      </c>
      <c r="B2" s="96" t="s">
        <v>214</v>
      </c>
      <c r="C2" s="97" t="s">
        <v>215</v>
      </c>
      <c r="D2" s="97" t="s">
        <v>216</v>
      </c>
      <c r="E2" s="97" t="s">
        <v>217</v>
      </c>
      <c r="F2" s="97" t="s">
        <v>218</v>
      </c>
      <c r="G2" s="97" t="s">
        <v>219</v>
      </c>
      <c r="H2" s="97" t="s">
        <v>220</v>
      </c>
      <c r="I2" s="97" t="s">
        <v>221</v>
      </c>
      <c r="J2" s="97" t="s">
        <v>222</v>
      </c>
      <c r="K2" s="97" t="s">
        <v>274</v>
      </c>
    </row>
    <row r="3" s="87" customFormat="1" customHeight="1" spans="1:12">
      <c r="A3" s="98" t="s">
        <v>20</v>
      </c>
      <c r="B3" s="98" t="s">
        <v>180</v>
      </c>
      <c r="C3" s="98">
        <v>3300</v>
      </c>
      <c r="D3" s="99">
        <v>990</v>
      </c>
      <c r="E3" s="201">
        <v>0</v>
      </c>
      <c r="F3" s="166">
        <f>E3/C3</f>
        <v>0</v>
      </c>
      <c r="G3" s="99">
        <v>1212.5</v>
      </c>
      <c r="H3" s="166">
        <f>G3/C3</f>
        <v>0.367424242424242</v>
      </c>
      <c r="I3" s="167">
        <f>C3-G3</f>
        <v>2087.5</v>
      </c>
      <c r="J3" s="166">
        <f>1-H3</f>
        <v>0.632575757575758</v>
      </c>
      <c r="K3" s="167">
        <v>2412.96</v>
      </c>
    </row>
    <row r="4" s="88" customFormat="1" customHeight="1" spans="1:12">
      <c r="A4" s="98" t="s">
        <v>20</v>
      </c>
      <c r="B4" s="98" t="s">
        <v>300</v>
      </c>
      <c r="C4" s="98">
        <v>840</v>
      </c>
      <c r="D4" s="98">
        <f>C4*0.3</f>
        <v>252</v>
      </c>
      <c r="E4" s="201">
        <v>0</v>
      </c>
      <c r="F4" s="166">
        <v>0</v>
      </c>
      <c r="G4" s="202">
        <v>0</v>
      </c>
      <c r="H4" s="166">
        <v>0</v>
      </c>
      <c r="I4" s="167">
        <v>840</v>
      </c>
      <c r="J4" s="166">
        <v>1</v>
      </c>
      <c r="K4" s="168">
        <v>0</v>
      </c>
    </row>
    <row r="5" s="88" customFormat="1" customHeight="1" spans="1:12">
      <c r="A5" s="96" t="s">
        <v>225</v>
      </c>
      <c r="B5" s="96"/>
      <c r="C5" s="98">
        <f>SUM(C3:C4)</f>
        <v>4140</v>
      </c>
      <c r="D5" s="98">
        <f>SUM(D3:D4)</f>
        <v>1242</v>
      </c>
      <c r="E5" s="201">
        <v>0</v>
      </c>
      <c r="F5" s="166">
        <f>E5/C5</f>
        <v>0</v>
      </c>
      <c r="G5" s="201">
        <f>G3</f>
        <v>1212.5</v>
      </c>
      <c r="H5" s="166">
        <f>G5/C5</f>
        <v>0.292874396135266</v>
      </c>
      <c r="I5" s="167">
        <f>C5-G5</f>
        <v>2927.5</v>
      </c>
      <c r="J5" s="166">
        <f>1-H5</f>
        <v>0.707125603864734</v>
      </c>
      <c r="K5" s="168">
        <f>K3</f>
        <v>2412.96</v>
      </c>
    </row>
    <row r="6" s="162" customFormat="1" customHeight="1"/>
    <row r="7" s="87" customFormat="1" customHeight="1" spans="1:12">
      <c r="A7" s="94" t="s">
        <v>226</v>
      </c>
      <c r="B7" s="94"/>
      <c r="C7" s="94"/>
      <c r="D7" s="94"/>
      <c r="E7" s="94"/>
      <c r="F7" s="94"/>
      <c r="G7" s="94"/>
      <c r="H7" s="94"/>
      <c r="I7" s="94"/>
      <c r="J7" s="94"/>
      <c r="K7" s="108"/>
      <c r="L7" s="108"/>
    </row>
    <row r="8" s="87" customFormat="1" ht="49" customHeight="1" spans="1:12">
      <c r="A8" s="96" t="s">
        <v>42</v>
      </c>
      <c r="B8" s="96" t="s">
        <v>214</v>
      </c>
      <c r="C8" s="109" t="s">
        <v>227</v>
      </c>
      <c r="D8" s="110" t="s">
        <v>24</v>
      </c>
      <c r="E8" s="110" t="s">
        <v>25</v>
      </c>
      <c r="F8" s="110" t="s">
        <v>26</v>
      </c>
      <c r="G8" s="110" t="s">
        <v>27</v>
      </c>
      <c r="H8" s="110" t="s">
        <v>28</v>
      </c>
      <c r="I8" s="110" t="s">
        <v>29</v>
      </c>
      <c r="J8" s="110" t="s">
        <v>30</v>
      </c>
      <c r="K8" s="111"/>
      <c r="L8" s="112"/>
    </row>
    <row r="9" s="87" customFormat="1" customHeight="1" spans="1:12">
      <c r="A9" s="113" t="s">
        <v>20</v>
      </c>
      <c r="B9" s="113" t="s">
        <v>180</v>
      </c>
      <c r="C9" s="113" t="s">
        <v>31</v>
      </c>
      <c r="D9" s="113">
        <v>6</v>
      </c>
      <c r="E9" s="113">
        <v>1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72"/>
      <c r="L9" s="115"/>
    </row>
    <row r="10" s="87" customFormat="1" customHeight="1" spans="1:12">
      <c r="A10" s="113"/>
      <c r="B10" s="113"/>
      <c r="C10" s="113" t="s">
        <v>32</v>
      </c>
      <c r="D10" s="113">
        <v>82</v>
      </c>
      <c r="E10" s="113">
        <v>52</v>
      </c>
      <c r="F10" s="113">
        <v>12</v>
      </c>
      <c r="G10" s="113">
        <v>6</v>
      </c>
      <c r="H10" s="113">
        <v>1</v>
      </c>
      <c r="I10" s="113">
        <v>0</v>
      </c>
      <c r="J10" s="113">
        <v>74</v>
      </c>
      <c r="K10" s="172"/>
      <c r="L10" s="115"/>
    </row>
    <row r="11" s="87" customFormat="1" customHeight="1" spans="1:12">
      <c r="A11" s="113" t="s">
        <v>20</v>
      </c>
      <c r="B11" s="113" t="s">
        <v>300</v>
      </c>
      <c r="C11" s="113" t="s">
        <v>31</v>
      </c>
      <c r="D11" s="113">
        <v>27</v>
      </c>
      <c r="E11" s="113">
        <v>0</v>
      </c>
      <c r="F11" s="113">
        <v>0</v>
      </c>
      <c r="G11" s="113">
        <v>0</v>
      </c>
      <c r="H11" s="113">
        <v>0</v>
      </c>
      <c r="I11" s="113">
        <v>0</v>
      </c>
      <c r="J11" s="113">
        <v>0</v>
      </c>
      <c r="K11" s="172"/>
      <c r="L11" s="115"/>
    </row>
    <row r="12" s="87" customFormat="1" customHeight="1" spans="1:12">
      <c r="A12" s="113"/>
      <c r="B12" s="113"/>
      <c r="C12" s="113" t="s">
        <v>32</v>
      </c>
      <c r="D12" s="113">
        <v>65</v>
      </c>
      <c r="E12" s="113">
        <v>0</v>
      </c>
      <c r="F12" s="113">
        <v>1</v>
      </c>
      <c r="G12" s="113">
        <v>1</v>
      </c>
      <c r="H12" s="113">
        <v>0</v>
      </c>
      <c r="I12" s="113">
        <v>0</v>
      </c>
      <c r="J12" s="113">
        <v>13</v>
      </c>
      <c r="K12" s="172"/>
      <c r="L12" s="115"/>
    </row>
    <row r="13" s="87" customFormat="1" customHeight="1" spans="1:12">
      <c r="A13" s="96" t="s">
        <v>242</v>
      </c>
      <c r="B13" s="96"/>
      <c r="C13" s="109" t="s">
        <v>31</v>
      </c>
      <c r="D13" s="113">
        <f>D9+D11</f>
        <v>33</v>
      </c>
      <c r="E13" s="113">
        <f t="shared" ref="E13:J13" si="0">E9+E11</f>
        <v>1</v>
      </c>
      <c r="F13" s="113">
        <f t="shared" si="0"/>
        <v>0</v>
      </c>
      <c r="G13" s="113">
        <f t="shared" si="0"/>
        <v>0</v>
      </c>
      <c r="H13" s="113">
        <f t="shared" si="0"/>
        <v>0</v>
      </c>
      <c r="I13" s="113">
        <f t="shared" si="0"/>
        <v>0</v>
      </c>
      <c r="J13" s="113">
        <f t="shared" si="0"/>
        <v>0</v>
      </c>
      <c r="K13" s="203"/>
      <c r="L13" s="203"/>
    </row>
    <row r="14" s="87" customFormat="1" customHeight="1" spans="1:12">
      <c r="A14" s="96"/>
      <c r="B14" s="96"/>
      <c r="C14" s="109" t="s">
        <v>32</v>
      </c>
      <c r="D14" s="113">
        <f>D10+D12</f>
        <v>147</v>
      </c>
      <c r="E14" s="113">
        <f t="shared" ref="E14:J14" si="1">E10+E12</f>
        <v>52</v>
      </c>
      <c r="F14" s="113">
        <f t="shared" si="1"/>
        <v>13</v>
      </c>
      <c r="G14" s="113">
        <f t="shared" si="1"/>
        <v>7</v>
      </c>
      <c r="H14" s="113">
        <f t="shared" si="1"/>
        <v>1</v>
      </c>
      <c r="I14" s="113">
        <f t="shared" si="1"/>
        <v>0</v>
      </c>
      <c r="J14" s="113">
        <f t="shared" si="1"/>
        <v>87</v>
      </c>
      <c r="K14" s="203"/>
      <c r="L14" s="203"/>
    </row>
    <row r="15" s="87" customFormat="1" customHeight="1" spans="1:12">
      <c r="A15" s="204"/>
      <c r="B15" s="204"/>
      <c r="C15" s="205"/>
      <c r="D15" s="206"/>
      <c r="E15" s="206"/>
      <c r="F15" s="206"/>
      <c r="G15" s="206"/>
      <c r="H15" s="206"/>
      <c r="I15" s="206"/>
      <c r="J15" s="206"/>
      <c r="K15" s="205"/>
      <c r="L15" s="205"/>
    </row>
    <row r="16" s="87" customFormat="1" customHeight="1" spans="1:12">
      <c r="A16" s="204"/>
      <c r="B16" s="204"/>
      <c r="C16" s="205"/>
      <c r="D16" s="206"/>
      <c r="E16" s="206"/>
      <c r="F16" s="206"/>
      <c r="G16" s="206"/>
      <c r="H16" s="206"/>
      <c r="I16" s="206"/>
      <c r="J16" s="206"/>
      <c r="K16" s="205"/>
      <c r="L16" s="205"/>
    </row>
    <row r="17" s="87" customFormat="1" customHeight="1" spans="1:15">
      <c r="A17" s="204"/>
      <c r="B17" s="204"/>
      <c r="C17" s="205"/>
      <c r="D17" s="206"/>
      <c r="E17" s="206"/>
      <c r="F17" s="206"/>
      <c r="G17" s="206"/>
      <c r="H17" s="206"/>
      <c r="I17" s="206"/>
      <c r="J17" s="206"/>
      <c r="K17" s="205"/>
      <c r="L17" s="205"/>
    </row>
    <row r="18" s="87" customFormat="1" customHeight="1" spans="1:15">
      <c r="A18" s="204"/>
      <c r="B18" s="204"/>
      <c r="C18" s="205"/>
      <c r="D18" s="206"/>
      <c r="E18" s="206"/>
      <c r="F18" s="206"/>
      <c r="G18" s="206"/>
      <c r="H18" s="206"/>
      <c r="I18" s="206"/>
      <c r="J18" s="206"/>
      <c r="K18" s="205"/>
      <c r="L18" s="205"/>
    </row>
    <row r="19" s="90" customFormat="1" customHeight="1"/>
    <row r="20" s="87" customFormat="1" ht="27.95" customHeight="1" spans="1:15">
      <c r="A20" s="94" t="s">
        <v>301</v>
      </c>
      <c r="B20" s="94"/>
      <c r="C20" s="94"/>
      <c r="D20" s="94"/>
      <c r="E20" s="94"/>
      <c r="F20" s="94"/>
    </row>
    <row r="21" s="87" customFormat="1" ht="27.95" customHeight="1" spans="1:15">
      <c r="A21" s="182" t="s">
        <v>230</v>
      </c>
      <c r="B21" s="182"/>
      <c r="C21" s="182"/>
      <c r="D21" s="182"/>
      <c r="E21" s="182"/>
      <c r="F21" s="182"/>
    </row>
    <row r="22" s="87" customFormat="1" ht="27.95" customHeight="1" spans="1:15">
      <c r="A22" s="177" t="s">
        <v>42</v>
      </c>
      <c r="B22" s="177" t="s">
        <v>231</v>
      </c>
      <c r="C22" s="178" t="s">
        <v>232</v>
      </c>
      <c r="D22" s="178" t="s">
        <v>233</v>
      </c>
      <c r="E22" s="179" t="s">
        <v>276</v>
      </c>
      <c r="F22" s="178" t="s">
        <v>235</v>
      </c>
    </row>
    <row r="23" s="87" customFormat="1" ht="27.95" customHeight="1" spans="1:15">
      <c r="A23" s="129" t="s">
        <v>20</v>
      </c>
      <c r="B23" s="129" t="s">
        <v>180</v>
      </c>
      <c r="C23" s="130" t="s">
        <v>302</v>
      </c>
      <c r="D23" s="130" t="s">
        <v>303</v>
      </c>
      <c r="E23" s="130">
        <v>1600</v>
      </c>
      <c r="F23" s="130"/>
    </row>
    <row r="24" s="87" customFormat="1" ht="27.95" customHeight="1" spans="1:15">
      <c r="A24" s="177" t="s">
        <v>242</v>
      </c>
      <c r="B24" s="177"/>
      <c r="C24" s="177"/>
      <c r="D24" s="177"/>
      <c r="E24" s="207">
        <f>SUM(E23:E23)</f>
        <v>1600</v>
      </c>
      <c r="F24" s="178"/>
    </row>
    <row r="25" s="87" customFormat="1" ht="27.95" customHeight="1" spans="1:15">
      <c r="A25" s="182" t="s">
        <v>291</v>
      </c>
      <c r="B25" s="182"/>
      <c r="C25" s="182"/>
      <c r="D25" s="182"/>
      <c r="E25" s="182"/>
      <c r="F25" s="182"/>
    </row>
    <row r="26" s="87" customFormat="1" ht="27.95" customHeight="1" spans="1:15">
      <c r="A26" s="177" t="s">
        <v>42</v>
      </c>
      <c r="B26" s="177" t="s">
        <v>231</v>
      </c>
      <c r="C26" s="178" t="s">
        <v>232</v>
      </c>
      <c r="D26" s="178" t="s">
        <v>233</v>
      </c>
      <c r="E26" s="179" t="s">
        <v>276</v>
      </c>
      <c r="F26" s="178" t="s">
        <v>235</v>
      </c>
    </row>
    <row r="27" s="87" customFormat="1" ht="27.95" customHeight="1" spans="1:15">
      <c r="A27" s="129" t="s">
        <v>20</v>
      </c>
      <c r="B27" s="129" t="s">
        <v>180</v>
      </c>
      <c r="C27" s="130" t="s">
        <v>304</v>
      </c>
      <c r="D27" s="130" t="s">
        <v>305</v>
      </c>
      <c r="E27" s="208">
        <v>400</v>
      </c>
      <c r="F27" s="130" t="s">
        <v>306</v>
      </c>
    </row>
    <row r="28" s="87" customFormat="1" ht="27.95" customHeight="1" spans="1:15">
      <c r="A28" s="129" t="s">
        <v>20</v>
      </c>
      <c r="B28" s="129" t="s">
        <v>180</v>
      </c>
      <c r="C28" s="130" t="s">
        <v>307</v>
      </c>
      <c r="D28" s="130" t="s">
        <v>308</v>
      </c>
      <c r="E28" s="130">
        <f>58*7.12</f>
        <v>412.96</v>
      </c>
      <c r="F28" s="130" t="s">
        <v>309</v>
      </c>
    </row>
    <row r="29" s="87" customFormat="1" ht="27.95" customHeight="1" spans="1:15">
      <c r="A29" s="177" t="s">
        <v>242</v>
      </c>
      <c r="B29" s="177"/>
      <c r="C29" s="177"/>
      <c r="D29" s="177"/>
      <c r="E29" s="209">
        <f>SUM(E27:E28)</f>
        <v>812.96</v>
      </c>
      <c r="F29" s="178"/>
    </row>
    <row r="30" s="87" customFormat="1" customHeight="1" spans="1:15">
      <c r="A30" s="185" t="s">
        <v>253</v>
      </c>
      <c r="B30" s="185"/>
      <c r="C30" s="185"/>
      <c r="D30" s="185"/>
      <c r="E30" s="186"/>
      <c r="F30" s="186"/>
      <c r="G30" s="117"/>
      <c r="H30" s="117"/>
      <c r="I30" s="117"/>
      <c r="J30" s="117"/>
      <c r="K30" s="117"/>
      <c r="L30" s="117"/>
      <c r="M30" s="117"/>
      <c r="N30" s="117"/>
      <c r="O30" s="117"/>
    </row>
    <row r="31" s="87" customFormat="1" customHeight="1" spans="1:15">
      <c r="A31" s="125" t="s">
        <v>42</v>
      </c>
      <c r="B31" s="125" t="s">
        <v>231</v>
      </c>
      <c r="C31" s="125" t="s">
        <v>232</v>
      </c>
      <c r="D31" s="125" t="s">
        <v>233</v>
      </c>
      <c r="E31" s="126" t="s">
        <v>234</v>
      </c>
      <c r="F31" s="178" t="s">
        <v>235</v>
      </c>
      <c r="G31" s="117"/>
      <c r="H31" s="117"/>
      <c r="I31" s="117"/>
      <c r="J31" s="117"/>
      <c r="K31" s="117"/>
      <c r="L31" s="117"/>
      <c r="M31" s="117"/>
      <c r="N31" s="117"/>
      <c r="O31" s="117"/>
    </row>
    <row r="32" s="87" customFormat="1" customHeight="1" spans="1:15">
      <c r="A32" s="129" t="s">
        <v>20</v>
      </c>
      <c r="B32" s="129" t="s">
        <v>180</v>
      </c>
      <c r="C32" s="187" t="s">
        <v>310</v>
      </c>
      <c r="D32" s="130" t="s">
        <v>311</v>
      </c>
      <c r="E32" s="210">
        <v>3000</v>
      </c>
      <c r="F32" s="132"/>
      <c r="G32" s="117"/>
      <c r="H32" s="117"/>
      <c r="I32" s="117"/>
      <c r="J32" s="117"/>
      <c r="K32" s="117"/>
      <c r="L32" s="117"/>
      <c r="M32" s="117"/>
      <c r="N32" s="117"/>
      <c r="O32" s="117"/>
    </row>
    <row r="33" s="87" customFormat="1" customHeight="1" spans="1:22">
      <c r="A33" s="129" t="s">
        <v>20</v>
      </c>
      <c r="B33" s="129" t="s">
        <v>180</v>
      </c>
      <c r="C33" s="187" t="s">
        <v>304</v>
      </c>
      <c r="D33" s="130" t="s">
        <v>312</v>
      </c>
      <c r="E33" s="210">
        <v>700</v>
      </c>
      <c r="F33" s="132"/>
      <c r="G33" s="117"/>
      <c r="H33" s="117"/>
      <c r="I33" s="117"/>
      <c r="J33" s="117"/>
      <c r="K33" s="117"/>
      <c r="L33" s="117"/>
      <c r="M33" s="117"/>
      <c r="N33" s="128"/>
      <c r="O33" s="128"/>
    </row>
    <row r="34" s="87" customFormat="1" customHeight="1" spans="1:22">
      <c r="A34" s="129" t="s">
        <v>20</v>
      </c>
      <c r="B34" s="129" t="s">
        <v>300</v>
      </c>
      <c r="C34" s="129" t="s">
        <v>313</v>
      </c>
      <c r="D34" s="130" t="s">
        <v>314</v>
      </c>
      <c r="E34" s="210">
        <v>160</v>
      </c>
      <c r="F34" s="127"/>
      <c r="G34" s="117"/>
      <c r="H34" s="117"/>
      <c r="I34" s="117"/>
      <c r="J34" s="117"/>
      <c r="K34" s="117"/>
      <c r="L34" s="117"/>
      <c r="M34" s="117"/>
      <c r="N34" s="128"/>
      <c r="O34" s="128"/>
    </row>
    <row r="35" s="87" customFormat="1" customHeight="1" spans="1:22">
      <c r="A35" s="129" t="s">
        <v>20</v>
      </c>
      <c r="B35" s="129" t="s">
        <v>180</v>
      </c>
      <c r="C35" s="187" t="s">
        <v>286</v>
      </c>
      <c r="D35" s="130" t="s">
        <v>315</v>
      </c>
      <c r="E35" s="211"/>
      <c r="F35" s="127" t="s">
        <v>316</v>
      </c>
      <c r="G35" s="117"/>
      <c r="H35" s="117"/>
      <c r="I35" s="117"/>
      <c r="J35" s="117"/>
      <c r="K35" s="117"/>
      <c r="L35" s="117"/>
      <c r="M35" s="117"/>
      <c r="N35" s="128"/>
      <c r="O35" s="128"/>
    </row>
    <row r="36" s="87" customFormat="1" customHeight="1" spans="1:22">
      <c r="A36" s="125" t="s">
        <v>242</v>
      </c>
      <c r="B36" s="125"/>
      <c r="C36" s="125"/>
      <c r="D36" s="125"/>
      <c r="E36" s="127">
        <f>SUM(E32:E34)</f>
        <v>3860</v>
      </c>
      <c r="F36" s="127"/>
      <c r="G36" s="117"/>
      <c r="H36" s="117"/>
      <c r="I36" s="117"/>
      <c r="J36" s="117"/>
      <c r="K36" s="117"/>
      <c r="L36" s="117"/>
      <c r="M36" s="117"/>
      <c r="N36" s="128"/>
      <c r="O36" s="128"/>
    </row>
    <row r="37" s="87" customFormat="1" customHeight="1" spans="1:22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28"/>
      <c r="O37" s="128"/>
    </row>
    <row r="38" s="87" customFormat="1" customHeight="1" spans="1:22">
      <c r="A38" s="105" t="s">
        <v>257</v>
      </c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7"/>
      <c r="N38" s="108"/>
      <c r="O38" s="108"/>
    </row>
    <row r="39" s="87" customFormat="1" ht="45.95" customHeight="1" spans="1:22">
      <c r="A39" s="109" t="s">
        <v>213</v>
      </c>
      <c r="B39" s="109" t="s">
        <v>214</v>
      </c>
      <c r="C39" s="109" t="s">
        <v>227</v>
      </c>
      <c r="D39" s="110" t="s">
        <v>258</v>
      </c>
      <c r="E39" s="110" t="s">
        <v>259</v>
      </c>
      <c r="F39" s="110" t="s">
        <v>260</v>
      </c>
      <c r="G39" s="110" t="s">
        <v>261</v>
      </c>
      <c r="H39" s="110" t="s">
        <v>262</v>
      </c>
      <c r="I39" s="110" t="s">
        <v>263</v>
      </c>
      <c r="J39" s="110" t="s">
        <v>264</v>
      </c>
      <c r="K39" s="110" t="s">
        <v>228</v>
      </c>
      <c r="L39" s="110" t="s">
        <v>265</v>
      </c>
      <c r="M39" s="110" t="s">
        <v>266</v>
      </c>
      <c r="N39" s="133"/>
      <c r="O39" s="133"/>
    </row>
    <row r="40" s="87" customFormat="1" customHeight="1" spans="1:22">
      <c r="A40" s="212" t="s">
        <v>20</v>
      </c>
      <c r="B40" s="113" t="s">
        <v>180</v>
      </c>
      <c r="C40" s="113" t="s">
        <v>31</v>
      </c>
      <c r="D40" s="190">
        <v>19.2</v>
      </c>
      <c r="E40" s="190">
        <v>5417.76</v>
      </c>
      <c r="F40" s="190"/>
      <c r="G40" s="190">
        <v>6407.63</v>
      </c>
      <c r="H40" s="190"/>
      <c r="I40" s="190"/>
      <c r="J40" s="190"/>
      <c r="K40" s="191">
        <v>11844.59</v>
      </c>
      <c r="L40" s="213">
        <f>K41/(G3*10000)</f>
        <v>0.0170572197938144</v>
      </c>
      <c r="M40" s="213">
        <f>I41/(G3*10000)</f>
        <v>0.00945559175257732</v>
      </c>
      <c r="N40" s="137"/>
      <c r="O40" s="137"/>
    </row>
    <row r="41" s="87" customFormat="1" customHeight="1" spans="1:22">
      <c r="A41" s="214"/>
      <c r="B41" s="113"/>
      <c r="C41" s="113" t="s">
        <v>267</v>
      </c>
      <c r="D41" s="190">
        <v>19.2</v>
      </c>
      <c r="E41" s="190">
        <v>65668.95</v>
      </c>
      <c r="F41" s="190">
        <v>4142.9</v>
      </c>
      <c r="G41" s="190">
        <v>22338.69</v>
      </c>
      <c r="H41" s="190"/>
      <c r="I41" s="190">
        <v>114649.05</v>
      </c>
      <c r="J41" s="190"/>
      <c r="K41" s="191">
        <v>206818.79</v>
      </c>
      <c r="L41" s="215"/>
      <c r="M41" s="215"/>
      <c r="N41" s="137"/>
      <c r="O41" s="137"/>
    </row>
    <row r="42" s="87" customFormat="1" customHeight="1" spans="1:22">
      <c r="A42" s="214"/>
      <c r="B42" s="212" t="s">
        <v>300</v>
      </c>
      <c r="C42" s="113" t="s">
        <v>31</v>
      </c>
      <c r="D42" s="216"/>
      <c r="E42" s="216"/>
      <c r="F42" s="216"/>
      <c r="G42" s="216"/>
      <c r="H42" s="216"/>
      <c r="I42" s="216"/>
      <c r="J42" s="216"/>
      <c r="K42" s="217">
        <v>0</v>
      </c>
      <c r="L42" s="218"/>
      <c r="M42" s="218"/>
      <c r="N42" s="195"/>
      <c r="O42" s="195"/>
    </row>
    <row r="43" s="87" customFormat="1" customHeight="1" spans="1:22">
      <c r="A43" s="219"/>
      <c r="B43" s="219"/>
      <c r="C43" s="113" t="s">
        <v>267</v>
      </c>
      <c r="D43" s="216">
        <v>13</v>
      </c>
      <c r="E43" s="216">
        <v>1785.38</v>
      </c>
      <c r="F43" s="216"/>
      <c r="G43" s="216"/>
      <c r="H43" s="216"/>
      <c r="I43" s="216"/>
      <c r="J43" s="216"/>
      <c r="K43" s="217">
        <v>1798.38</v>
      </c>
      <c r="L43" s="220"/>
      <c r="M43" s="220"/>
      <c r="N43" s="195"/>
      <c r="O43" s="195"/>
    </row>
    <row r="44" s="87" customFormat="1" customHeight="1" spans="1:22">
      <c r="A44" s="109" t="s">
        <v>228</v>
      </c>
      <c r="B44" s="109"/>
      <c r="C44" s="109" t="s">
        <v>31</v>
      </c>
      <c r="D44" s="216">
        <f>D40+D42</f>
        <v>19.2</v>
      </c>
      <c r="E44" s="216">
        <f>E40+E42</f>
        <v>5417.76</v>
      </c>
      <c r="F44" s="216">
        <f t="shared" ref="F44:K44" si="2">F40+F42</f>
        <v>0</v>
      </c>
      <c r="G44" s="216">
        <f t="shared" si="2"/>
        <v>6407.63</v>
      </c>
      <c r="H44" s="216">
        <f t="shared" si="2"/>
        <v>0</v>
      </c>
      <c r="I44" s="216">
        <f t="shared" si="2"/>
        <v>0</v>
      </c>
      <c r="J44" s="216">
        <f t="shared" si="2"/>
        <v>0</v>
      </c>
      <c r="K44" s="217">
        <f>SUM(D44:J44)</f>
        <v>11844.59</v>
      </c>
      <c r="L44" s="193">
        <f>K45/(G5*10000)</f>
        <v>0.0172055397938144</v>
      </c>
      <c r="M44" s="193">
        <v>0.00945559175257732</v>
      </c>
      <c r="N44" s="195"/>
      <c r="O44" s="195"/>
    </row>
    <row r="45" s="87" customFormat="1" customHeight="1" spans="1:22">
      <c r="A45" s="109"/>
      <c r="B45" s="109"/>
      <c r="C45" s="109" t="s">
        <v>267</v>
      </c>
      <c r="D45" s="216">
        <f>D41+D43</f>
        <v>32.2</v>
      </c>
      <c r="E45" s="216">
        <f>E41+E43</f>
        <v>67454.33</v>
      </c>
      <c r="F45" s="216">
        <f t="shared" ref="F45:K45" si="3">F41+F43</f>
        <v>4142.9</v>
      </c>
      <c r="G45" s="216">
        <f t="shared" si="3"/>
        <v>22338.69</v>
      </c>
      <c r="H45" s="216">
        <f t="shared" si="3"/>
        <v>0</v>
      </c>
      <c r="I45" s="216">
        <f t="shared" si="3"/>
        <v>114649.05</v>
      </c>
      <c r="J45" s="216">
        <f t="shared" si="3"/>
        <v>0</v>
      </c>
      <c r="K45" s="217">
        <f>SUM(D45:J45)</f>
        <v>208617.17</v>
      </c>
      <c r="L45" s="193"/>
      <c r="M45" s="193"/>
      <c r="N45" s="195"/>
      <c r="O45" s="195"/>
    </row>
    <row r="46" s="90" customFormat="1" customHeight="1"/>
    <row r="47" s="91" customFormat="1" customHeight="1" spans="1:22">
      <c r="A47" s="94" t="s">
        <v>268</v>
      </c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</row>
    <row r="48" s="92" customFormat="1" ht="33" spans="1:22">
      <c r="A48" s="196" t="s">
        <v>41</v>
      </c>
      <c r="B48" s="196" t="s">
        <v>42</v>
      </c>
      <c r="C48" s="196" t="s">
        <v>43</v>
      </c>
      <c r="D48" s="196" t="s">
        <v>44</v>
      </c>
      <c r="E48" s="197" t="s">
        <v>45</v>
      </c>
      <c r="F48" s="196" t="s">
        <v>46</v>
      </c>
      <c r="G48" s="196" t="s">
        <v>47</v>
      </c>
      <c r="H48" s="196" t="s">
        <v>48</v>
      </c>
      <c r="I48" s="196" t="s">
        <v>49</v>
      </c>
      <c r="J48" s="196" t="s">
        <v>50</v>
      </c>
      <c r="K48" s="196" t="s">
        <v>51</v>
      </c>
      <c r="L48" s="196" t="s">
        <v>52</v>
      </c>
      <c r="M48" s="196" t="s">
        <v>53</v>
      </c>
      <c r="N48" s="196" t="s">
        <v>54</v>
      </c>
      <c r="O48" s="196" t="s">
        <v>55</v>
      </c>
      <c r="P48" s="196" t="s">
        <v>56</v>
      </c>
      <c r="Q48" s="196" t="s">
        <v>57</v>
      </c>
      <c r="R48" s="196" t="s">
        <v>58</v>
      </c>
      <c r="S48" s="196" t="s">
        <v>59</v>
      </c>
      <c r="T48" s="196" t="s">
        <v>60</v>
      </c>
      <c r="U48" s="196" t="s">
        <v>61</v>
      </c>
      <c r="V48" s="196" t="s">
        <v>62</v>
      </c>
    </row>
    <row r="49" s="92" customFormat="1" ht="27" customHeight="1" spans="1:22">
      <c r="A49" s="140">
        <v>1</v>
      </c>
      <c r="B49" s="140" t="s">
        <v>178</v>
      </c>
      <c r="C49" s="140" t="s">
        <v>64</v>
      </c>
      <c r="D49" s="141" t="s">
        <v>179</v>
      </c>
      <c r="E49" s="142">
        <v>45986</v>
      </c>
      <c r="F49" s="140" t="s">
        <v>180</v>
      </c>
      <c r="G49" s="140" t="s">
        <v>67</v>
      </c>
      <c r="H49" s="143">
        <v>1723000</v>
      </c>
      <c r="I49" s="143">
        <v>12203319.8</v>
      </c>
      <c r="J49" s="141" t="s">
        <v>88</v>
      </c>
      <c r="K49" s="143">
        <v>516900</v>
      </c>
      <c r="L49" s="143">
        <v>3594160.77</v>
      </c>
      <c r="M49" s="145">
        <v>1206100</v>
      </c>
      <c r="N49" s="145">
        <v>8180735.08</v>
      </c>
      <c r="O49" s="146">
        <v>0.3</v>
      </c>
      <c r="P49" s="147" t="s">
        <v>181</v>
      </c>
      <c r="Q49" s="143"/>
      <c r="R49" s="143">
        <v>1206100</v>
      </c>
      <c r="S49" s="141"/>
      <c r="T49" s="147"/>
      <c r="U49" s="145"/>
      <c r="V49" s="145"/>
    </row>
    <row r="50" s="92" customFormat="1" ht="27" customHeight="1" spans="1:22">
      <c r="A50" s="140">
        <v>2</v>
      </c>
      <c r="B50" s="140" t="s">
        <v>178</v>
      </c>
      <c r="C50" s="140" t="s">
        <v>64</v>
      </c>
      <c r="D50" s="147" t="s">
        <v>182</v>
      </c>
      <c r="E50" s="221">
        <v>45320</v>
      </c>
      <c r="F50" s="198" t="s">
        <v>180</v>
      </c>
      <c r="G50" s="198" t="s">
        <v>67</v>
      </c>
      <c r="H50" s="222">
        <v>3376779.1</v>
      </c>
      <c r="I50" s="222">
        <v>23964558.4</v>
      </c>
      <c r="J50" s="147" t="s">
        <v>183</v>
      </c>
      <c r="K50" s="222">
        <v>3209729.25</v>
      </c>
      <c r="L50" s="222">
        <v>22870229.139667</v>
      </c>
      <c r="M50" s="223">
        <v>167049.85</v>
      </c>
      <c r="N50" s="145">
        <v>1133065.72258</v>
      </c>
      <c r="O50" s="224">
        <v>0.950529825892372</v>
      </c>
      <c r="P50" s="147" t="s">
        <v>125</v>
      </c>
      <c r="Q50" s="222"/>
      <c r="R50" s="222">
        <v>167049.85</v>
      </c>
      <c r="S50" s="147"/>
      <c r="T50" s="147"/>
      <c r="U50" s="145"/>
      <c r="V50" s="145"/>
    </row>
    <row r="51" s="92" customFormat="1" ht="27" customHeight="1" spans="1:22">
      <c r="A51" s="140">
        <v>3</v>
      </c>
      <c r="B51" s="140" t="s">
        <v>178</v>
      </c>
      <c r="C51" s="140" t="s">
        <v>64</v>
      </c>
      <c r="D51" s="147" t="s">
        <v>184</v>
      </c>
      <c r="E51" s="221">
        <v>45320</v>
      </c>
      <c r="F51" s="198" t="s">
        <v>180</v>
      </c>
      <c r="G51" s="198" t="s">
        <v>67</v>
      </c>
      <c r="H51" s="222">
        <v>281820</v>
      </c>
      <c r="I51" s="222">
        <v>1974825.47</v>
      </c>
      <c r="J51" s="147" t="s">
        <v>185</v>
      </c>
      <c r="K51" s="222">
        <v>211638</v>
      </c>
      <c r="L51" s="222">
        <v>1494169.6476</v>
      </c>
      <c r="M51" s="223">
        <v>70182</v>
      </c>
      <c r="N51" s="145">
        <v>476030.4696</v>
      </c>
      <c r="O51" s="224">
        <v>0.75096870342772</v>
      </c>
      <c r="P51" s="147" t="s">
        <v>186</v>
      </c>
      <c r="Q51" s="222"/>
      <c r="R51" s="222">
        <v>70182</v>
      </c>
      <c r="S51" s="147"/>
      <c r="T51" s="147"/>
      <c r="U51" s="145"/>
      <c r="V51" s="145"/>
    </row>
    <row r="52" s="92" customFormat="1" ht="27" customHeight="1" spans="1:22">
      <c r="A52" s="140">
        <v>4</v>
      </c>
      <c r="B52" s="140" t="s">
        <v>178</v>
      </c>
      <c r="C52" s="140" t="s">
        <v>64</v>
      </c>
      <c r="D52" s="141" t="s">
        <v>187</v>
      </c>
      <c r="E52" s="142">
        <v>45884</v>
      </c>
      <c r="F52" s="140" t="s">
        <v>180</v>
      </c>
      <c r="G52" s="140" t="s">
        <v>67</v>
      </c>
      <c r="H52" s="143">
        <v>14000</v>
      </c>
      <c r="I52" s="143">
        <v>99919.4</v>
      </c>
      <c r="J52" s="141" t="s">
        <v>100</v>
      </c>
      <c r="K52" s="143">
        <v>4200</v>
      </c>
      <c r="L52" s="200">
        <v>29975.82</v>
      </c>
      <c r="M52" s="145">
        <v>9800</v>
      </c>
      <c r="N52" s="145">
        <v>66471.44</v>
      </c>
      <c r="O52" s="146">
        <v>0.3</v>
      </c>
      <c r="P52" s="147" t="s">
        <v>101</v>
      </c>
      <c r="Q52" s="143"/>
      <c r="R52" s="143">
        <v>9800</v>
      </c>
      <c r="S52" s="141" t="s">
        <v>143</v>
      </c>
      <c r="T52" s="147"/>
      <c r="U52" s="145"/>
      <c r="V52" s="145"/>
    </row>
    <row r="53" s="92" customFormat="1" ht="27" customHeight="1" spans="1:22">
      <c r="A53" s="140">
        <v>5</v>
      </c>
      <c r="B53" s="140" t="s">
        <v>178</v>
      </c>
      <c r="C53" s="140" t="s">
        <v>102</v>
      </c>
      <c r="D53" s="141" t="s">
        <v>188</v>
      </c>
      <c r="E53" s="142">
        <v>45777</v>
      </c>
      <c r="F53" s="140" t="s">
        <v>180</v>
      </c>
      <c r="G53" s="140" t="s">
        <v>67</v>
      </c>
      <c r="H53" s="143">
        <v>1741000</v>
      </c>
      <c r="I53" s="143">
        <v>12497246.2</v>
      </c>
      <c r="J53" s="141" t="s">
        <v>189</v>
      </c>
      <c r="K53" s="143">
        <v>1654750</v>
      </c>
      <c r="L53" s="143">
        <v>11692966.91</v>
      </c>
      <c r="M53" s="145">
        <v>86250</v>
      </c>
      <c r="N53" s="145">
        <v>585016.5</v>
      </c>
      <c r="O53" s="146">
        <v>0.950459506031017</v>
      </c>
      <c r="P53" s="147" t="s">
        <v>125</v>
      </c>
      <c r="Q53" s="143"/>
      <c r="R53" s="143">
        <v>86250</v>
      </c>
      <c r="S53" s="141"/>
      <c r="T53" s="147" t="s">
        <v>190</v>
      </c>
      <c r="U53" s="145"/>
      <c r="V53" s="145"/>
    </row>
    <row r="54" s="93" customFormat="1" ht="25" customHeight="1" spans="1:22">
      <c r="A54" s="148"/>
      <c r="B54" s="148"/>
      <c r="C54" s="148"/>
      <c r="D54" s="149" t="s">
        <v>269</v>
      </c>
      <c r="E54" s="142"/>
      <c r="F54" s="148"/>
      <c r="G54" s="148"/>
      <c r="H54" s="150">
        <f>SUMIF(G:G,"美元",H:H)</f>
        <v>7136599.1</v>
      </c>
      <c r="I54" s="150">
        <f>SUMIF(G:G,"美元",I:I)</f>
        <v>50739869.27</v>
      </c>
      <c r="J54" s="148"/>
      <c r="K54" s="150">
        <f>SUMIF(G:G,"美元",K:K)</f>
        <v>5597217.25</v>
      </c>
      <c r="L54" s="150">
        <f>SUMIF(G:G,"美元",L:L)</f>
        <v>39681502.287267</v>
      </c>
      <c r="M54" s="150">
        <f>SUMIF(G:G,"美元",M:M)</f>
        <v>1539381.85</v>
      </c>
      <c r="N54" s="225">
        <f>SUMIF(G:G,"美元",N:N)</f>
        <v>10441319.21218</v>
      </c>
      <c r="O54" s="226"/>
      <c r="P54" s="153"/>
      <c r="Q54" s="225">
        <f>SUMIF(G:G,"美元",Q:Q)</f>
        <v>0</v>
      </c>
      <c r="R54" s="225">
        <f>SUMIF(G:G,"美元",R:R)</f>
        <v>1539381.85</v>
      </c>
      <c r="S54" s="153"/>
      <c r="T54" s="153"/>
      <c r="U54" s="225">
        <f>SUMIF(G:G,"美元",U:U)</f>
        <v>0</v>
      </c>
      <c r="V54" s="225">
        <f>SUMIF(G:G,"美元",V:V)</f>
        <v>0</v>
      </c>
    </row>
    <row r="55" s="93" customFormat="1" ht="25" customHeight="1" spans="1:22">
      <c r="A55" s="148"/>
      <c r="B55" s="148"/>
      <c r="C55" s="148"/>
      <c r="D55" s="149" t="s">
        <v>270</v>
      </c>
      <c r="E55" s="142"/>
      <c r="F55" s="148"/>
      <c r="G55" s="148"/>
      <c r="H55" s="150">
        <f>SUMIF(G:G,"人民币",H:H)</f>
        <v>0</v>
      </c>
      <c r="I55" s="150">
        <f>SUMIF(G:G,"人民币",I:I)</f>
        <v>0</v>
      </c>
      <c r="J55" s="148"/>
      <c r="K55" s="150">
        <f>SUMIF(G:G,"人民币",K:K)</f>
        <v>0</v>
      </c>
      <c r="L55" s="150">
        <f>SUMIF(G:G,"人民币",L:L)</f>
        <v>0</v>
      </c>
      <c r="M55" s="150">
        <f>SUMIF(G:G,"人民币",M:M)</f>
        <v>0</v>
      </c>
      <c r="N55" s="225">
        <f>SUMIF(G:G,"人民币",N:N)</f>
        <v>0</v>
      </c>
      <c r="O55" s="226"/>
      <c r="P55" s="153"/>
      <c r="Q55" s="225">
        <f>SUMIF(G:G,"人民币",Q:Q)</f>
        <v>0</v>
      </c>
      <c r="R55" s="225">
        <f>SUMIF(G:G,"人民币",R:R)</f>
        <v>0</v>
      </c>
      <c r="S55" s="153"/>
      <c r="T55" s="153"/>
      <c r="U55" s="225">
        <f>SUMIF(G:G,"人民币",U:U)</f>
        <v>0</v>
      </c>
      <c r="V55" s="225">
        <f>SUMIF(G:G,"人民币",V:V)</f>
        <v>0</v>
      </c>
    </row>
    <row r="56" s="93" customFormat="1" ht="25" customHeight="1" spans="1:22">
      <c r="A56" s="148"/>
      <c r="B56" s="148"/>
      <c r="C56" s="148"/>
      <c r="D56" s="149" t="s">
        <v>271</v>
      </c>
      <c r="E56" s="155"/>
      <c r="F56" s="148"/>
      <c r="G56" s="140"/>
      <c r="H56" s="148"/>
      <c r="I56" s="150">
        <f t="shared" ref="I56:N56" si="4">I54+I55</f>
        <v>50739869.27</v>
      </c>
      <c r="J56" s="148"/>
      <c r="K56" s="150"/>
      <c r="L56" s="150">
        <f t="shared" si="4"/>
        <v>39681502.287267</v>
      </c>
      <c r="M56" s="150">
        <f t="shared" si="4"/>
        <v>1539381.85</v>
      </c>
      <c r="N56" s="225">
        <f t="shared" si="4"/>
        <v>10441319.21218</v>
      </c>
      <c r="O56" s="153"/>
      <c r="P56" s="153"/>
      <c r="Q56" s="153"/>
      <c r="R56" s="153"/>
      <c r="S56" s="153"/>
      <c r="T56" s="153"/>
      <c r="U56" s="225">
        <f>U54+U55</f>
        <v>0</v>
      </c>
      <c r="V56" s="225">
        <f>V54+V55</f>
        <v>0</v>
      </c>
    </row>
    <row r="57" s="92" customFormat="1" ht="15" spans="1:22">
      <c r="A57" s="156"/>
      <c r="B57" s="157"/>
      <c r="C57" s="157"/>
      <c r="E57" s="158"/>
      <c r="T57" s="159"/>
    </row>
    <row r="58" s="92" customFormat="1" ht="15" spans="1:22">
      <c r="A58" s="156"/>
      <c r="B58" s="157"/>
      <c r="C58" s="157"/>
      <c r="E58" s="158"/>
    </row>
    <row r="59" s="92" customFormat="1" ht="15" spans="1:22">
      <c r="A59" s="160" t="s">
        <v>272</v>
      </c>
      <c r="B59" s="157"/>
      <c r="C59" s="157"/>
      <c r="E59" s="158"/>
    </row>
    <row r="60" s="92" customFormat="1" ht="15" spans="1:22">
      <c r="A60" s="161" t="s">
        <v>273</v>
      </c>
      <c r="B60" s="157"/>
      <c r="C60" s="157"/>
      <c r="E60" s="158"/>
    </row>
  </sheetData>
  <mergeCells count="31">
    <mergeCell ref="A1:K1"/>
    <mergeCell ref="A5:B5"/>
    <mergeCell ref="A7:J7"/>
    <mergeCell ref="A20:F20"/>
    <mergeCell ref="A21:F21"/>
    <mergeCell ref="A24:D24"/>
    <mergeCell ref="A25:F25"/>
    <mergeCell ref="A29:D29"/>
    <mergeCell ref="A30:F30"/>
    <mergeCell ref="A36:D36"/>
    <mergeCell ref="A38:M38"/>
    <mergeCell ref="A47:N47"/>
    <mergeCell ref="A9:A10"/>
    <mergeCell ref="A11:A12"/>
    <mergeCell ref="A40:A43"/>
    <mergeCell ref="B9:B10"/>
    <mergeCell ref="B11:B12"/>
    <mergeCell ref="B40:B41"/>
    <mergeCell ref="B42:B43"/>
    <mergeCell ref="L40:L41"/>
    <mergeCell ref="L42:L43"/>
    <mergeCell ref="L44:L45"/>
    <mergeCell ref="M40:M41"/>
    <mergeCell ref="M42:M43"/>
    <mergeCell ref="M44:M45"/>
    <mergeCell ref="N40:N41"/>
    <mergeCell ref="N44:N45"/>
    <mergeCell ref="O40:O41"/>
    <mergeCell ref="O44:O45"/>
    <mergeCell ref="A13:B14"/>
    <mergeCell ref="A44:B45"/>
  </mergeCells>
  <pageMargins left="0.75" right="0.75" top="1" bottom="1" header="0.5" footer="0.5"/>
  <pageSetup paperSize="8" scale="39" orientation="landscape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zoomScale="40" zoomScaleNormal="40" topLeftCell="A24" workbookViewId="0">
      <selection activeCell="I56" sqref="I56"/>
    </sheetView>
  </sheetViews>
  <sheetFormatPr defaultColWidth="20.1272727272727" defaultRowHeight="30" customHeight="1"/>
  <cols>
    <col min="1" max="1" width="10.2545454545455" style="87" customWidth="1"/>
    <col min="2" max="2" width="22.3545454545455" style="87" customWidth="1"/>
    <col min="3" max="3" width="46.3636363636364" style="87" customWidth="1"/>
    <col min="4" max="4" width="44.6727272727273" style="87" customWidth="1"/>
    <col min="5" max="5" width="20.5090909090909" style="87" customWidth="1"/>
    <col min="6" max="6" width="56.9636363636364" style="87" customWidth="1"/>
    <col min="7" max="8" width="15.5" style="87" customWidth="1"/>
    <col min="9" max="9" width="20.4" style="87" customWidth="1"/>
    <col min="10" max="10" width="30.7090909090909" style="87" customWidth="1"/>
    <col min="11" max="11" width="23.9454545454545" style="87" customWidth="1"/>
    <col min="12" max="12" width="20.3727272727273" style="87" customWidth="1"/>
    <col min="13" max="13" width="13.3363636363636" style="87" customWidth="1"/>
    <col min="14" max="14" width="43.1727272727273" style="87" customWidth="1"/>
    <col min="15" max="15" width="16.4636363636364" style="87" customWidth="1"/>
    <col min="16" max="16380" width="20.1272727272727" style="87" customWidth="1"/>
    <col min="16381" max="16384" width="20.1272727272727" style="87"/>
  </cols>
  <sheetData>
    <row r="1" s="87" customFormat="1" customHeight="1" spans="1:12">
      <c r="A1" s="94" t="s">
        <v>212</v>
      </c>
      <c r="B1" s="94"/>
      <c r="C1" s="95"/>
      <c r="D1" s="95"/>
      <c r="E1" s="95"/>
      <c r="F1" s="95"/>
      <c r="G1" s="95"/>
      <c r="H1" s="95"/>
      <c r="I1" s="95"/>
      <c r="J1" s="95"/>
      <c r="K1" s="95"/>
    </row>
    <row r="2" s="87" customFormat="1" ht="48" customHeight="1" spans="1:12">
      <c r="A2" s="96" t="s">
        <v>213</v>
      </c>
      <c r="B2" s="96" t="s">
        <v>214</v>
      </c>
      <c r="C2" s="97" t="s">
        <v>215</v>
      </c>
      <c r="D2" s="97" t="s">
        <v>216</v>
      </c>
      <c r="E2" s="97" t="s">
        <v>217</v>
      </c>
      <c r="F2" s="97" t="s">
        <v>218</v>
      </c>
      <c r="G2" s="97" t="s">
        <v>219</v>
      </c>
      <c r="H2" s="97" t="s">
        <v>220</v>
      </c>
      <c r="I2" s="97" t="s">
        <v>221</v>
      </c>
      <c r="J2" s="97" t="s">
        <v>222</v>
      </c>
      <c r="K2" s="97" t="s">
        <v>274</v>
      </c>
    </row>
    <row r="3" s="87" customFormat="1" customHeight="1" spans="1:12">
      <c r="A3" s="98" t="s">
        <v>21</v>
      </c>
      <c r="B3" s="98" t="s">
        <v>193</v>
      </c>
      <c r="C3" s="99">
        <v>4480</v>
      </c>
      <c r="D3" s="100">
        <f>C3*0.3</f>
        <v>1344</v>
      </c>
      <c r="E3" s="165">
        <v>0</v>
      </c>
      <c r="F3" s="166">
        <f>E3/C3</f>
        <v>0</v>
      </c>
      <c r="G3" s="167">
        <v>1150.53</v>
      </c>
      <c r="H3" s="166">
        <f>G3/C3</f>
        <v>0.256814732142857</v>
      </c>
      <c r="I3" s="167">
        <f>C3-G3</f>
        <v>3329.47</v>
      </c>
      <c r="J3" s="166">
        <f>I3/C3</f>
        <v>0.743185267857143</v>
      </c>
      <c r="K3" s="167">
        <v>2150</v>
      </c>
    </row>
    <row r="4" s="87" customFormat="1" customHeight="1" spans="1:12">
      <c r="A4" s="98" t="s">
        <v>21</v>
      </c>
      <c r="B4" s="98" t="s">
        <v>317</v>
      </c>
      <c r="C4" s="99">
        <v>2240</v>
      </c>
      <c r="D4" s="100">
        <f>C4*0.3</f>
        <v>672</v>
      </c>
      <c r="E4" s="167">
        <v>0</v>
      </c>
      <c r="F4" s="166">
        <f>E4/C4</f>
        <v>0</v>
      </c>
      <c r="G4" s="167">
        <v>0</v>
      </c>
      <c r="H4" s="166">
        <f>G4/C4</f>
        <v>0</v>
      </c>
      <c r="I4" s="167">
        <f>C4-G4</f>
        <v>2240</v>
      </c>
      <c r="J4" s="166">
        <f>I4/C4</f>
        <v>1</v>
      </c>
      <c r="K4" s="167">
        <v>700</v>
      </c>
    </row>
    <row r="5" s="88" customFormat="1" customHeight="1" spans="1:12">
      <c r="A5" s="96" t="s">
        <v>225</v>
      </c>
      <c r="B5" s="96"/>
      <c r="C5" s="96">
        <f>SUM(C3:C4)</f>
        <v>6720</v>
      </c>
      <c r="D5" s="96">
        <f>SUM(D3:D4)</f>
        <v>2016</v>
      </c>
      <c r="E5" s="168">
        <f>SUM(E3:E4)</f>
        <v>0</v>
      </c>
      <c r="F5" s="169">
        <f>E5/C5</f>
        <v>0</v>
      </c>
      <c r="G5" s="168">
        <f>SUM(G3:G4)</f>
        <v>1150.53</v>
      </c>
      <c r="H5" s="166">
        <f>G5/C5</f>
        <v>0.171209821428571</v>
      </c>
      <c r="I5" s="168">
        <f>SUM(I3:I4)</f>
        <v>5569.47</v>
      </c>
      <c r="J5" s="166">
        <f>I5/C5</f>
        <v>0.828790178571429</v>
      </c>
      <c r="K5" s="168">
        <f>K3+K4</f>
        <v>2850</v>
      </c>
    </row>
    <row r="6" s="162" customFormat="1" customHeight="1"/>
    <row r="7" s="163" customFormat="1" customHeight="1" spans="1:12">
      <c r="A7" s="94" t="s">
        <v>226</v>
      </c>
      <c r="B7" s="94"/>
      <c r="C7" s="94"/>
      <c r="D7" s="94"/>
      <c r="E7" s="94"/>
      <c r="F7" s="94"/>
      <c r="G7" s="94"/>
      <c r="H7" s="94"/>
      <c r="I7" s="94"/>
      <c r="J7" s="94"/>
      <c r="K7" s="108"/>
      <c r="L7" s="108"/>
    </row>
    <row r="8" s="163" customFormat="1" customHeight="1" spans="1:12">
      <c r="A8" s="109" t="s">
        <v>42</v>
      </c>
      <c r="B8" s="109" t="s">
        <v>214</v>
      </c>
      <c r="C8" s="109" t="s">
        <v>227</v>
      </c>
      <c r="D8" s="110" t="s">
        <v>24</v>
      </c>
      <c r="E8" s="110" t="s">
        <v>25</v>
      </c>
      <c r="F8" s="110" t="s">
        <v>26</v>
      </c>
      <c r="G8" s="110" t="s">
        <v>27</v>
      </c>
      <c r="H8" s="110" t="s">
        <v>28</v>
      </c>
      <c r="I8" s="110" t="s">
        <v>29</v>
      </c>
      <c r="J8" s="110" t="s">
        <v>30</v>
      </c>
      <c r="K8" s="170"/>
      <c r="L8" s="170"/>
    </row>
    <row r="9" s="163" customFormat="1" customHeight="1" spans="1:12">
      <c r="A9" s="113" t="s">
        <v>21</v>
      </c>
      <c r="B9" s="113" t="s">
        <v>193</v>
      </c>
      <c r="C9" s="113" t="s">
        <v>31</v>
      </c>
      <c r="D9" s="113">
        <v>5</v>
      </c>
      <c r="E9" s="113">
        <v>4</v>
      </c>
      <c r="F9" s="113">
        <v>0</v>
      </c>
      <c r="G9" s="113">
        <v>0</v>
      </c>
      <c r="H9" s="113">
        <v>0</v>
      </c>
      <c r="I9" s="113">
        <v>0</v>
      </c>
      <c r="J9" s="113">
        <v>2</v>
      </c>
      <c r="K9" s="171"/>
      <c r="L9" s="170"/>
    </row>
    <row r="10" s="163" customFormat="1" customHeight="1" spans="1:12">
      <c r="A10" s="113"/>
      <c r="B10" s="113"/>
      <c r="C10" s="113" t="s">
        <v>32</v>
      </c>
      <c r="D10" s="113">
        <v>44</v>
      </c>
      <c r="E10" s="113">
        <v>23</v>
      </c>
      <c r="F10" s="113">
        <v>8</v>
      </c>
      <c r="G10" s="113">
        <v>7</v>
      </c>
      <c r="H10" s="113">
        <v>0</v>
      </c>
      <c r="I10" s="113">
        <v>0</v>
      </c>
      <c r="J10" s="113">
        <v>52</v>
      </c>
      <c r="K10" s="172"/>
      <c r="L10" s="170"/>
    </row>
    <row r="11" s="163" customFormat="1" customHeight="1" spans="1:12">
      <c r="A11" s="113" t="s">
        <v>21</v>
      </c>
      <c r="B11" s="113" t="s">
        <v>317</v>
      </c>
      <c r="C11" s="113" t="s">
        <v>31</v>
      </c>
      <c r="D11" s="113">
        <v>34</v>
      </c>
      <c r="E11" s="113">
        <v>4</v>
      </c>
      <c r="F11" s="113">
        <v>1</v>
      </c>
      <c r="G11" s="113">
        <v>2</v>
      </c>
      <c r="H11" s="113">
        <v>0</v>
      </c>
      <c r="I11" s="113">
        <v>0</v>
      </c>
      <c r="J11" s="113">
        <v>0</v>
      </c>
      <c r="K11" s="172"/>
      <c r="L11" s="170"/>
    </row>
    <row r="12" s="163" customFormat="1" customHeight="1" spans="1:12">
      <c r="A12" s="113"/>
      <c r="B12" s="113"/>
      <c r="C12" s="113" t="s">
        <v>32</v>
      </c>
      <c r="D12" s="113">
        <v>83</v>
      </c>
      <c r="E12" s="113">
        <v>9</v>
      </c>
      <c r="F12" s="113">
        <v>12</v>
      </c>
      <c r="G12" s="113">
        <v>11</v>
      </c>
      <c r="H12" s="113">
        <v>6</v>
      </c>
      <c r="I12" s="113">
        <v>0</v>
      </c>
      <c r="J12" s="113">
        <v>39</v>
      </c>
      <c r="K12" s="172"/>
      <c r="L12" s="170"/>
    </row>
    <row r="13" s="163" customFormat="1" customHeight="1" spans="1:12">
      <c r="A13" s="109" t="s">
        <v>228</v>
      </c>
      <c r="B13" s="109"/>
      <c r="C13" s="113" t="s">
        <v>31</v>
      </c>
      <c r="D13" s="109">
        <f>D9+D11</f>
        <v>39</v>
      </c>
      <c r="E13" s="109">
        <f t="shared" ref="E13:J13" si="0">E9+E11</f>
        <v>8</v>
      </c>
      <c r="F13" s="109">
        <f t="shared" si="0"/>
        <v>1</v>
      </c>
      <c r="G13" s="109">
        <f t="shared" si="0"/>
        <v>2</v>
      </c>
      <c r="H13" s="109">
        <f t="shared" si="0"/>
        <v>0</v>
      </c>
      <c r="I13" s="109">
        <f t="shared" si="0"/>
        <v>0</v>
      </c>
      <c r="J13" s="109">
        <f t="shared" si="0"/>
        <v>2</v>
      </c>
      <c r="K13" s="170"/>
      <c r="L13" s="170"/>
    </row>
    <row r="14" s="163" customFormat="1" customHeight="1" spans="1:12">
      <c r="A14" s="109"/>
      <c r="B14" s="109"/>
      <c r="C14" s="109" t="s">
        <v>32</v>
      </c>
      <c r="D14" s="109">
        <f>D10+D12</f>
        <v>127</v>
      </c>
      <c r="E14" s="109">
        <f t="shared" ref="E14:J14" si="1">E10+E12</f>
        <v>32</v>
      </c>
      <c r="F14" s="109">
        <f t="shared" si="1"/>
        <v>20</v>
      </c>
      <c r="G14" s="109">
        <f t="shared" si="1"/>
        <v>18</v>
      </c>
      <c r="H14" s="109">
        <f t="shared" si="1"/>
        <v>6</v>
      </c>
      <c r="I14" s="109">
        <f t="shared" si="1"/>
        <v>0</v>
      </c>
      <c r="J14" s="109">
        <f t="shared" si="1"/>
        <v>91</v>
      </c>
      <c r="K14" s="170"/>
    </row>
    <row r="15" s="163" customFormat="1" customHeight="1"/>
    <row r="16" s="87" customFormat="1" ht="32" customHeight="1" spans="1:12">
      <c r="A16" s="94" t="s">
        <v>301</v>
      </c>
      <c r="B16" s="94"/>
      <c r="C16" s="94"/>
      <c r="D16" s="94"/>
      <c r="E16" s="94"/>
      <c r="F16" s="94"/>
    </row>
    <row r="17" s="87" customFormat="1" ht="24" customHeight="1" spans="1:15">
      <c r="A17" s="173" t="s">
        <v>230</v>
      </c>
      <c r="B17" s="174"/>
      <c r="C17" s="174"/>
      <c r="D17" s="175"/>
      <c r="E17" s="174"/>
      <c r="F17" s="176"/>
    </row>
    <row r="18" s="87" customFormat="1" ht="24" customHeight="1" spans="1:15">
      <c r="A18" s="177" t="s">
        <v>42</v>
      </c>
      <c r="B18" s="177" t="s">
        <v>231</v>
      </c>
      <c r="C18" s="178" t="s">
        <v>232</v>
      </c>
      <c r="D18" s="178" t="s">
        <v>233</v>
      </c>
      <c r="E18" s="179" t="s">
        <v>318</v>
      </c>
      <c r="F18" s="178" t="s">
        <v>235</v>
      </c>
    </row>
    <row r="19" s="87" customFormat="1" ht="24" customHeight="1" spans="1:15">
      <c r="A19" s="129" t="s">
        <v>21</v>
      </c>
      <c r="B19" s="129" t="s">
        <v>193</v>
      </c>
      <c r="C19" s="180" t="s">
        <v>319</v>
      </c>
      <c r="D19" s="180" t="s">
        <v>320</v>
      </c>
      <c r="E19" s="130" t="s">
        <v>321</v>
      </c>
      <c r="F19" s="130" t="s">
        <v>322</v>
      </c>
    </row>
    <row r="20" s="87" customFormat="1" ht="24" customHeight="1" spans="1:15">
      <c r="A20" s="129" t="s">
        <v>21</v>
      </c>
      <c r="B20" s="129" t="s">
        <v>193</v>
      </c>
      <c r="C20" s="130" t="s">
        <v>280</v>
      </c>
      <c r="D20" s="130" t="s">
        <v>323</v>
      </c>
      <c r="E20" s="130" t="s">
        <v>324</v>
      </c>
      <c r="F20" s="130" t="s">
        <v>325</v>
      </c>
    </row>
    <row r="21" s="87" customFormat="1" ht="24" customHeight="1" spans="1:15">
      <c r="A21" s="181" t="s">
        <v>21</v>
      </c>
      <c r="B21" s="181" t="s">
        <v>317</v>
      </c>
      <c r="C21" s="181"/>
      <c r="D21" s="181"/>
      <c r="E21" s="181"/>
      <c r="F21" s="181" t="s">
        <v>326</v>
      </c>
    </row>
    <row r="22" s="87" customFormat="1" ht="24" customHeight="1" spans="1:15">
      <c r="A22" s="177" t="s">
        <v>242</v>
      </c>
      <c r="B22" s="177"/>
      <c r="C22" s="177"/>
      <c r="D22" s="177"/>
      <c r="E22" s="178">
        <v>1650</v>
      </c>
      <c r="F22" s="178"/>
    </row>
    <row r="23" s="87" customFormat="1" ht="32" customHeight="1" spans="1:15">
      <c r="A23" s="182" t="s">
        <v>291</v>
      </c>
      <c r="B23" s="182"/>
      <c r="C23" s="182"/>
      <c r="D23" s="182"/>
      <c r="E23" s="182"/>
      <c r="F23" s="182"/>
    </row>
    <row r="24" s="87" customFormat="1" ht="45" customHeight="1" spans="1:15">
      <c r="A24" s="177" t="s">
        <v>42</v>
      </c>
      <c r="B24" s="177" t="s">
        <v>231</v>
      </c>
      <c r="C24" s="178" t="s">
        <v>232</v>
      </c>
      <c r="D24" s="178" t="s">
        <v>233</v>
      </c>
      <c r="E24" s="179" t="s">
        <v>318</v>
      </c>
      <c r="F24" s="178" t="s">
        <v>235</v>
      </c>
    </row>
    <row r="25" s="87" customFormat="1" ht="38" customHeight="1" spans="1:15">
      <c r="A25" s="129" t="s">
        <v>21</v>
      </c>
      <c r="B25" s="129" t="s">
        <v>193</v>
      </c>
      <c r="C25" s="180" t="s">
        <v>327</v>
      </c>
      <c r="D25" s="180" t="s">
        <v>328</v>
      </c>
      <c r="E25" s="130">
        <v>500</v>
      </c>
      <c r="F25" s="183" t="s">
        <v>329</v>
      </c>
    </row>
    <row r="26" s="88" customFormat="1" ht="34" customHeight="1" spans="1:15">
      <c r="A26" s="129" t="s">
        <v>21</v>
      </c>
      <c r="B26" s="129" t="s">
        <v>317</v>
      </c>
      <c r="C26" s="130" t="s">
        <v>254</v>
      </c>
      <c r="D26" s="130" t="s">
        <v>330</v>
      </c>
      <c r="E26" s="130">
        <v>700</v>
      </c>
      <c r="F26" s="184" t="s">
        <v>331</v>
      </c>
    </row>
    <row r="27" s="89" customFormat="1" customHeight="1" spans="1:15">
      <c r="A27" s="177" t="s">
        <v>242</v>
      </c>
      <c r="B27" s="177"/>
      <c r="C27" s="177"/>
      <c r="D27" s="177"/>
      <c r="E27" s="178">
        <f>E25+E26</f>
        <v>1200</v>
      </c>
      <c r="F27" s="178"/>
    </row>
    <row r="28" s="87" customFormat="1" customHeight="1" spans="1:15">
      <c r="A28" s="185" t="s">
        <v>253</v>
      </c>
      <c r="B28" s="185"/>
      <c r="C28" s="185"/>
      <c r="D28" s="185"/>
      <c r="E28" s="186"/>
      <c r="F28" s="186"/>
      <c r="G28" s="117"/>
      <c r="H28" s="117"/>
      <c r="I28" s="117"/>
      <c r="J28" s="117"/>
      <c r="K28" s="117"/>
      <c r="L28" s="117"/>
      <c r="M28" s="117"/>
      <c r="N28" s="117"/>
      <c r="O28" s="117"/>
    </row>
    <row r="29" s="87" customFormat="1" customHeight="1" spans="1:15">
      <c r="A29" s="125" t="s">
        <v>42</v>
      </c>
      <c r="B29" s="125" t="s">
        <v>231</v>
      </c>
      <c r="C29" s="125" t="s">
        <v>232</v>
      </c>
      <c r="D29" s="125" t="s">
        <v>233</v>
      </c>
      <c r="E29" s="126" t="s">
        <v>276</v>
      </c>
      <c r="F29" s="178" t="s">
        <v>235</v>
      </c>
      <c r="G29" s="117"/>
      <c r="H29" s="117"/>
      <c r="I29" s="117"/>
      <c r="J29" s="117"/>
      <c r="K29" s="117"/>
      <c r="L29" s="117"/>
      <c r="M29" s="117"/>
      <c r="N29" s="128"/>
      <c r="O29" s="128"/>
    </row>
    <row r="30" s="87" customFormat="1" customHeight="1" spans="1:15">
      <c r="A30" s="129" t="s">
        <v>21</v>
      </c>
      <c r="B30" s="129" t="s">
        <v>317</v>
      </c>
      <c r="C30" s="187" t="s">
        <v>332</v>
      </c>
      <c r="D30" s="131" t="s">
        <v>333</v>
      </c>
      <c r="E30" s="132">
        <v>3000</v>
      </c>
      <c r="F30" s="188" t="s">
        <v>334</v>
      </c>
      <c r="G30" s="117"/>
      <c r="H30" s="117"/>
      <c r="I30" s="117"/>
      <c r="J30" s="117"/>
      <c r="K30" s="117"/>
      <c r="L30" s="117"/>
      <c r="M30" s="117"/>
      <c r="N30" s="128"/>
      <c r="O30" s="128"/>
    </row>
    <row r="31" s="87" customFormat="1" customHeight="1" spans="1:15">
      <c r="A31" s="129" t="s">
        <v>21</v>
      </c>
      <c r="B31" s="129" t="s">
        <v>193</v>
      </c>
      <c r="C31" s="187" t="s">
        <v>335</v>
      </c>
      <c r="D31" s="131" t="s">
        <v>336</v>
      </c>
      <c r="E31" s="127"/>
      <c r="F31" s="127"/>
      <c r="G31" s="117"/>
      <c r="H31" s="117"/>
      <c r="I31" s="117"/>
      <c r="J31" s="117"/>
      <c r="K31" s="117"/>
      <c r="L31" s="117"/>
      <c r="M31" s="117"/>
      <c r="N31" s="128"/>
      <c r="O31" s="128"/>
    </row>
    <row r="32" s="87" customFormat="1" customHeight="1" spans="1:15">
      <c r="A32" s="125" t="s">
        <v>242</v>
      </c>
      <c r="B32" s="125"/>
      <c r="C32" s="125"/>
      <c r="D32" s="125"/>
      <c r="E32" s="127">
        <f>SUM(E30:E30)</f>
        <v>3000</v>
      </c>
      <c r="F32" s="127"/>
      <c r="G32" s="117"/>
      <c r="H32" s="117"/>
      <c r="I32" s="117"/>
      <c r="J32" s="117"/>
      <c r="K32" s="117"/>
      <c r="L32" s="117"/>
      <c r="M32" s="117"/>
      <c r="N32" s="128"/>
      <c r="O32" s="128"/>
    </row>
    <row r="33" s="87" customFormat="1" customHeight="1" spans="1:22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28"/>
      <c r="O33" s="128"/>
    </row>
    <row r="34" s="87" customFormat="1" customHeight="1" spans="1:22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28"/>
      <c r="O34" s="128"/>
    </row>
    <row r="35" s="87" customFormat="1" customHeight="1" spans="1:22">
      <c r="A35" s="105" t="s">
        <v>257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7"/>
      <c r="N35" s="108"/>
      <c r="O35" s="108"/>
    </row>
    <row r="36" s="87" customFormat="1" ht="45.95" customHeight="1" spans="1:22">
      <c r="A36" s="109" t="s">
        <v>213</v>
      </c>
      <c r="B36" s="109" t="s">
        <v>214</v>
      </c>
      <c r="C36" s="109" t="s">
        <v>227</v>
      </c>
      <c r="D36" s="110" t="s">
        <v>258</v>
      </c>
      <c r="E36" s="110" t="s">
        <v>259</v>
      </c>
      <c r="F36" s="110" t="s">
        <v>260</v>
      </c>
      <c r="G36" s="110" t="s">
        <v>261</v>
      </c>
      <c r="H36" s="110" t="s">
        <v>262</v>
      </c>
      <c r="I36" s="110" t="s">
        <v>263</v>
      </c>
      <c r="J36" s="110" t="s">
        <v>264</v>
      </c>
      <c r="K36" s="110" t="s">
        <v>228</v>
      </c>
      <c r="L36" s="110" t="s">
        <v>265</v>
      </c>
      <c r="M36" s="189" t="s">
        <v>266</v>
      </c>
      <c r="N36" s="133"/>
      <c r="O36" s="133"/>
    </row>
    <row r="37" s="87" customFormat="1" customHeight="1" spans="1:22">
      <c r="A37" s="113" t="s">
        <v>21</v>
      </c>
      <c r="B37" s="113" t="s">
        <v>193</v>
      </c>
      <c r="C37" s="113" t="s">
        <v>31</v>
      </c>
      <c r="D37" s="190"/>
      <c r="E37" s="190">
        <v>24440.37</v>
      </c>
      <c r="F37" s="190"/>
      <c r="G37" s="190">
        <v>10444.68</v>
      </c>
      <c r="H37" s="190"/>
      <c r="I37" s="190"/>
      <c r="J37" s="190"/>
      <c r="K37" s="191">
        <v>34885.05</v>
      </c>
      <c r="L37" s="136">
        <f>K38/(G3*10000)</f>
        <v>0.00666888564400754</v>
      </c>
      <c r="M37" s="192" t="s">
        <v>11</v>
      </c>
      <c r="N37" s="137"/>
      <c r="O37" s="137"/>
    </row>
    <row r="38" s="87" customFormat="1" customHeight="1" spans="1:22">
      <c r="A38" s="113"/>
      <c r="B38" s="113"/>
      <c r="C38" s="113" t="s">
        <v>267</v>
      </c>
      <c r="D38" s="190">
        <v>354.2</v>
      </c>
      <c r="E38" s="190">
        <v>55788.96</v>
      </c>
      <c r="F38" s="190">
        <v>4217.32</v>
      </c>
      <c r="G38" s="190">
        <v>16367.05</v>
      </c>
      <c r="H38" s="190"/>
      <c r="I38" s="190"/>
      <c r="J38" s="190"/>
      <c r="K38" s="191">
        <v>76727.53</v>
      </c>
      <c r="L38" s="136"/>
      <c r="M38" s="192"/>
      <c r="N38" s="137"/>
      <c r="O38" s="137"/>
    </row>
    <row r="39" s="87" customFormat="1" customHeight="1" spans="1:22">
      <c r="A39" s="113" t="s">
        <v>21</v>
      </c>
      <c r="B39" s="113" t="s">
        <v>317</v>
      </c>
      <c r="C39" s="113" t="s">
        <v>31</v>
      </c>
      <c r="D39" s="190">
        <v>260.6</v>
      </c>
      <c r="E39" s="190">
        <v>572</v>
      </c>
      <c r="F39" s="190">
        <v>198</v>
      </c>
      <c r="G39" s="190"/>
      <c r="H39" s="190"/>
      <c r="I39" s="190"/>
      <c r="J39" s="190"/>
      <c r="K39" s="191">
        <v>1030.6</v>
      </c>
      <c r="L39" s="136" t="s">
        <v>11</v>
      </c>
      <c r="M39" s="192" t="s">
        <v>11</v>
      </c>
      <c r="N39" s="137"/>
      <c r="O39" s="137"/>
    </row>
    <row r="40" s="87" customFormat="1" customHeight="1" spans="1:22">
      <c r="A40" s="113"/>
      <c r="B40" s="113"/>
      <c r="C40" s="113" t="s">
        <v>267</v>
      </c>
      <c r="D40" s="190">
        <v>785.11</v>
      </c>
      <c r="E40" s="190">
        <v>8507.12</v>
      </c>
      <c r="F40" s="190">
        <v>957.3</v>
      </c>
      <c r="G40" s="190">
        <v>1562.31</v>
      </c>
      <c r="H40" s="190"/>
      <c r="I40" s="190"/>
      <c r="J40" s="190"/>
      <c r="K40" s="191">
        <v>11811.84</v>
      </c>
      <c r="L40" s="136"/>
      <c r="M40" s="192"/>
      <c r="N40" s="137"/>
      <c r="O40" s="137"/>
    </row>
    <row r="41" s="87" customFormat="1" customHeight="1" spans="1:22">
      <c r="A41" s="109" t="s">
        <v>228</v>
      </c>
      <c r="B41" s="109"/>
      <c r="C41" s="113" t="s">
        <v>31</v>
      </c>
      <c r="D41" s="135">
        <f>D37+D39</f>
        <v>260.6</v>
      </c>
      <c r="E41" s="135">
        <f t="shared" ref="E41:K41" si="2">E37+E39</f>
        <v>25012.37</v>
      </c>
      <c r="F41" s="135">
        <f t="shared" si="2"/>
        <v>198</v>
      </c>
      <c r="G41" s="135">
        <f t="shared" si="2"/>
        <v>10444.68</v>
      </c>
      <c r="H41" s="135">
        <f t="shared" si="2"/>
        <v>0</v>
      </c>
      <c r="I41" s="135">
        <f t="shared" si="2"/>
        <v>0</v>
      </c>
      <c r="J41" s="135">
        <f t="shared" si="2"/>
        <v>0</v>
      </c>
      <c r="K41" s="135">
        <f>SUM(D41:J41)</f>
        <v>35915.65</v>
      </c>
      <c r="L41" s="193">
        <f>K42/(G5*10000)</f>
        <v>0.0076955290170617</v>
      </c>
      <c r="M41" s="194">
        <v>0</v>
      </c>
      <c r="N41" s="195"/>
      <c r="O41" s="195"/>
    </row>
    <row r="42" s="87" customFormat="1" customHeight="1" spans="1:22">
      <c r="A42" s="109"/>
      <c r="B42" s="109"/>
      <c r="C42" s="109" t="s">
        <v>267</v>
      </c>
      <c r="D42" s="135">
        <f>D38+D40</f>
        <v>1139.31</v>
      </c>
      <c r="E42" s="135">
        <f t="shared" ref="E42:K42" si="3">E38+E40</f>
        <v>64296.08</v>
      </c>
      <c r="F42" s="135">
        <f t="shared" si="3"/>
        <v>5174.62</v>
      </c>
      <c r="G42" s="135">
        <f t="shared" si="3"/>
        <v>17929.36</v>
      </c>
      <c r="H42" s="135">
        <f t="shared" si="3"/>
        <v>0</v>
      </c>
      <c r="I42" s="135">
        <f t="shared" si="3"/>
        <v>0</v>
      </c>
      <c r="J42" s="135">
        <f t="shared" si="3"/>
        <v>0</v>
      </c>
      <c r="K42" s="135">
        <f>SUM(D42:J42)</f>
        <v>88539.37</v>
      </c>
      <c r="L42" s="193"/>
      <c r="M42" s="194"/>
      <c r="N42" s="195"/>
      <c r="O42" s="195"/>
    </row>
    <row r="43" s="90" customFormat="1" customHeight="1"/>
    <row r="44" s="91" customFormat="1" customHeight="1" spans="1:22">
      <c r="A44" s="94" t="s">
        <v>268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</row>
    <row r="45" s="92" customFormat="1" ht="49.5" spans="1:22">
      <c r="A45" s="196" t="s">
        <v>41</v>
      </c>
      <c r="B45" s="196" t="s">
        <v>42</v>
      </c>
      <c r="C45" s="196" t="s">
        <v>43</v>
      </c>
      <c r="D45" s="196" t="s">
        <v>44</v>
      </c>
      <c r="E45" s="197" t="s">
        <v>45</v>
      </c>
      <c r="F45" s="196" t="s">
        <v>46</v>
      </c>
      <c r="G45" s="196" t="s">
        <v>47</v>
      </c>
      <c r="H45" s="196" t="s">
        <v>48</v>
      </c>
      <c r="I45" s="196" t="s">
        <v>49</v>
      </c>
      <c r="J45" s="196" t="s">
        <v>50</v>
      </c>
      <c r="K45" s="196" t="s">
        <v>51</v>
      </c>
      <c r="L45" s="196" t="s">
        <v>52</v>
      </c>
      <c r="M45" s="196" t="s">
        <v>53</v>
      </c>
      <c r="N45" s="196" t="s">
        <v>54</v>
      </c>
      <c r="O45" s="196" t="s">
        <v>55</v>
      </c>
      <c r="P45" s="196" t="s">
        <v>56</v>
      </c>
      <c r="Q45" s="196" t="s">
        <v>57</v>
      </c>
      <c r="R45" s="196" t="s">
        <v>58</v>
      </c>
      <c r="S45" s="196" t="s">
        <v>59</v>
      </c>
      <c r="T45" s="196" t="s">
        <v>60</v>
      </c>
      <c r="U45" s="196" t="s">
        <v>61</v>
      </c>
      <c r="V45" s="196" t="s">
        <v>62</v>
      </c>
    </row>
    <row r="46" s="164" customFormat="1" ht="31" customHeight="1" spans="1:22">
      <c r="A46" s="198">
        <v>1</v>
      </c>
      <c r="B46" s="198" t="s">
        <v>191</v>
      </c>
      <c r="C46" s="198" t="s">
        <v>64</v>
      </c>
      <c r="D46" s="147" t="s">
        <v>192</v>
      </c>
      <c r="E46" s="142">
        <v>46051</v>
      </c>
      <c r="F46" s="140" t="s">
        <v>193</v>
      </c>
      <c r="G46" s="140" t="s">
        <v>67</v>
      </c>
      <c r="H46" s="143">
        <v>1338000</v>
      </c>
      <c r="I46" s="143">
        <v>9303515.4</v>
      </c>
      <c r="J46" s="141" t="s">
        <v>100</v>
      </c>
      <c r="K46" s="143">
        <v>1338000</v>
      </c>
      <c r="L46" s="143">
        <v>9161014.417327</v>
      </c>
      <c r="M46" s="199">
        <v>0</v>
      </c>
      <c r="N46" s="145">
        <v>0</v>
      </c>
      <c r="O46" s="146">
        <v>1</v>
      </c>
      <c r="P46" s="147"/>
      <c r="Q46" s="143"/>
      <c r="R46" s="200"/>
      <c r="S46" s="141"/>
      <c r="T46" s="147"/>
      <c r="U46" s="145">
        <v>482008.15</v>
      </c>
      <c r="V46" s="145">
        <v>3272052.717132</v>
      </c>
    </row>
    <row r="47" s="164" customFormat="1" ht="31" customHeight="1" spans="1:22">
      <c r="A47" s="198">
        <v>2</v>
      </c>
      <c r="B47" s="198" t="s">
        <v>191</v>
      </c>
      <c r="C47" s="198" t="s">
        <v>64</v>
      </c>
      <c r="D47" s="147" t="s">
        <v>194</v>
      </c>
      <c r="E47" s="142">
        <v>46051</v>
      </c>
      <c r="F47" s="140" t="s">
        <v>193</v>
      </c>
      <c r="G47" s="140" t="s">
        <v>67</v>
      </c>
      <c r="H47" s="143">
        <v>91800</v>
      </c>
      <c r="I47" s="143">
        <v>638312.94</v>
      </c>
      <c r="J47" s="141" t="s">
        <v>195</v>
      </c>
      <c r="K47" s="143">
        <v>0</v>
      </c>
      <c r="L47" s="143">
        <v>0</v>
      </c>
      <c r="M47" s="145">
        <v>91800</v>
      </c>
      <c r="N47" s="145">
        <v>622661.04</v>
      </c>
      <c r="O47" s="146">
        <v>0</v>
      </c>
      <c r="P47" s="147" t="s">
        <v>196</v>
      </c>
      <c r="Q47" s="143"/>
      <c r="R47" s="143">
        <v>91800</v>
      </c>
      <c r="S47" s="141"/>
      <c r="T47" s="147"/>
      <c r="U47" s="145"/>
      <c r="V47" s="145"/>
    </row>
    <row r="48" s="164" customFormat="1" ht="31" customHeight="1" spans="1:22">
      <c r="A48" s="198">
        <v>3</v>
      </c>
      <c r="B48" s="198" t="s">
        <v>191</v>
      </c>
      <c r="C48" s="198" t="s">
        <v>64</v>
      </c>
      <c r="D48" s="147" t="s">
        <v>197</v>
      </c>
      <c r="E48" s="142">
        <v>46136</v>
      </c>
      <c r="F48" s="140" t="s">
        <v>193</v>
      </c>
      <c r="G48" s="140" t="s">
        <v>67</v>
      </c>
      <c r="H48" s="143">
        <v>228036</v>
      </c>
      <c r="I48" s="143">
        <v>1563460.42</v>
      </c>
      <c r="J48" s="141" t="s">
        <v>100</v>
      </c>
      <c r="K48" s="143">
        <v>68410.8</v>
      </c>
      <c r="L48" s="200">
        <v>469038.12696</v>
      </c>
      <c r="M48" s="145">
        <v>159625.2</v>
      </c>
      <c r="N48" s="145">
        <v>1082705.80656</v>
      </c>
      <c r="O48" s="146">
        <v>0.3</v>
      </c>
      <c r="P48" s="147" t="s">
        <v>198</v>
      </c>
      <c r="Q48" s="143"/>
      <c r="R48" s="143">
        <v>159625.2</v>
      </c>
      <c r="S48" s="141"/>
      <c r="T48" s="147" t="s">
        <v>199</v>
      </c>
      <c r="U48" s="145"/>
      <c r="V48" s="145"/>
    </row>
    <row r="49" s="93" customFormat="1" ht="25" customHeight="1" spans="1:22">
      <c r="A49" s="148"/>
      <c r="B49" s="148"/>
      <c r="C49" s="148"/>
      <c r="D49" s="149" t="s">
        <v>269</v>
      </c>
      <c r="E49" s="142"/>
      <c r="F49" s="148"/>
      <c r="G49" s="148"/>
      <c r="H49" s="150">
        <f>SUMIF(G:G,"美元",H:H)</f>
        <v>1657836</v>
      </c>
      <c r="I49" s="150">
        <f>SUMIF(G:G,"美元",I:I)</f>
        <v>11505288.76</v>
      </c>
      <c r="J49" s="148"/>
      <c r="K49" s="150">
        <f>SUMIF(G:G,"美元",K:K)</f>
        <v>1406410.8</v>
      </c>
      <c r="L49" s="150">
        <f>SUMIF(G:G,"美元",L:L)</f>
        <v>9630052.544287</v>
      </c>
      <c r="M49" s="150">
        <f>SUMIF(G:G,"美元",M:M)</f>
        <v>251425.2</v>
      </c>
      <c r="N49" s="151">
        <f>SUMIF(G:G,"美元",N:N)</f>
        <v>1705366.84656</v>
      </c>
      <c r="O49" s="152"/>
      <c r="P49" s="153"/>
      <c r="Q49" s="154">
        <f>SUMIF(G:G,"美元",Q:Q)</f>
        <v>0</v>
      </c>
      <c r="R49" s="154">
        <f>SUMIF(G:G,"美元",R:R)</f>
        <v>251425.2</v>
      </c>
      <c r="S49" s="153"/>
      <c r="T49" s="153"/>
      <c r="U49" s="154">
        <f>SUMIF(G:G,"美元",U:U)</f>
        <v>482008.15</v>
      </c>
      <c r="V49" s="151">
        <f>SUMIF(G:G,"美元",V:V)</f>
        <v>3272052.717132</v>
      </c>
    </row>
    <row r="50" s="93" customFormat="1" ht="25" customHeight="1" spans="1:22">
      <c r="A50" s="148"/>
      <c r="B50" s="148"/>
      <c r="C50" s="148"/>
      <c r="D50" s="149" t="s">
        <v>270</v>
      </c>
      <c r="E50" s="142"/>
      <c r="F50" s="148"/>
      <c r="G50" s="148"/>
      <c r="H50" s="150">
        <f>SUMIF(G:G,"人民币",H:H)</f>
        <v>0</v>
      </c>
      <c r="I50" s="150">
        <f>SUMIF(G:G,"人民币",I:I)</f>
        <v>0</v>
      </c>
      <c r="J50" s="148"/>
      <c r="K50" s="150">
        <f>SUMIF(G:G,"人民币",K:K)</f>
        <v>0</v>
      </c>
      <c r="L50" s="150">
        <f>SUMIF(G:G,"人民币",L:L)</f>
        <v>0</v>
      </c>
      <c r="M50" s="150">
        <f>SUMIF(G:G,"人民币",M:M)</f>
        <v>0</v>
      </c>
      <c r="N50" s="151">
        <f>SUMIF(G:G,"人民币",N:N)</f>
        <v>0</v>
      </c>
      <c r="O50" s="152"/>
      <c r="P50" s="153"/>
      <c r="Q50" s="154">
        <f>SUMIF(G:G,"人民币",Q:Q)</f>
        <v>0</v>
      </c>
      <c r="R50" s="154">
        <f>SUMIF(G:G,"人民币",R:R)</f>
        <v>0</v>
      </c>
      <c r="S50" s="153"/>
      <c r="T50" s="153"/>
      <c r="U50" s="154">
        <f>SUMIF(G:G,"人民币",U:U)</f>
        <v>0</v>
      </c>
      <c r="V50" s="151">
        <f>SUMIF(G:G,"人民币",V:V)</f>
        <v>0</v>
      </c>
    </row>
    <row r="51" s="93" customFormat="1" ht="25" customHeight="1" spans="1:22">
      <c r="A51" s="148"/>
      <c r="B51" s="148"/>
      <c r="C51" s="148"/>
      <c r="D51" s="149" t="s">
        <v>271</v>
      </c>
      <c r="E51" s="155"/>
      <c r="F51" s="148"/>
      <c r="G51" s="140"/>
      <c r="H51" s="148"/>
      <c r="I51" s="150">
        <f t="shared" ref="I51:N51" si="4">I49+I50</f>
        <v>11505288.76</v>
      </c>
      <c r="J51" s="148"/>
      <c r="K51" s="150"/>
      <c r="L51" s="150">
        <f t="shared" si="4"/>
        <v>9630052.544287</v>
      </c>
      <c r="M51" s="150">
        <f t="shared" si="4"/>
        <v>251425.2</v>
      </c>
      <c r="N51" s="151">
        <f t="shared" si="4"/>
        <v>1705366.84656</v>
      </c>
      <c r="O51" s="153"/>
      <c r="P51" s="153"/>
      <c r="Q51" s="153"/>
      <c r="R51" s="153"/>
      <c r="S51" s="153"/>
      <c r="T51" s="153"/>
      <c r="U51" s="154">
        <f>U49+U50</f>
        <v>482008.15</v>
      </c>
      <c r="V51" s="151">
        <f>V49+V50</f>
        <v>3272052.717132</v>
      </c>
    </row>
    <row r="52" customFormat="1" ht="14" spans="1:22">
      <c r="A52" s="3"/>
      <c r="B52" s="4"/>
      <c r="C52" s="4"/>
      <c r="E52" s="5"/>
      <c r="T52" s="1"/>
    </row>
    <row r="53" customFormat="1" ht="14" spans="1:22">
      <c r="A53" s="3"/>
      <c r="B53" s="4"/>
      <c r="C53" s="4"/>
      <c r="E53" s="5"/>
    </row>
    <row r="54" customFormat="1" ht="14" spans="1:22">
      <c r="A54" s="35" t="s">
        <v>272</v>
      </c>
      <c r="B54" s="4"/>
      <c r="C54" s="4"/>
      <c r="E54" s="5"/>
    </row>
    <row r="55" customFormat="1" ht="14" spans="1:22">
      <c r="A55" s="36" t="s">
        <v>273</v>
      </c>
      <c r="B55" s="4"/>
      <c r="C55" s="4"/>
      <c r="E55" s="5"/>
    </row>
  </sheetData>
  <mergeCells count="34">
    <mergeCell ref="A1:K1"/>
    <mergeCell ref="A5:B5"/>
    <mergeCell ref="A7:J7"/>
    <mergeCell ref="A16:F16"/>
    <mergeCell ref="A17:F17"/>
    <mergeCell ref="A22:D22"/>
    <mergeCell ref="A23:F23"/>
    <mergeCell ref="A27:D27"/>
    <mergeCell ref="A28:F28"/>
    <mergeCell ref="A32:D32"/>
    <mergeCell ref="A35:M35"/>
    <mergeCell ref="A44:N44"/>
    <mergeCell ref="A9:A10"/>
    <mergeCell ref="A11:A12"/>
    <mergeCell ref="A37:A38"/>
    <mergeCell ref="A39:A40"/>
    <mergeCell ref="B9:B10"/>
    <mergeCell ref="B11:B12"/>
    <mergeCell ref="B37:B38"/>
    <mergeCell ref="B39:B40"/>
    <mergeCell ref="L37:L38"/>
    <mergeCell ref="L39:L40"/>
    <mergeCell ref="L41:L42"/>
    <mergeCell ref="M37:M38"/>
    <mergeCell ref="M39:M40"/>
    <mergeCell ref="M41:M42"/>
    <mergeCell ref="N37:N38"/>
    <mergeCell ref="N39:N40"/>
    <mergeCell ref="N41:N42"/>
    <mergeCell ref="O37:O38"/>
    <mergeCell ref="O39:O40"/>
    <mergeCell ref="O41:O42"/>
    <mergeCell ref="A13:B14"/>
    <mergeCell ref="A41:B42"/>
  </mergeCells>
  <pageMargins left="0.75" right="0.75" top="1" bottom="1" header="0.5" footer="0.5"/>
  <pageSetup paperSize="8" scale="39" orientation="landscape"/>
  <headerFooter/>
  <ignoredErrors>
    <ignoredError sqref="H5" 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61"/>
  <sheetViews>
    <sheetView zoomScale="40" zoomScaleNormal="40" topLeftCell="A27" workbookViewId="0">
      <selection activeCell="J63" sqref="J63"/>
    </sheetView>
  </sheetViews>
  <sheetFormatPr defaultColWidth="20.1272727272727" defaultRowHeight="30" customHeight="1"/>
  <cols>
    <col min="1" max="1" width="14.6727272727273" style="87" customWidth="1"/>
    <col min="2" max="2" width="15.8363636363636" style="87" customWidth="1"/>
    <col min="3" max="3" width="56.8545454545455" style="87" customWidth="1"/>
    <col min="4" max="4" width="57.6818181818182" style="87" customWidth="1"/>
    <col min="5" max="5" width="15.5" style="87" customWidth="1"/>
    <col min="6" max="6" width="41.3181818181818" style="87" customWidth="1"/>
    <col min="7" max="7" width="18.1818181818182" style="87" customWidth="1"/>
    <col min="8" max="8" width="20.9090909090909" style="87" customWidth="1"/>
    <col min="9" max="9" width="15.5" style="87" customWidth="1"/>
    <col min="10" max="10" width="24.1636363636364" style="87" customWidth="1"/>
    <col min="11" max="11" width="23.7363636363636" style="87" customWidth="1"/>
    <col min="12" max="12" width="20.3727272727273" style="87" customWidth="1"/>
    <col min="13" max="13" width="13.5454545454545" style="87" customWidth="1"/>
    <col min="14" max="14" width="35.2" style="87" customWidth="1"/>
    <col min="15" max="16380" width="20.1272727272727" style="87" customWidth="1"/>
    <col min="16381" max="16384" width="20.1272727272727" style="87"/>
  </cols>
  <sheetData>
    <row r="1" s="87" customFormat="1" customHeight="1" spans="1:12">
      <c r="A1" s="94" t="s">
        <v>212</v>
      </c>
      <c r="B1" s="94"/>
      <c r="C1" s="95"/>
      <c r="D1" s="95"/>
      <c r="E1" s="95"/>
      <c r="F1" s="95"/>
      <c r="G1" s="95"/>
      <c r="H1" s="95"/>
      <c r="I1" s="95"/>
      <c r="J1" s="95"/>
      <c r="K1" s="95"/>
    </row>
    <row r="2" s="87" customFormat="1" ht="48" customHeight="1" spans="1:12">
      <c r="A2" s="96" t="s">
        <v>213</v>
      </c>
      <c r="B2" s="96" t="s">
        <v>214</v>
      </c>
      <c r="C2" s="97" t="s">
        <v>215</v>
      </c>
      <c r="D2" s="97" t="s">
        <v>216</v>
      </c>
      <c r="E2" s="97" t="s">
        <v>217</v>
      </c>
      <c r="F2" s="97" t="s">
        <v>218</v>
      </c>
      <c r="G2" s="97" t="s">
        <v>219</v>
      </c>
      <c r="H2" s="97" t="s">
        <v>220</v>
      </c>
      <c r="I2" s="97" t="s">
        <v>221</v>
      </c>
      <c r="J2" s="97" t="s">
        <v>222</v>
      </c>
      <c r="K2" s="97" t="s">
        <v>274</v>
      </c>
    </row>
    <row r="3" s="87" customFormat="1" customHeight="1" spans="1:12">
      <c r="A3" s="98" t="s">
        <v>22</v>
      </c>
      <c r="B3" s="98" t="s">
        <v>201</v>
      </c>
      <c r="C3" s="99">
        <v>5500</v>
      </c>
      <c r="D3" s="100">
        <f>C3*0.3</f>
        <v>1650</v>
      </c>
      <c r="E3" s="101">
        <v>0</v>
      </c>
      <c r="F3" s="102">
        <f>E3/C3</f>
        <v>0</v>
      </c>
      <c r="G3" s="101">
        <v>0</v>
      </c>
      <c r="H3" s="102">
        <f>G3/C3</f>
        <v>0</v>
      </c>
      <c r="I3" s="101">
        <f>C3-G3</f>
        <v>5500</v>
      </c>
      <c r="J3" s="102">
        <f>I3/C3</f>
        <v>1</v>
      </c>
      <c r="K3" s="101">
        <v>5480.18</v>
      </c>
    </row>
    <row r="4" s="87" customFormat="1" customHeight="1" spans="1:12">
      <c r="A4" s="98" t="s">
        <v>22</v>
      </c>
      <c r="B4" s="98" t="s">
        <v>337</v>
      </c>
      <c r="C4" s="99">
        <v>1650</v>
      </c>
      <c r="D4" s="100">
        <f>C4*0.3</f>
        <v>495</v>
      </c>
      <c r="E4" s="101">
        <v>0</v>
      </c>
      <c r="F4" s="102">
        <f>E4/C4</f>
        <v>0</v>
      </c>
      <c r="G4" s="101">
        <v>0</v>
      </c>
      <c r="H4" s="102">
        <f>G4/C4</f>
        <v>0</v>
      </c>
      <c r="I4" s="101">
        <f>C4-G4</f>
        <v>1650</v>
      </c>
      <c r="J4" s="102">
        <f>I4/C4</f>
        <v>1</v>
      </c>
      <c r="K4" s="101">
        <v>0</v>
      </c>
    </row>
    <row r="5" s="88" customFormat="1" customHeight="1" spans="1:12">
      <c r="A5" s="96" t="s">
        <v>225</v>
      </c>
      <c r="B5" s="96"/>
      <c r="C5" s="96">
        <f>SUM(C3:C4)</f>
        <v>7150</v>
      </c>
      <c r="D5" s="96">
        <f>SUM(D3:D4)</f>
        <v>2145</v>
      </c>
      <c r="E5" s="103">
        <v>0</v>
      </c>
      <c r="F5" s="104">
        <f>E5/C5</f>
        <v>0</v>
      </c>
      <c r="G5" s="103">
        <f>SUM(G3:G4)</f>
        <v>0</v>
      </c>
      <c r="H5" s="104">
        <f>G5/C5</f>
        <v>0</v>
      </c>
      <c r="I5" s="101">
        <f>C5-G5</f>
        <v>7150</v>
      </c>
      <c r="J5" s="102">
        <f>I5/C5</f>
        <v>1</v>
      </c>
      <c r="K5" s="103">
        <v>5480.18</v>
      </c>
    </row>
    <row r="6" s="89" customFormat="1" customHeight="1"/>
    <row r="7" s="87" customFormat="1" customHeight="1" spans="1:12">
      <c r="A7" s="105" t="s">
        <v>226</v>
      </c>
      <c r="B7" s="106"/>
      <c r="C7" s="106"/>
      <c r="D7" s="106"/>
      <c r="E7" s="106"/>
      <c r="F7" s="106"/>
      <c r="G7" s="106"/>
      <c r="H7" s="106"/>
      <c r="I7" s="106"/>
      <c r="J7" s="107"/>
      <c r="K7" s="108"/>
      <c r="L7" s="108"/>
    </row>
    <row r="8" s="87" customFormat="1" ht="49" customHeight="1" spans="1:12">
      <c r="A8" s="109" t="s">
        <v>42</v>
      </c>
      <c r="B8" s="109" t="s">
        <v>214</v>
      </c>
      <c r="C8" s="109" t="s">
        <v>227</v>
      </c>
      <c r="D8" s="110" t="s">
        <v>24</v>
      </c>
      <c r="E8" s="110" t="s">
        <v>25</v>
      </c>
      <c r="F8" s="110" t="s">
        <v>26</v>
      </c>
      <c r="G8" s="110" t="s">
        <v>27</v>
      </c>
      <c r="H8" s="110" t="s">
        <v>28</v>
      </c>
      <c r="I8" s="110" t="s">
        <v>29</v>
      </c>
      <c r="J8" s="110" t="s">
        <v>30</v>
      </c>
      <c r="K8" s="111"/>
      <c r="L8" s="112"/>
    </row>
    <row r="9" s="87" customFormat="1" customHeight="1" spans="1:12">
      <c r="A9" s="113" t="s">
        <v>22</v>
      </c>
      <c r="B9" s="113" t="s">
        <v>201</v>
      </c>
      <c r="C9" s="113" t="s">
        <v>31</v>
      </c>
      <c r="D9" s="114">
        <v>2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5"/>
      <c r="L9" s="115"/>
    </row>
    <row r="10" s="87" customFormat="1" customHeight="1" spans="1:12">
      <c r="A10" s="113"/>
      <c r="B10" s="113"/>
      <c r="C10" s="113" t="s">
        <v>32</v>
      </c>
      <c r="D10" s="114">
        <v>49</v>
      </c>
      <c r="E10" s="114">
        <v>9</v>
      </c>
      <c r="F10" s="114">
        <v>13</v>
      </c>
      <c r="G10" s="114">
        <v>6</v>
      </c>
      <c r="H10" s="114">
        <v>1</v>
      </c>
      <c r="I10" s="114">
        <v>0</v>
      </c>
      <c r="J10" s="114">
        <v>71</v>
      </c>
      <c r="K10" s="115"/>
      <c r="L10" s="115"/>
    </row>
    <row r="11" s="87" customFormat="1" customHeight="1" spans="1:12">
      <c r="A11" s="113" t="s">
        <v>22</v>
      </c>
      <c r="B11" s="113" t="s">
        <v>337</v>
      </c>
      <c r="C11" s="113" t="s">
        <v>31</v>
      </c>
      <c r="D11" s="114">
        <v>1</v>
      </c>
      <c r="E11" s="114">
        <v>0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  <c r="K11" s="115"/>
      <c r="L11" s="115"/>
    </row>
    <row r="12" s="87" customFormat="1" customHeight="1" spans="1:12">
      <c r="A12" s="113"/>
      <c r="B12" s="113"/>
      <c r="C12" s="113" t="s">
        <v>32</v>
      </c>
      <c r="D12" s="114">
        <v>10</v>
      </c>
      <c r="E12" s="114">
        <v>7</v>
      </c>
      <c r="F12" s="114">
        <v>0</v>
      </c>
      <c r="G12" s="114">
        <v>0</v>
      </c>
      <c r="H12" s="114">
        <v>0</v>
      </c>
      <c r="I12" s="114">
        <v>0</v>
      </c>
      <c r="J12" s="114">
        <v>188</v>
      </c>
      <c r="K12" s="115"/>
      <c r="L12" s="115"/>
    </row>
    <row r="13" s="87" customFormat="1" customHeight="1" spans="1:12">
      <c r="A13" s="109" t="s">
        <v>228</v>
      </c>
      <c r="B13" s="109"/>
      <c r="C13" s="113" t="s">
        <v>31</v>
      </c>
      <c r="D13" s="109">
        <f>D9+D11</f>
        <v>3</v>
      </c>
      <c r="E13" s="109">
        <f t="shared" ref="E13:J13" si="0">E9+E11</f>
        <v>0</v>
      </c>
      <c r="F13" s="109">
        <f t="shared" si="0"/>
        <v>0</v>
      </c>
      <c r="G13" s="109">
        <f t="shared" si="0"/>
        <v>0</v>
      </c>
      <c r="H13" s="109">
        <f t="shared" si="0"/>
        <v>0</v>
      </c>
      <c r="I13" s="109">
        <f t="shared" si="0"/>
        <v>0</v>
      </c>
      <c r="J13" s="109">
        <f t="shared" si="0"/>
        <v>0</v>
      </c>
      <c r="K13" s="116"/>
      <c r="L13" s="116"/>
    </row>
    <row r="14" s="87" customFormat="1" customHeight="1" spans="1:12">
      <c r="A14" s="109"/>
      <c r="B14" s="109"/>
      <c r="C14" s="109" t="s">
        <v>32</v>
      </c>
      <c r="D14" s="109">
        <f>D10+D12</f>
        <v>59</v>
      </c>
      <c r="E14" s="109">
        <f t="shared" ref="E14:J14" si="1">E10+E12</f>
        <v>16</v>
      </c>
      <c r="F14" s="109">
        <f t="shared" si="1"/>
        <v>13</v>
      </c>
      <c r="G14" s="109">
        <f t="shared" si="1"/>
        <v>6</v>
      </c>
      <c r="H14" s="109">
        <f t="shared" si="1"/>
        <v>1</v>
      </c>
      <c r="I14" s="109">
        <f t="shared" si="1"/>
        <v>0</v>
      </c>
      <c r="J14" s="109">
        <f t="shared" si="1"/>
        <v>259</v>
      </c>
      <c r="K14" s="116"/>
      <c r="L14" s="116"/>
    </row>
    <row r="15" s="90" customFormat="1" customHeight="1"/>
    <row r="16" s="87" customFormat="1" ht="33" customHeight="1" spans="1:12">
      <c r="A16" s="117"/>
      <c r="B16" s="117"/>
      <c r="C16" s="117"/>
      <c r="D16" s="117"/>
      <c r="E16" s="117"/>
      <c r="F16" s="117"/>
    </row>
    <row r="17" s="87" customFormat="1" ht="33" customHeight="1" spans="1:6">
      <c r="A17" s="117"/>
      <c r="B17" s="117"/>
      <c r="C17" s="117"/>
      <c r="D17" s="117"/>
      <c r="E17" s="117"/>
      <c r="F17" s="117"/>
    </row>
    <row r="18" s="87" customFormat="1" ht="33" customHeight="1" spans="1:6">
      <c r="A18" s="117"/>
      <c r="B18" s="117"/>
      <c r="C18" s="117"/>
      <c r="D18" s="117"/>
      <c r="E18" s="117"/>
      <c r="F18" s="117"/>
    </row>
    <row r="19" s="87" customFormat="1" ht="33" customHeight="1" spans="1:6">
      <c r="A19" s="117"/>
      <c r="B19" s="117"/>
      <c r="C19" s="117"/>
      <c r="D19" s="117"/>
      <c r="E19" s="117"/>
      <c r="F19" s="117"/>
    </row>
    <row r="20" s="87" customFormat="1" ht="33" customHeight="1" spans="1:6">
      <c r="A20" s="117"/>
      <c r="B20" s="117"/>
      <c r="C20" s="117"/>
      <c r="D20" s="117"/>
      <c r="E20" s="117"/>
      <c r="F20" s="117"/>
    </row>
    <row r="21" s="87" customFormat="1" ht="33" customHeight="1" spans="1:6">
      <c r="A21" s="94" t="s">
        <v>229</v>
      </c>
      <c r="B21" s="94"/>
      <c r="C21" s="94"/>
      <c r="D21" s="94"/>
      <c r="E21" s="94"/>
      <c r="F21" s="94"/>
    </row>
    <row r="22" s="87" customFormat="1" ht="33" customHeight="1" spans="1:6">
      <c r="A22" s="118" t="s">
        <v>230</v>
      </c>
      <c r="B22" s="119"/>
      <c r="C22" s="119"/>
      <c r="D22" s="117"/>
      <c r="E22" s="119"/>
      <c r="F22" s="120"/>
    </row>
    <row r="23" s="87" customFormat="1" ht="33" customHeight="1" spans="1:6">
      <c r="A23" s="96" t="s">
        <v>42</v>
      </c>
      <c r="B23" s="96" t="s">
        <v>214</v>
      </c>
      <c r="C23" s="121" t="s">
        <v>232</v>
      </c>
      <c r="D23" s="121" t="s">
        <v>233</v>
      </c>
      <c r="E23" s="122" t="s">
        <v>318</v>
      </c>
      <c r="F23" s="121" t="s">
        <v>289</v>
      </c>
    </row>
    <row r="24" s="87" customFormat="1" ht="33" customHeight="1" spans="1:6">
      <c r="A24" s="98" t="s">
        <v>22</v>
      </c>
      <c r="B24" s="98" t="s">
        <v>201</v>
      </c>
      <c r="C24" s="99"/>
      <c r="D24" s="99"/>
      <c r="E24" s="99"/>
      <c r="F24" s="99"/>
    </row>
    <row r="25" s="87" customFormat="1" ht="33" customHeight="1" spans="1:6">
      <c r="A25" s="98" t="s">
        <v>22</v>
      </c>
      <c r="B25" s="98" t="s">
        <v>337</v>
      </c>
      <c r="C25" s="99"/>
      <c r="D25" s="99"/>
      <c r="E25" s="99"/>
      <c r="F25" s="99"/>
    </row>
    <row r="26" s="87" customFormat="1" ht="33" customHeight="1" spans="1:6">
      <c r="A26" s="96" t="s">
        <v>242</v>
      </c>
      <c r="B26" s="96"/>
      <c r="C26" s="96"/>
      <c r="D26" s="96"/>
      <c r="E26" s="121"/>
      <c r="F26" s="121"/>
    </row>
    <row r="27" s="87" customFormat="1" ht="33" customHeight="1" spans="1:6">
      <c r="A27" s="94" t="s">
        <v>243</v>
      </c>
      <c r="B27" s="94"/>
      <c r="C27" s="94"/>
      <c r="D27" s="94"/>
      <c r="E27" s="94"/>
      <c r="F27" s="94"/>
    </row>
    <row r="28" s="87" customFormat="1" ht="33" customHeight="1" spans="1:6">
      <c r="A28" s="96" t="s">
        <v>42</v>
      </c>
      <c r="B28" s="96" t="s">
        <v>231</v>
      </c>
      <c r="C28" s="121" t="s">
        <v>232</v>
      </c>
      <c r="D28" s="121" t="s">
        <v>233</v>
      </c>
      <c r="E28" s="122" t="s">
        <v>318</v>
      </c>
      <c r="F28" s="121" t="s">
        <v>289</v>
      </c>
    </row>
    <row r="29" s="87" customFormat="1" ht="33" customHeight="1" spans="1:6">
      <c r="A29" s="98" t="s">
        <v>22</v>
      </c>
      <c r="B29" s="98" t="s">
        <v>201</v>
      </c>
      <c r="C29" s="99" t="s">
        <v>338</v>
      </c>
      <c r="D29" s="123" t="s">
        <v>339</v>
      </c>
      <c r="E29" s="99">
        <v>2321.92</v>
      </c>
      <c r="F29" s="99" t="s">
        <v>340</v>
      </c>
    </row>
    <row r="30" s="87" customFormat="1" ht="33" customHeight="1" spans="1:6">
      <c r="A30" s="98" t="s">
        <v>22</v>
      </c>
      <c r="B30" s="98" t="s">
        <v>201</v>
      </c>
      <c r="C30" s="99" t="s">
        <v>338</v>
      </c>
      <c r="D30" s="99" t="s">
        <v>341</v>
      </c>
      <c r="E30" s="99">
        <v>3158.26</v>
      </c>
      <c r="F30" s="124" t="s">
        <v>342</v>
      </c>
    </row>
    <row r="31" s="88" customFormat="1" ht="33" customHeight="1" spans="1:6">
      <c r="A31" s="96" t="s">
        <v>242</v>
      </c>
      <c r="B31" s="96"/>
      <c r="C31" s="96"/>
      <c r="D31" s="96"/>
      <c r="E31" s="121">
        <f>SUM(E29:E30)</f>
        <v>5480.18</v>
      </c>
      <c r="F31" s="121"/>
    </row>
    <row r="32" s="89" customFormat="1" customHeight="1" spans="1:6">
      <c r="A32" s="117" t="s">
        <v>253</v>
      </c>
      <c r="B32" s="117"/>
      <c r="C32" s="117"/>
      <c r="D32" s="117"/>
      <c r="E32" s="117"/>
      <c r="F32" s="117"/>
    </row>
    <row r="33" s="87" customFormat="1" customHeight="1" spans="1:15">
      <c r="A33" s="125" t="s">
        <v>42</v>
      </c>
      <c r="B33" s="125" t="s">
        <v>231</v>
      </c>
      <c r="C33" s="125" t="s">
        <v>232</v>
      </c>
      <c r="D33" s="125" t="s">
        <v>233</v>
      </c>
      <c r="E33" s="126" t="s">
        <v>234</v>
      </c>
      <c r="F33" s="127" t="s">
        <v>289</v>
      </c>
      <c r="G33" s="117"/>
      <c r="H33" s="117"/>
      <c r="I33" s="117"/>
      <c r="J33" s="117"/>
      <c r="K33" s="117"/>
      <c r="L33" s="117"/>
      <c r="M33" s="117"/>
      <c r="N33" s="128"/>
      <c r="O33" s="128"/>
    </row>
    <row r="34" s="87" customFormat="1" customHeight="1" spans="1:15">
      <c r="A34" s="129" t="s">
        <v>22</v>
      </c>
      <c r="B34" s="129" t="s">
        <v>201</v>
      </c>
      <c r="C34" s="130" t="s">
        <v>338</v>
      </c>
      <c r="D34" s="131" t="s">
        <v>343</v>
      </c>
      <c r="E34" s="132" t="s">
        <v>11</v>
      </c>
      <c r="F34" s="132"/>
      <c r="G34" s="117"/>
      <c r="H34" s="117"/>
      <c r="I34" s="117"/>
      <c r="J34" s="117"/>
      <c r="K34" s="117"/>
      <c r="L34" s="117"/>
      <c r="M34" s="117"/>
      <c r="N34" s="128"/>
      <c r="O34" s="128"/>
    </row>
    <row r="35" s="87" customFormat="1" customHeight="1" spans="1:15">
      <c r="A35" s="129" t="s">
        <v>22</v>
      </c>
      <c r="B35" s="129" t="s">
        <v>201</v>
      </c>
      <c r="C35" s="130" t="s">
        <v>338</v>
      </c>
      <c r="D35" s="131" t="s">
        <v>344</v>
      </c>
      <c r="E35" s="132" t="s">
        <v>11</v>
      </c>
      <c r="F35" s="132"/>
      <c r="G35" s="117"/>
      <c r="H35" s="117"/>
      <c r="I35" s="117"/>
      <c r="J35" s="117"/>
      <c r="K35" s="117"/>
      <c r="L35" s="117"/>
      <c r="M35" s="117"/>
      <c r="N35" s="128"/>
      <c r="O35" s="128"/>
    </row>
    <row r="36" s="87" customFormat="1" customHeight="1" spans="1:15">
      <c r="A36" s="125" t="s">
        <v>242</v>
      </c>
      <c r="B36" s="125"/>
      <c r="C36" s="125"/>
      <c r="D36" s="125"/>
      <c r="E36" s="127">
        <f>SUM(E34:E35)</f>
        <v>0</v>
      </c>
      <c r="F36" s="127"/>
      <c r="G36" s="117"/>
      <c r="H36" s="117"/>
      <c r="I36" s="117"/>
      <c r="J36" s="117"/>
      <c r="K36" s="117"/>
      <c r="L36" s="117"/>
      <c r="M36" s="117"/>
      <c r="N36" s="128"/>
      <c r="O36" s="128"/>
    </row>
    <row r="37" s="87" customFormat="1" customHeight="1" spans="1:1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28"/>
      <c r="O37" s="128"/>
    </row>
    <row r="38" s="87" customFormat="1" customHeight="1" spans="1:1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28"/>
      <c r="O38" s="128"/>
    </row>
    <row r="39" s="87" customFormat="1" customHeight="1" spans="1:1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28"/>
      <c r="O39" s="128"/>
    </row>
    <row r="40" s="87" customFormat="1" customHeight="1" spans="1:15">
      <c r="A40" s="105" t="s">
        <v>257</v>
      </c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7"/>
      <c r="N40" s="128"/>
      <c r="O40" s="128"/>
    </row>
    <row r="41" s="87" customFormat="1" ht="45.95" customHeight="1" spans="1:15">
      <c r="A41" s="109" t="s">
        <v>213</v>
      </c>
      <c r="B41" s="109" t="s">
        <v>214</v>
      </c>
      <c r="C41" s="109" t="s">
        <v>227</v>
      </c>
      <c r="D41" s="110" t="s">
        <v>258</v>
      </c>
      <c r="E41" s="110" t="s">
        <v>259</v>
      </c>
      <c r="F41" s="110" t="s">
        <v>260</v>
      </c>
      <c r="G41" s="110" t="s">
        <v>261</v>
      </c>
      <c r="H41" s="110" t="s">
        <v>262</v>
      </c>
      <c r="I41" s="110" t="s">
        <v>263</v>
      </c>
      <c r="J41" s="110" t="s">
        <v>264</v>
      </c>
      <c r="K41" s="110" t="s">
        <v>228</v>
      </c>
      <c r="L41" s="110" t="s">
        <v>265</v>
      </c>
      <c r="M41" s="110" t="s">
        <v>266</v>
      </c>
      <c r="N41" s="133"/>
      <c r="O41" s="133"/>
    </row>
    <row r="42" s="87" customFormat="1" customHeight="1" spans="1:15">
      <c r="A42" s="113" t="s">
        <v>22</v>
      </c>
      <c r="B42" s="113" t="s">
        <v>201</v>
      </c>
      <c r="C42" s="113" t="s">
        <v>31</v>
      </c>
      <c r="D42" s="134"/>
      <c r="E42" s="134">
        <v>34674.24</v>
      </c>
      <c r="F42" s="134">
        <v>372.46</v>
      </c>
      <c r="G42" s="134"/>
      <c r="H42" s="134"/>
      <c r="I42" s="134"/>
      <c r="J42" s="134">
        <v>6719.09</v>
      </c>
      <c r="K42" s="135">
        <v>41765.79</v>
      </c>
      <c r="L42" s="136" t="s">
        <v>11</v>
      </c>
      <c r="M42" s="136" t="s">
        <v>11</v>
      </c>
      <c r="N42" s="137"/>
      <c r="O42" s="137"/>
    </row>
    <row r="43" s="87" customFormat="1" customHeight="1" spans="1:15">
      <c r="A43" s="113"/>
      <c r="B43" s="113"/>
      <c r="C43" s="113" t="s">
        <v>267</v>
      </c>
      <c r="D43" s="134"/>
      <c r="E43" s="134">
        <v>110158.6</v>
      </c>
      <c r="F43" s="134">
        <v>8808.94</v>
      </c>
      <c r="G43" s="134">
        <v>410.64</v>
      </c>
      <c r="H43" s="134">
        <v>24</v>
      </c>
      <c r="I43" s="134">
        <v>458627.78</v>
      </c>
      <c r="J43" s="134">
        <v>7528.28</v>
      </c>
      <c r="K43" s="135">
        <v>585558.24</v>
      </c>
      <c r="L43" s="136"/>
      <c r="M43" s="136"/>
      <c r="N43" s="137"/>
      <c r="O43" s="137"/>
    </row>
    <row r="44" s="87" customFormat="1" customHeight="1" spans="1:15">
      <c r="A44" s="113" t="s">
        <v>22</v>
      </c>
      <c r="B44" s="113" t="s">
        <v>337</v>
      </c>
      <c r="C44" s="113" t="s">
        <v>31</v>
      </c>
      <c r="D44" s="134"/>
      <c r="E44" s="134">
        <v>9425.83</v>
      </c>
      <c r="F44" s="134"/>
      <c r="G44" s="134"/>
      <c r="H44" s="134"/>
      <c r="I44" s="134"/>
      <c r="J44" s="134"/>
      <c r="K44" s="135">
        <v>9425.83</v>
      </c>
      <c r="L44" s="136" t="s">
        <v>11</v>
      </c>
      <c r="M44" s="136" t="s">
        <v>11</v>
      </c>
      <c r="N44" s="137"/>
      <c r="O44" s="137"/>
    </row>
    <row r="45" s="87" customFormat="1" customHeight="1" spans="1:15">
      <c r="A45" s="113"/>
      <c r="B45" s="113"/>
      <c r="C45" s="113" t="s">
        <v>267</v>
      </c>
      <c r="D45" s="134"/>
      <c r="E45" s="134">
        <v>50116.22</v>
      </c>
      <c r="F45" s="134">
        <v>3145.72</v>
      </c>
      <c r="G45" s="134"/>
      <c r="H45" s="134"/>
      <c r="I45" s="134"/>
      <c r="J45" s="134">
        <v>98</v>
      </c>
      <c r="K45" s="135">
        <v>53359.94</v>
      </c>
      <c r="L45" s="136"/>
      <c r="M45" s="136"/>
      <c r="N45" s="137"/>
      <c r="O45" s="137"/>
    </row>
    <row r="46" s="87" customFormat="1" customHeight="1" spans="1:15">
      <c r="A46" s="109" t="s">
        <v>228</v>
      </c>
      <c r="B46" s="109"/>
      <c r="C46" s="113" t="s">
        <v>31</v>
      </c>
      <c r="D46" s="135">
        <f>D42+D44</f>
        <v>0</v>
      </c>
      <c r="E46" s="135">
        <f t="shared" ref="E46:K46" si="2">E42+E44</f>
        <v>44100.07</v>
      </c>
      <c r="F46" s="135">
        <f t="shared" si="2"/>
        <v>372.46</v>
      </c>
      <c r="G46" s="135">
        <f t="shared" si="2"/>
        <v>0</v>
      </c>
      <c r="H46" s="135">
        <f t="shared" si="2"/>
        <v>0</v>
      </c>
      <c r="I46" s="135">
        <f t="shared" si="2"/>
        <v>0</v>
      </c>
      <c r="J46" s="135">
        <f t="shared" si="2"/>
        <v>6719.09</v>
      </c>
      <c r="K46" s="135">
        <f>SUM(D46:J46)</f>
        <v>51191.62</v>
      </c>
      <c r="L46" s="136" t="s">
        <v>11</v>
      </c>
      <c r="M46" s="136" t="s">
        <v>11</v>
      </c>
      <c r="N46" s="137"/>
      <c r="O46" s="137"/>
    </row>
    <row r="47" s="87" customFormat="1" customHeight="1" spans="1:15">
      <c r="A47" s="109"/>
      <c r="B47" s="109"/>
      <c r="C47" s="109" t="s">
        <v>267</v>
      </c>
      <c r="D47" s="135">
        <f>D43+D45</f>
        <v>0</v>
      </c>
      <c r="E47" s="135">
        <f t="shared" ref="E47:K47" si="3">E43+E45</f>
        <v>160274.82</v>
      </c>
      <c r="F47" s="135">
        <f t="shared" si="3"/>
        <v>11954.66</v>
      </c>
      <c r="G47" s="135">
        <f t="shared" si="3"/>
        <v>410.64</v>
      </c>
      <c r="H47" s="135">
        <f t="shared" si="3"/>
        <v>24</v>
      </c>
      <c r="I47" s="135">
        <f t="shared" si="3"/>
        <v>458627.78</v>
      </c>
      <c r="J47" s="135">
        <f t="shared" si="3"/>
        <v>7626.28</v>
      </c>
      <c r="K47" s="135">
        <f>SUM(D47:J47)</f>
        <v>638918.18</v>
      </c>
      <c r="L47" s="136"/>
      <c r="M47" s="136"/>
      <c r="N47" s="137"/>
      <c r="O47" s="137"/>
    </row>
    <row r="48" s="90" customFormat="1" customHeight="1"/>
    <row r="49" s="91" customFormat="1" customHeight="1" spans="1:22">
      <c r="A49" s="94" t="s">
        <v>268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</row>
    <row r="50" s="92" customFormat="1" ht="33" spans="1:22">
      <c r="A50" s="138" t="s">
        <v>41</v>
      </c>
      <c r="B50" s="138" t="s">
        <v>42</v>
      </c>
      <c r="C50" s="138" t="s">
        <v>43</v>
      </c>
      <c r="D50" s="138" t="s">
        <v>44</v>
      </c>
      <c r="E50" s="139" t="s">
        <v>45</v>
      </c>
      <c r="F50" s="138" t="s">
        <v>46</v>
      </c>
      <c r="G50" s="138" t="s">
        <v>47</v>
      </c>
      <c r="H50" s="138" t="s">
        <v>48</v>
      </c>
      <c r="I50" s="138" t="s">
        <v>49</v>
      </c>
      <c r="J50" s="138" t="s">
        <v>50</v>
      </c>
      <c r="K50" s="138" t="s">
        <v>51</v>
      </c>
      <c r="L50" s="138" t="s">
        <v>52</v>
      </c>
      <c r="M50" s="138" t="s">
        <v>53</v>
      </c>
      <c r="N50" s="138" t="s">
        <v>54</v>
      </c>
      <c r="O50" s="138" t="s">
        <v>55</v>
      </c>
      <c r="P50" s="138" t="s">
        <v>56</v>
      </c>
      <c r="Q50" s="138" t="s">
        <v>57</v>
      </c>
      <c r="R50" s="138" t="s">
        <v>58</v>
      </c>
      <c r="S50" s="138" t="s">
        <v>59</v>
      </c>
      <c r="T50" s="138" t="s">
        <v>60</v>
      </c>
      <c r="U50" s="138" t="s">
        <v>61</v>
      </c>
      <c r="V50" s="138" t="s">
        <v>62</v>
      </c>
    </row>
    <row r="51" s="92" customFormat="1" ht="32" customHeight="1" spans="1:22">
      <c r="A51" s="140">
        <v>1</v>
      </c>
      <c r="B51" s="140" t="s">
        <v>22</v>
      </c>
      <c r="C51" s="140" t="s">
        <v>64</v>
      </c>
      <c r="D51" s="141" t="s">
        <v>200</v>
      </c>
      <c r="E51" s="142">
        <v>45503</v>
      </c>
      <c r="F51" s="140" t="s">
        <v>201</v>
      </c>
      <c r="G51" s="140" t="s">
        <v>87</v>
      </c>
      <c r="H51" s="143">
        <v>1081482</v>
      </c>
      <c r="I51" s="143">
        <v>1081482</v>
      </c>
      <c r="J51" s="144">
        <v>1</v>
      </c>
      <c r="K51" s="143"/>
      <c r="L51" s="143"/>
      <c r="M51" s="145">
        <v>1081482</v>
      </c>
      <c r="N51" s="145">
        <v>1081482</v>
      </c>
      <c r="O51" s="146">
        <v>0</v>
      </c>
      <c r="P51" s="147" t="s">
        <v>202</v>
      </c>
      <c r="Q51" s="143"/>
      <c r="R51" s="143">
        <v>1081482</v>
      </c>
      <c r="S51" s="141"/>
      <c r="T51" s="147"/>
      <c r="U51" s="145"/>
      <c r="V51" s="145"/>
    </row>
    <row r="52" s="92" customFormat="1" ht="32" customHeight="1" spans="1:22">
      <c r="A52" s="140">
        <v>2</v>
      </c>
      <c r="B52" s="140" t="s">
        <v>22</v>
      </c>
      <c r="C52" s="140" t="s">
        <v>102</v>
      </c>
      <c r="D52" s="147" t="s">
        <v>203</v>
      </c>
      <c r="E52" s="142">
        <v>45328</v>
      </c>
      <c r="F52" s="140" t="s">
        <v>201</v>
      </c>
      <c r="G52" s="140" t="s">
        <v>87</v>
      </c>
      <c r="H52" s="143">
        <v>46400000</v>
      </c>
      <c r="I52" s="143">
        <v>46400000</v>
      </c>
      <c r="J52" s="141" t="s">
        <v>88</v>
      </c>
      <c r="K52" s="143">
        <v>44080000</v>
      </c>
      <c r="L52" s="143">
        <v>44080000</v>
      </c>
      <c r="M52" s="145">
        <v>2320000</v>
      </c>
      <c r="N52" s="145">
        <v>2320000</v>
      </c>
      <c r="O52" s="146">
        <v>0.95</v>
      </c>
      <c r="P52" s="147" t="s">
        <v>204</v>
      </c>
      <c r="Q52" s="143">
        <v>2320000</v>
      </c>
      <c r="R52" s="143"/>
      <c r="S52" s="141" t="s">
        <v>205</v>
      </c>
      <c r="T52" s="147" t="s">
        <v>206</v>
      </c>
      <c r="U52" s="145"/>
      <c r="V52" s="145"/>
    </row>
    <row r="53" s="92" customFormat="1" ht="32" customHeight="1" spans="1:22">
      <c r="A53" s="140">
        <v>3</v>
      </c>
      <c r="B53" s="140" t="s">
        <v>22</v>
      </c>
      <c r="C53" s="140" t="s">
        <v>102</v>
      </c>
      <c r="D53" s="147" t="s">
        <v>200</v>
      </c>
      <c r="E53" s="142">
        <v>45503</v>
      </c>
      <c r="F53" s="140" t="s">
        <v>201</v>
      </c>
      <c r="G53" s="140" t="s">
        <v>87</v>
      </c>
      <c r="H53" s="143">
        <v>3232595</v>
      </c>
      <c r="I53" s="143">
        <v>3232595</v>
      </c>
      <c r="J53" s="141" t="s">
        <v>107</v>
      </c>
      <c r="K53" s="143">
        <v>2909335.5</v>
      </c>
      <c r="L53" s="143">
        <v>2909335.5</v>
      </c>
      <c r="M53" s="145">
        <v>323259.5</v>
      </c>
      <c r="N53" s="145">
        <v>323259.5</v>
      </c>
      <c r="O53" s="146">
        <v>0.9</v>
      </c>
      <c r="P53" s="147" t="s">
        <v>76</v>
      </c>
      <c r="Q53" s="143"/>
      <c r="R53" s="143">
        <v>323259.5</v>
      </c>
      <c r="S53" s="141"/>
      <c r="T53" s="147" t="s">
        <v>207</v>
      </c>
      <c r="U53" s="145"/>
      <c r="V53" s="145"/>
    </row>
    <row r="54" s="92" customFormat="1" ht="32" customHeight="1" spans="1:22">
      <c r="A54" s="140">
        <v>4</v>
      </c>
      <c r="B54" s="140" t="s">
        <v>22</v>
      </c>
      <c r="C54" s="140" t="s">
        <v>102</v>
      </c>
      <c r="D54" s="147" t="s">
        <v>208</v>
      </c>
      <c r="E54" s="142">
        <v>45642</v>
      </c>
      <c r="F54" s="140" t="s">
        <v>201</v>
      </c>
      <c r="G54" s="140" t="s">
        <v>87</v>
      </c>
      <c r="H54" s="143">
        <v>673002</v>
      </c>
      <c r="I54" s="143">
        <v>673002</v>
      </c>
      <c r="J54" s="141" t="s">
        <v>107</v>
      </c>
      <c r="K54" s="143">
        <v>605701.8</v>
      </c>
      <c r="L54" s="143">
        <v>605701.8</v>
      </c>
      <c r="M54" s="145">
        <v>67300.2</v>
      </c>
      <c r="N54" s="145">
        <v>67300.2</v>
      </c>
      <c r="O54" s="146">
        <v>0.9</v>
      </c>
      <c r="P54" s="147" t="s">
        <v>76</v>
      </c>
      <c r="Q54" s="143"/>
      <c r="R54" s="143">
        <v>67300.2</v>
      </c>
      <c r="S54" s="141"/>
      <c r="T54" s="147" t="s">
        <v>207</v>
      </c>
      <c r="U54" s="145"/>
      <c r="V54" s="145"/>
    </row>
    <row r="55" s="93" customFormat="1" ht="25" customHeight="1" spans="1:22">
      <c r="A55" s="148"/>
      <c r="B55" s="148"/>
      <c r="C55" s="148"/>
      <c r="D55" s="149" t="s">
        <v>209</v>
      </c>
      <c r="E55" s="142"/>
      <c r="F55" s="148"/>
      <c r="G55" s="148"/>
      <c r="H55" s="150">
        <f>SUMIF(G:G,"美元",H:H)</f>
        <v>0</v>
      </c>
      <c r="I55" s="150">
        <f>SUMIF(G:G,"美元",I:I)</f>
        <v>0</v>
      </c>
      <c r="J55" s="148"/>
      <c r="K55" s="150">
        <f>SUMIF(G:G,"美元",K:K)</f>
        <v>0</v>
      </c>
      <c r="L55" s="150">
        <f>SUMIF(G:G,"美元",L:L)</f>
        <v>0</v>
      </c>
      <c r="M55" s="150">
        <f>SUMIF(G:G,"美元",M:M)</f>
        <v>0</v>
      </c>
      <c r="N55" s="151">
        <f>SUMIF(G:G,"美元",N:N)</f>
        <v>0</v>
      </c>
      <c r="O55" s="152"/>
      <c r="P55" s="153"/>
      <c r="Q55" s="154">
        <f>SUMIF(G:G,"美元",Q:Q)</f>
        <v>0</v>
      </c>
      <c r="R55" s="154">
        <f>SUMIF(G:G,"美元",R:R)</f>
        <v>0</v>
      </c>
      <c r="S55" s="153"/>
      <c r="T55" s="153"/>
      <c r="U55" s="154">
        <f>SUMIF(G:G,"美元",U:U)</f>
        <v>0</v>
      </c>
      <c r="V55" s="151">
        <f>SUMIF(G:G,"美元",V:V)</f>
        <v>0</v>
      </c>
    </row>
    <row r="56" s="93" customFormat="1" ht="25" customHeight="1" spans="1:22">
      <c r="A56" s="148"/>
      <c r="B56" s="148"/>
      <c r="C56" s="148"/>
      <c r="D56" s="149" t="s">
        <v>210</v>
      </c>
      <c r="E56" s="142"/>
      <c r="F56" s="148"/>
      <c r="G56" s="148"/>
      <c r="H56" s="150">
        <f>SUMIF(G:G,"人民币",H:H)</f>
        <v>51387079</v>
      </c>
      <c r="I56" s="150">
        <f>SUMIF(G:G,"人民币",I:I)</f>
        <v>51387079</v>
      </c>
      <c r="J56" s="148"/>
      <c r="K56" s="150">
        <f>SUMIF(G:G,"人民币",K:K)</f>
        <v>47595037.3</v>
      </c>
      <c r="L56" s="150">
        <f>SUMIF(G:G,"人民币",L:L)</f>
        <v>47595037.3</v>
      </c>
      <c r="M56" s="150">
        <f>SUMIF(G:G,"人民币",M:M)</f>
        <v>3792041.7</v>
      </c>
      <c r="N56" s="151">
        <f>SUMIF(G:G,"人民币",N:N)</f>
        <v>3792041.7</v>
      </c>
      <c r="O56" s="152"/>
      <c r="P56" s="153"/>
      <c r="Q56" s="154">
        <f>SUMIF(G:G,"人民币",Q:Q)</f>
        <v>2320000</v>
      </c>
      <c r="R56" s="154">
        <f>SUMIF(G:G,"人民币",R:R)</f>
        <v>1472041.7</v>
      </c>
      <c r="S56" s="153"/>
      <c r="T56" s="153"/>
      <c r="U56" s="154">
        <f>SUMIF(G:G,"人民币",U:U)</f>
        <v>0</v>
      </c>
      <c r="V56" s="151">
        <f>SUMIF(G:G,"人民币",V:V)</f>
        <v>0</v>
      </c>
    </row>
    <row r="57" s="93" customFormat="1" ht="25" customHeight="1" spans="1:22">
      <c r="A57" s="148"/>
      <c r="B57" s="148"/>
      <c r="C57" s="148"/>
      <c r="D57" s="149" t="s">
        <v>211</v>
      </c>
      <c r="E57" s="155"/>
      <c r="F57" s="148"/>
      <c r="G57" s="140"/>
      <c r="H57" s="148"/>
      <c r="I57" s="150">
        <f t="shared" ref="I57:N57" si="4">I55+I56</f>
        <v>51387079</v>
      </c>
      <c r="J57" s="148"/>
      <c r="K57" s="150"/>
      <c r="L57" s="150">
        <f t="shared" si="4"/>
        <v>47595037.3</v>
      </c>
      <c r="M57" s="150">
        <f t="shared" si="4"/>
        <v>3792041.7</v>
      </c>
      <c r="N57" s="151">
        <f t="shared" si="4"/>
        <v>3792041.7</v>
      </c>
      <c r="O57" s="153"/>
      <c r="P57" s="153"/>
      <c r="Q57" s="153"/>
      <c r="R57" s="153"/>
      <c r="S57" s="153"/>
      <c r="T57" s="153"/>
      <c r="U57" s="154">
        <f>U55+U56</f>
        <v>0</v>
      </c>
      <c r="V57" s="151">
        <f>V55+V56</f>
        <v>0</v>
      </c>
    </row>
    <row r="58" s="92" customFormat="1" ht="15" spans="1:22">
      <c r="A58" s="156"/>
      <c r="B58" s="157"/>
      <c r="C58" s="157"/>
      <c r="E58" s="158"/>
      <c r="T58" s="159"/>
    </row>
    <row r="59" s="92" customFormat="1" ht="15" spans="1:22">
      <c r="A59" s="156"/>
      <c r="B59" s="157"/>
      <c r="C59" s="157"/>
      <c r="E59" s="158"/>
    </row>
    <row r="60" s="92" customFormat="1" ht="15" spans="1:22">
      <c r="A60" s="160" t="s">
        <v>272</v>
      </c>
      <c r="B60" s="157"/>
      <c r="C60" s="157"/>
      <c r="E60" s="158"/>
    </row>
    <row r="61" s="92" customFormat="1" ht="15" spans="1:22">
      <c r="A61" s="161" t="s">
        <v>273</v>
      </c>
      <c r="B61" s="157"/>
      <c r="C61" s="157"/>
      <c r="E61" s="158"/>
    </row>
  </sheetData>
  <mergeCells count="34">
    <mergeCell ref="A1:K1"/>
    <mergeCell ref="A5:B5"/>
    <mergeCell ref="A7:J7"/>
    <mergeCell ref="A21:F21"/>
    <mergeCell ref="A22:F22"/>
    <mergeCell ref="A26:D26"/>
    <mergeCell ref="A27:F27"/>
    <mergeCell ref="A31:D31"/>
    <mergeCell ref="A32:F32"/>
    <mergeCell ref="A36:D36"/>
    <mergeCell ref="A40:M40"/>
    <mergeCell ref="A49:V49"/>
    <mergeCell ref="A9:A10"/>
    <mergeCell ref="A11:A12"/>
    <mergeCell ref="A42:A43"/>
    <mergeCell ref="A44:A45"/>
    <mergeCell ref="B9:B10"/>
    <mergeCell ref="B11:B12"/>
    <mergeCell ref="B42:B43"/>
    <mergeCell ref="B44:B45"/>
    <mergeCell ref="L42:L43"/>
    <mergeCell ref="L44:L45"/>
    <mergeCell ref="L46:L47"/>
    <mergeCell ref="M42:M43"/>
    <mergeCell ref="M44:M45"/>
    <mergeCell ref="M46:M47"/>
    <mergeCell ref="N42:N43"/>
    <mergeCell ref="N44:N45"/>
    <mergeCell ref="N46:N47"/>
    <mergeCell ref="O42:O43"/>
    <mergeCell ref="O44:O45"/>
    <mergeCell ref="O46:O47"/>
    <mergeCell ref="A13:B14"/>
    <mergeCell ref="A46:B47"/>
  </mergeCells>
  <pageMargins left="0.75" right="0.75" top="1" bottom="1" header="0.5" footer="0.5"/>
  <pageSetup paperSize="8" scale="38" orientation="landscape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6"/>
  <sheetViews>
    <sheetView workbookViewId="0">
      <selection activeCell="E10" sqref="E10"/>
    </sheetView>
  </sheetViews>
  <sheetFormatPr defaultColWidth="23.8272727272727" defaultRowHeight="30" customHeight="1"/>
  <cols>
    <col min="1" max="1" width="12.8" style="75" customWidth="1"/>
    <col min="2" max="2" width="14.3727272727273" style="75" customWidth="1"/>
    <col min="3" max="3" width="15.9090909090909" style="75" customWidth="1"/>
    <col min="4" max="4" width="17.5272727272727" style="75" customWidth="1"/>
    <col min="5" max="6" width="15.1636363636364" style="75" customWidth="1"/>
    <col min="7" max="8" width="20.2818181818182" style="75" customWidth="1"/>
    <col min="9" max="10" width="21.0727272727273" style="75" customWidth="1"/>
    <col min="11" max="11" width="17.5272727272727" style="75" customWidth="1"/>
    <col min="12" max="12" width="21.1727272727273" style="75" customWidth="1"/>
    <col min="13" max="13" width="23.8272727272727" style="75" customWidth="1"/>
    <col min="14" max="39" width="23.8272727272727" style="75"/>
    <col min="40" max="16384" width="23.8272727272727" style="37"/>
  </cols>
  <sheetData>
    <row r="1" ht="44" customHeight="1" spans="1:12">
      <c r="A1" s="40" t="s">
        <v>345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ht="48" customHeight="1" spans="1:12">
      <c r="A2" s="42" t="s">
        <v>213</v>
      </c>
      <c r="B2" s="42" t="s">
        <v>214</v>
      </c>
      <c r="C2" s="42" t="s">
        <v>346</v>
      </c>
      <c r="D2" s="42" t="s">
        <v>347</v>
      </c>
      <c r="E2" s="43" t="s">
        <v>348</v>
      </c>
      <c r="F2" s="43" t="s">
        <v>349</v>
      </c>
      <c r="G2" s="43" t="s">
        <v>350</v>
      </c>
      <c r="H2" s="43" t="s">
        <v>351</v>
      </c>
      <c r="I2" s="43" t="s">
        <v>219</v>
      </c>
      <c r="J2" s="43" t="s">
        <v>220</v>
      </c>
      <c r="K2" s="42" t="s">
        <v>221</v>
      </c>
      <c r="L2" s="43" t="s">
        <v>352</v>
      </c>
    </row>
    <row r="3" s="75" customFormat="1" customHeight="1" spans="1:12">
      <c r="A3" s="45" t="s">
        <v>16</v>
      </c>
      <c r="B3" s="45" t="s">
        <v>66</v>
      </c>
      <c r="C3" s="76">
        <v>9900</v>
      </c>
      <c r="D3" s="77">
        <f t="shared" ref="D3:D13" si="0">C3*0.2</f>
        <v>1980</v>
      </c>
      <c r="E3" s="78" t="s">
        <v>353</v>
      </c>
      <c r="F3" s="79">
        <v>20.36</v>
      </c>
      <c r="G3" s="80">
        <f t="shared" ref="G3:G13" si="1">F3/C3</f>
        <v>0.00205656565656566</v>
      </c>
      <c r="H3" s="80">
        <f t="shared" ref="H3:H13" si="2">F3/D3</f>
        <v>0.0102828282828283</v>
      </c>
      <c r="I3" s="81">
        <v>1231.12</v>
      </c>
      <c r="J3" s="80">
        <f t="shared" ref="J3:J13" si="3">I3/C3</f>
        <v>0.124355555555556</v>
      </c>
      <c r="K3" s="81">
        <f t="shared" ref="K3:K14" si="4">C3-I3</f>
        <v>8668.88</v>
      </c>
      <c r="L3" s="80">
        <f t="shared" ref="L3:L13" si="5">1-J3</f>
        <v>0.875644444444444</v>
      </c>
    </row>
    <row r="4" s="75" customFormat="1" customHeight="1" spans="1:12">
      <c r="A4" s="45" t="s">
        <v>16</v>
      </c>
      <c r="B4" s="45" t="s">
        <v>146</v>
      </c>
      <c r="C4" s="76">
        <v>1650</v>
      </c>
      <c r="D4" s="77">
        <f t="shared" si="0"/>
        <v>330</v>
      </c>
      <c r="E4" s="78" t="s">
        <v>353</v>
      </c>
      <c r="F4" s="79"/>
      <c r="G4" s="80">
        <f t="shared" si="1"/>
        <v>0</v>
      </c>
      <c r="H4" s="80">
        <f t="shared" si="2"/>
        <v>0</v>
      </c>
      <c r="I4" s="81">
        <v>531.09</v>
      </c>
      <c r="J4" s="80">
        <f t="shared" si="3"/>
        <v>0.321872727272727</v>
      </c>
      <c r="K4" s="81">
        <f t="shared" si="4"/>
        <v>1118.91</v>
      </c>
      <c r="L4" s="80">
        <f t="shared" si="5"/>
        <v>0.678127272727273</v>
      </c>
    </row>
    <row r="5" s="75" customFormat="1" customHeight="1" spans="1:12">
      <c r="A5" s="45" t="s">
        <v>18</v>
      </c>
      <c r="B5" s="45" t="s">
        <v>153</v>
      </c>
      <c r="C5" s="76">
        <v>3300</v>
      </c>
      <c r="D5" s="77">
        <f t="shared" si="0"/>
        <v>660</v>
      </c>
      <c r="E5" s="78" t="s">
        <v>353</v>
      </c>
      <c r="F5" s="79"/>
      <c r="G5" s="80">
        <f t="shared" si="1"/>
        <v>0</v>
      </c>
      <c r="H5" s="80">
        <f t="shared" si="2"/>
        <v>0</v>
      </c>
      <c r="I5" s="81">
        <v>1.14</v>
      </c>
      <c r="J5" s="80">
        <f t="shared" si="3"/>
        <v>0.000345454545454545</v>
      </c>
      <c r="K5" s="81">
        <f t="shared" si="4"/>
        <v>3298.86</v>
      </c>
      <c r="L5" s="80">
        <f t="shared" si="5"/>
        <v>0.999654545454545</v>
      </c>
    </row>
    <row r="6" s="75" customFormat="1" customHeight="1" spans="1:12">
      <c r="A6" s="45" t="s">
        <v>18</v>
      </c>
      <c r="B6" s="45" t="s">
        <v>158</v>
      </c>
      <c r="C6" s="76">
        <v>2200</v>
      </c>
      <c r="D6" s="77">
        <f t="shared" si="0"/>
        <v>440</v>
      </c>
      <c r="E6" s="78" t="s">
        <v>353</v>
      </c>
      <c r="F6" s="79"/>
      <c r="G6" s="80">
        <f t="shared" si="1"/>
        <v>0</v>
      </c>
      <c r="H6" s="80">
        <f t="shared" si="2"/>
        <v>0</v>
      </c>
      <c r="I6" s="81">
        <v>0</v>
      </c>
      <c r="J6" s="80">
        <f t="shared" si="3"/>
        <v>0</v>
      </c>
      <c r="K6" s="81">
        <f t="shared" si="4"/>
        <v>2200</v>
      </c>
      <c r="L6" s="80">
        <f t="shared" si="5"/>
        <v>1</v>
      </c>
    </row>
    <row r="7" s="75" customFormat="1" customHeight="1" spans="1:12">
      <c r="A7" s="45" t="s">
        <v>19</v>
      </c>
      <c r="B7" s="45" t="s">
        <v>165</v>
      </c>
      <c r="C7" s="76">
        <v>3300</v>
      </c>
      <c r="D7" s="77">
        <f t="shared" si="0"/>
        <v>660</v>
      </c>
      <c r="E7" s="78" t="s">
        <v>353</v>
      </c>
      <c r="F7" s="79"/>
      <c r="G7" s="80">
        <f t="shared" si="1"/>
        <v>0</v>
      </c>
      <c r="H7" s="80">
        <f t="shared" si="2"/>
        <v>0</v>
      </c>
      <c r="I7" s="81">
        <v>10.48</v>
      </c>
      <c r="J7" s="80">
        <f t="shared" si="3"/>
        <v>0.00317575757575758</v>
      </c>
      <c r="K7" s="81">
        <f t="shared" si="4"/>
        <v>3289.52</v>
      </c>
      <c r="L7" s="80">
        <f t="shared" si="5"/>
        <v>0.996824242424242</v>
      </c>
    </row>
    <row r="8" s="75" customFormat="1" customHeight="1" spans="1:12">
      <c r="A8" s="45" t="s">
        <v>19</v>
      </c>
      <c r="B8" s="45" t="s">
        <v>163</v>
      </c>
      <c r="C8" s="76">
        <v>2200</v>
      </c>
      <c r="D8" s="77">
        <f t="shared" si="0"/>
        <v>440</v>
      </c>
      <c r="E8" s="78" t="s">
        <v>353</v>
      </c>
      <c r="F8" s="79"/>
      <c r="G8" s="80">
        <f t="shared" si="1"/>
        <v>0</v>
      </c>
      <c r="H8" s="80">
        <f t="shared" si="2"/>
        <v>0</v>
      </c>
      <c r="I8" s="81">
        <v>20.08</v>
      </c>
      <c r="J8" s="80">
        <f t="shared" si="3"/>
        <v>0.00912727272727273</v>
      </c>
      <c r="K8" s="81">
        <f t="shared" si="4"/>
        <v>2179.92</v>
      </c>
      <c r="L8" s="80">
        <f t="shared" si="5"/>
        <v>0.990872727272727</v>
      </c>
    </row>
    <row r="9" s="75" customFormat="1" customHeight="1" spans="1:12">
      <c r="A9" s="45" t="s">
        <v>20</v>
      </c>
      <c r="B9" s="45" t="s">
        <v>180</v>
      </c>
      <c r="C9" s="76">
        <v>3300</v>
      </c>
      <c r="D9" s="77">
        <f t="shared" si="0"/>
        <v>660</v>
      </c>
      <c r="E9" s="78" t="s">
        <v>353</v>
      </c>
      <c r="F9" s="79"/>
      <c r="G9" s="80">
        <f t="shared" si="1"/>
        <v>0</v>
      </c>
      <c r="H9" s="80">
        <f t="shared" si="2"/>
        <v>0</v>
      </c>
      <c r="I9" s="81">
        <v>1212.5</v>
      </c>
      <c r="J9" s="80">
        <f t="shared" si="3"/>
        <v>0.367424242424242</v>
      </c>
      <c r="K9" s="81">
        <f t="shared" si="4"/>
        <v>2087.5</v>
      </c>
      <c r="L9" s="80">
        <f t="shared" si="5"/>
        <v>0.632575757575758</v>
      </c>
    </row>
    <row r="10" s="75" customFormat="1" customHeight="1" spans="1:12">
      <c r="A10" s="45" t="s">
        <v>21</v>
      </c>
      <c r="B10" s="45" t="s">
        <v>193</v>
      </c>
      <c r="C10" s="76">
        <v>4400</v>
      </c>
      <c r="D10" s="77">
        <f t="shared" si="0"/>
        <v>880</v>
      </c>
      <c r="E10" s="78" t="s">
        <v>353</v>
      </c>
      <c r="F10" s="79"/>
      <c r="G10" s="80">
        <f t="shared" si="1"/>
        <v>0</v>
      </c>
      <c r="H10" s="80">
        <f t="shared" si="2"/>
        <v>0</v>
      </c>
      <c r="I10" s="81">
        <v>1150.53</v>
      </c>
      <c r="J10" s="80">
        <f t="shared" si="3"/>
        <v>0.261484090909091</v>
      </c>
      <c r="K10" s="81">
        <f t="shared" si="4"/>
        <v>3249.47</v>
      </c>
      <c r="L10" s="80">
        <f t="shared" si="5"/>
        <v>0.738515909090909</v>
      </c>
    </row>
    <row r="11" s="75" customFormat="1" customHeight="1" spans="1:12">
      <c r="A11" s="45" t="s">
        <v>21</v>
      </c>
      <c r="B11" s="45" t="s">
        <v>317</v>
      </c>
      <c r="C11" s="76">
        <v>2200</v>
      </c>
      <c r="D11" s="77">
        <f t="shared" si="0"/>
        <v>440</v>
      </c>
      <c r="E11" s="78" t="s">
        <v>353</v>
      </c>
      <c r="F11" s="79"/>
      <c r="G11" s="80">
        <f t="shared" si="1"/>
        <v>0</v>
      </c>
      <c r="H11" s="80">
        <f t="shared" si="2"/>
        <v>0</v>
      </c>
      <c r="I11" s="81">
        <v>0</v>
      </c>
      <c r="J11" s="80">
        <f t="shared" si="3"/>
        <v>0</v>
      </c>
      <c r="K11" s="81">
        <f t="shared" si="4"/>
        <v>2200</v>
      </c>
      <c r="L11" s="80">
        <f t="shared" si="5"/>
        <v>1</v>
      </c>
    </row>
    <row r="12" s="75" customFormat="1" customHeight="1" spans="1:12">
      <c r="A12" s="45" t="s">
        <v>22</v>
      </c>
      <c r="B12" s="45" t="s">
        <v>201</v>
      </c>
      <c r="C12" s="76">
        <v>5500</v>
      </c>
      <c r="D12" s="77">
        <f t="shared" si="0"/>
        <v>1100</v>
      </c>
      <c r="E12" s="78" t="s">
        <v>353</v>
      </c>
      <c r="F12" s="79"/>
      <c r="G12" s="80">
        <f t="shared" si="1"/>
        <v>0</v>
      </c>
      <c r="H12" s="80">
        <f t="shared" si="2"/>
        <v>0</v>
      </c>
      <c r="I12" s="81"/>
      <c r="J12" s="80">
        <f t="shared" si="3"/>
        <v>0</v>
      </c>
      <c r="K12" s="81">
        <f t="shared" si="4"/>
        <v>5500</v>
      </c>
      <c r="L12" s="80">
        <f t="shared" si="5"/>
        <v>1</v>
      </c>
    </row>
    <row r="13" s="75" customFormat="1" customHeight="1" spans="1:12">
      <c r="A13" s="45" t="s">
        <v>22</v>
      </c>
      <c r="B13" s="45" t="s">
        <v>337</v>
      </c>
      <c r="C13" s="76">
        <v>1650</v>
      </c>
      <c r="D13" s="77">
        <f t="shared" si="0"/>
        <v>330</v>
      </c>
      <c r="E13" s="78" t="s">
        <v>353</v>
      </c>
      <c r="F13" s="79"/>
      <c r="G13" s="80">
        <f t="shared" si="1"/>
        <v>0</v>
      </c>
      <c r="H13" s="80">
        <f t="shared" si="2"/>
        <v>0</v>
      </c>
      <c r="I13" s="81"/>
      <c r="J13" s="80">
        <f t="shared" si="3"/>
        <v>0</v>
      </c>
      <c r="K13" s="81">
        <f t="shared" si="4"/>
        <v>1650</v>
      </c>
      <c r="L13" s="80">
        <f t="shared" si="5"/>
        <v>1</v>
      </c>
    </row>
    <row r="14" s="42" customFormat="1" customHeight="1" spans="1:12">
      <c r="A14" s="82" t="s">
        <v>228</v>
      </c>
      <c r="B14" s="82"/>
      <c r="C14" s="42">
        <f t="shared" ref="C14:F14" si="6">SUM(C3:C13)</f>
        <v>39600</v>
      </c>
      <c r="D14" s="47">
        <f t="shared" si="6"/>
        <v>7920</v>
      </c>
      <c r="E14" s="78"/>
      <c r="F14" s="83">
        <f t="shared" si="6"/>
        <v>20.36</v>
      </c>
      <c r="G14" s="84"/>
      <c r="H14" s="84"/>
      <c r="I14" s="85">
        <f>SUM(I3:I13)</f>
        <v>4156.94</v>
      </c>
      <c r="J14" s="84"/>
      <c r="K14" s="86">
        <f t="shared" si="4"/>
        <v>35443.06</v>
      </c>
      <c r="L14" s="84"/>
    </row>
    <row r="16" customHeight="1" spans="1:12">
      <c r="E16" s="46"/>
      <c r="F16" s="80"/>
      <c r="G16" s="78"/>
      <c r="H16" s="46"/>
      <c r="I16" s="80"/>
      <c r="J16" s="80"/>
      <c r="K16" s="46"/>
      <c r="L16" s="80"/>
    </row>
  </sheetData>
  <mergeCells count="1">
    <mergeCell ref="A14:B1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42"/>
  <sheetViews>
    <sheetView workbookViewId="0">
      <pane xSplit="3" ySplit="2" topLeftCell="D19" activePane="bottomRight" state="frozen"/>
      <selection/>
      <selection pane="topRight"/>
      <selection pane="bottomLeft"/>
      <selection pane="bottomRight" activeCell="D25" sqref="D25:J28"/>
    </sheetView>
  </sheetViews>
  <sheetFormatPr defaultColWidth="33.6818181818182" defaultRowHeight="30" customHeight="1"/>
  <cols>
    <col min="1" max="2" width="13.3909090909091" style="62" customWidth="1"/>
    <col min="3" max="3" width="19.3" style="62" customWidth="1"/>
    <col min="4" max="7" width="13.9818181818182" style="62" customWidth="1"/>
    <col min="8" max="8" width="18.7272727272727" style="62" customWidth="1"/>
    <col min="9" max="9" width="13.9818181818182" style="62" customWidth="1"/>
    <col min="10" max="10" width="37" style="62" customWidth="1"/>
    <col min="11" max="34" width="33.6818181818182" style="62" customWidth="1"/>
    <col min="35" max="38" width="33.6818181818182" style="61"/>
    <col min="39" max="16384" width="33.6818181818182" style="37"/>
  </cols>
  <sheetData>
    <row r="1" s="61" customFormat="1" customHeight="1" spans="1:34">
      <c r="A1" s="63" t="s">
        <v>354</v>
      </c>
      <c r="B1" s="64"/>
      <c r="C1" s="64"/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="61" customFormat="1" ht="42" customHeight="1" spans="1:34">
      <c r="A2" s="65" t="s">
        <v>42</v>
      </c>
      <c r="B2" s="42" t="s">
        <v>214</v>
      </c>
      <c r="C2" s="65" t="s">
        <v>227</v>
      </c>
      <c r="D2" s="43" t="s">
        <v>24</v>
      </c>
      <c r="E2" s="43" t="s">
        <v>25</v>
      </c>
      <c r="F2" s="43" t="s">
        <v>26</v>
      </c>
      <c r="G2" s="43" t="s">
        <v>27</v>
      </c>
      <c r="H2" s="43" t="s">
        <v>28</v>
      </c>
      <c r="I2" s="43" t="s">
        <v>29</v>
      </c>
      <c r="J2" s="43" t="s">
        <v>30</v>
      </c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</row>
    <row r="3" s="61" customFormat="1" customHeight="1" spans="1:34">
      <c r="A3" s="66" t="s">
        <v>16</v>
      </c>
      <c r="B3" s="66" t="s">
        <v>66</v>
      </c>
      <c r="C3" s="62" t="s">
        <v>31</v>
      </c>
      <c r="D3" s="62">
        <v>6</v>
      </c>
      <c r="E3" s="62">
        <v>0</v>
      </c>
      <c r="F3" s="62">
        <v>0</v>
      </c>
      <c r="G3" s="62">
        <v>0</v>
      </c>
      <c r="H3" s="62">
        <v>0</v>
      </c>
      <c r="I3" s="62">
        <v>0</v>
      </c>
      <c r="J3" s="62">
        <v>0</v>
      </c>
      <c r="K3" s="67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="61" customFormat="1" customHeight="1" spans="1:34">
      <c r="A4" s="68"/>
      <c r="B4" s="68"/>
      <c r="C4" s="62" t="s">
        <v>32</v>
      </c>
      <c r="D4" s="62">
        <v>313</v>
      </c>
      <c r="E4" s="62">
        <v>8</v>
      </c>
      <c r="F4" s="62">
        <v>17</v>
      </c>
      <c r="G4" s="62">
        <v>6</v>
      </c>
      <c r="H4" s="62">
        <v>0</v>
      </c>
      <c r="I4" s="62">
        <v>0</v>
      </c>
      <c r="J4" s="62">
        <v>91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</row>
    <row r="5" s="61" customFormat="1" customHeight="1" spans="1:34">
      <c r="A5" s="66" t="s">
        <v>16</v>
      </c>
      <c r="B5" s="66" t="s">
        <v>146</v>
      </c>
      <c r="C5" s="62" t="s">
        <v>31</v>
      </c>
      <c r="D5" s="62">
        <v>17</v>
      </c>
      <c r="E5" s="62">
        <v>7</v>
      </c>
      <c r="F5" s="62">
        <v>2</v>
      </c>
      <c r="G5" s="62">
        <v>1</v>
      </c>
      <c r="H5" s="62">
        <v>0</v>
      </c>
      <c r="I5" s="62">
        <v>0</v>
      </c>
      <c r="J5" s="62">
        <v>0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</row>
    <row r="6" s="61" customFormat="1" customHeight="1" spans="1:34">
      <c r="A6" s="68"/>
      <c r="B6" s="68"/>
      <c r="C6" s="62" t="s">
        <v>32</v>
      </c>
      <c r="D6" s="62">
        <v>35</v>
      </c>
      <c r="E6" s="62">
        <v>13</v>
      </c>
      <c r="F6" s="62">
        <v>3</v>
      </c>
      <c r="G6" s="62">
        <v>1</v>
      </c>
      <c r="H6" s="62">
        <v>0</v>
      </c>
      <c r="I6" s="62">
        <v>1</v>
      </c>
      <c r="J6" s="62">
        <v>53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</row>
    <row r="7" s="61" customFormat="1" customHeight="1" spans="1:34">
      <c r="A7" s="69" t="s">
        <v>16</v>
      </c>
      <c r="B7" s="69" t="s">
        <v>224</v>
      </c>
      <c r="C7" s="62" t="s">
        <v>31</v>
      </c>
      <c r="D7" s="62">
        <v>14</v>
      </c>
      <c r="E7" s="62">
        <v>0</v>
      </c>
      <c r="F7" s="62">
        <v>0</v>
      </c>
      <c r="G7" s="62">
        <v>0</v>
      </c>
      <c r="H7" s="62">
        <v>0</v>
      </c>
      <c r="I7" s="62">
        <v>0</v>
      </c>
      <c r="J7" s="62">
        <v>0</v>
      </c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</row>
    <row r="8" s="61" customFormat="1" customHeight="1" spans="1:34">
      <c r="A8" s="69"/>
      <c r="B8" s="69"/>
      <c r="C8" s="62" t="s">
        <v>32</v>
      </c>
      <c r="D8" s="62">
        <v>26</v>
      </c>
      <c r="E8" s="62">
        <v>1</v>
      </c>
      <c r="F8" s="62">
        <v>3</v>
      </c>
      <c r="G8" s="62">
        <v>0</v>
      </c>
      <c r="H8" s="62">
        <v>0</v>
      </c>
      <c r="I8" s="62">
        <v>0</v>
      </c>
      <c r="J8" s="62">
        <v>3</v>
      </c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</row>
    <row r="9" s="61" customFormat="1" customHeight="1" spans="1:34">
      <c r="A9" s="66" t="s">
        <v>18</v>
      </c>
      <c r="B9" s="66" t="s">
        <v>153</v>
      </c>
      <c r="C9" s="62" t="s">
        <v>31</v>
      </c>
      <c r="D9" s="62">
        <v>17</v>
      </c>
      <c r="E9" s="62">
        <v>1</v>
      </c>
      <c r="F9" s="62">
        <v>0</v>
      </c>
      <c r="G9" s="62">
        <v>0</v>
      </c>
      <c r="H9" s="62">
        <v>0</v>
      </c>
      <c r="I9" s="62">
        <v>0</v>
      </c>
      <c r="J9" s="62">
        <v>0</v>
      </c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</row>
    <row r="10" s="61" customFormat="1" customHeight="1" spans="1:34">
      <c r="A10" s="68"/>
      <c r="B10" s="68"/>
      <c r="C10" s="62" t="s">
        <v>32</v>
      </c>
      <c r="D10" s="62">
        <v>72</v>
      </c>
      <c r="E10" s="62">
        <v>21</v>
      </c>
      <c r="F10" s="62">
        <v>4</v>
      </c>
      <c r="G10" s="62">
        <v>6</v>
      </c>
      <c r="H10" s="62">
        <v>0</v>
      </c>
      <c r="I10" s="62">
        <v>0</v>
      </c>
      <c r="J10" s="62">
        <v>110</v>
      </c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</row>
    <row r="11" s="61" customFormat="1" customHeight="1" spans="1:34">
      <c r="A11" s="66" t="s">
        <v>18</v>
      </c>
      <c r="B11" s="66" t="s">
        <v>158</v>
      </c>
      <c r="C11" s="62" t="s">
        <v>31</v>
      </c>
      <c r="D11" s="62">
        <v>21</v>
      </c>
      <c r="E11" s="62">
        <v>0</v>
      </c>
      <c r="F11" s="62">
        <v>0</v>
      </c>
      <c r="G11" s="62">
        <v>0</v>
      </c>
      <c r="H11" s="62">
        <v>0</v>
      </c>
      <c r="I11" s="62">
        <v>0</v>
      </c>
      <c r="J11" s="62">
        <v>0</v>
      </c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</row>
    <row r="12" s="61" customFormat="1" customHeight="1" spans="1:34">
      <c r="A12" s="68"/>
      <c r="B12" s="68"/>
      <c r="C12" s="62" t="s">
        <v>32</v>
      </c>
      <c r="D12" s="62">
        <v>38</v>
      </c>
      <c r="E12" s="62">
        <v>3</v>
      </c>
      <c r="F12" s="62">
        <v>0</v>
      </c>
      <c r="G12" s="62">
        <v>2</v>
      </c>
      <c r="H12" s="62">
        <v>0</v>
      </c>
      <c r="I12" s="62">
        <v>0</v>
      </c>
      <c r="J12" s="62">
        <v>13</v>
      </c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</row>
    <row r="13" s="61" customFormat="1" customHeight="1" spans="1:34">
      <c r="A13" s="66" t="s">
        <v>19</v>
      </c>
      <c r="B13" s="66" t="s">
        <v>165</v>
      </c>
      <c r="C13" s="62" t="s">
        <v>31</v>
      </c>
      <c r="D13" s="62">
        <v>11</v>
      </c>
      <c r="E13" s="62">
        <v>1</v>
      </c>
      <c r="F13" s="62">
        <v>2</v>
      </c>
      <c r="G13" s="62">
        <v>0</v>
      </c>
      <c r="H13" s="62">
        <v>0</v>
      </c>
      <c r="I13" s="62">
        <v>0</v>
      </c>
      <c r="J13" s="62">
        <v>0</v>
      </c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</row>
    <row r="14" s="61" customFormat="1" customHeight="1" spans="1:34">
      <c r="A14" s="68"/>
      <c r="B14" s="68"/>
      <c r="C14" s="62" t="s">
        <v>32</v>
      </c>
      <c r="D14" s="62">
        <v>47</v>
      </c>
      <c r="E14" s="62">
        <v>14</v>
      </c>
      <c r="F14" s="62">
        <v>5</v>
      </c>
      <c r="G14" s="62">
        <v>4</v>
      </c>
      <c r="H14" s="62">
        <v>0</v>
      </c>
      <c r="I14" s="62">
        <v>0</v>
      </c>
      <c r="J14" s="62">
        <v>55</v>
      </c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</row>
    <row r="15" s="61" customFormat="1" customHeight="1" spans="1:34">
      <c r="A15" s="66" t="s">
        <v>19</v>
      </c>
      <c r="B15" s="66" t="s">
        <v>163</v>
      </c>
      <c r="C15" s="62" t="s">
        <v>31</v>
      </c>
      <c r="D15" s="62">
        <v>25</v>
      </c>
      <c r="E15" s="62">
        <v>1</v>
      </c>
      <c r="F15" s="62">
        <v>0</v>
      </c>
      <c r="G15" s="62">
        <v>0</v>
      </c>
      <c r="H15" s="62">
        <v>0</v>
      </c>
      <c r="I15" s="62">
        <v>0</v>
      </c>
      <c r="J15" s="62">
        <v>0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</row>
    <row r="16" s="61" customFormat="1" customHeight="1" spans="1:34">
      <c r="A16" s="68"/>
      <c r="B16" s="68"/>
      <c r="C16" s="62" t="s">
        <v>32</v>
      </c>
      <c r="D16" s="62">
        <v>54</v>
      </c>
      <c r="E16" s="62">
        <v>1</v>
      </c>
      <c r="F16" s="62">
        <v>0</v>
      </c>
      <c r="G16" s="62">
        <v>0</v>
      </c>
      <c r="H16" s="62">
        <v>0</v>
      </c>
      <c r="I16" s="62">
        <v>0</v>
      </c>
      <c r="J16" s="62">
        <v>14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</row>
    <row r="17" s="61" customFormat="1" customHeight="1" spans="1:34">
      <c r="A17" s="66" t="s">
        <v>20</v>
      </c>
      <c r="B17" s="66" t="s">
        <v>180</v>
      </c>
      <c r="C17" s="62" t="s">
        <v>31</v>
      </c>
      <c r="D17" s="62">
        <v>6</v>
      </c>
      <c r="E17" s="62">
        <v>1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</row>
    <row r="18" s="61" customFormat="1" customHeight="1" spans="1:34">
      <c r="A18" s="68"/>
      <c r="B18" s="68"/>
      <c r="C18" s="62" t="s">
        <v>32</v>
      </c>
      <c r="D18" s="62">
        <v>82</v>
      </c>
      <c r="E18" s="62">
        <v>52</v>
      </c>
      <c r="F18" s="62">
        <v>12</v>
      </c>
      <c r="G18" s="62">
        <v>6</v>
      </c>
      <c r="H18" s="62">
        <v>1</v>
      </c>
      <c r="I18" s="62">
        <v>0</v>
      </c>
      <c r="J18" s="62">
        <v>74</v>
      </c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</row>
    <row r="19" s="61" customFormat="1" customHeight="1" spans="1:34">
      <c r="A19" s="66" t="s">
        <v>20</v>
      </c>
      <c r="B19" s="66" t="s">
        <v>300</v>
      </c>
      <c r="C19" s="62" t="s">
        <v>31</v>
      </c>
      <c r="D19" s="62">
        <v>27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</row>
    <row r="20" s="61" customFormat="1" customHeight="1" spans="1:34">
      <c r="A20" s="68"/>
      <c r="B20" s="68"/>
      <c r="C20" s="62" t="s">
        <v>32</v>
      </c>
      <c r="D20" s="62">
        <v>65</v>
      </c>
      <c r="E20" s="62">
        <v>0</v>
      </c>
      <c r="F20" s="62">
        <v>1</v>
      </c>
      <c r="G20" s="62">
        <v>1</v>
      </c>
      <c r="H20" s="62">
        <v>0</v>
      </c>
      <c r="I20" s="62">
        <v>0</v>
      </c>
      <c r="J20" s="62">
        <v>13</v>
      </c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</row>
    <row r="21" s="61" customFormat="1" customHeight="1" spans="1:34">
      <c r="A21" s="66" t="s">
        <v>21</v>
      </c>
      <c r="B21" s="66" t="s">
        <v>193</v>
      </c>
      <c r="C21" s="62" t="s">
        <v>31</v>
      </c>
      <c r="D21" s="62">
        <v>5</v>
      </c>
      <c r="E21" s="62">
        <v>4</v>
      </c>
      <c r="F21" s="62">
        <v>0</v>
      </c>
      <c r="G21" s="62">
        <v>0</v>
      </c>
      <c r="H21" s="62">
        <v>0</v>
      </c>
      <c r="I21" s="62">
        <v>0</v>
      </c>
      <c r="J21" s="62">
        <v>2</v>
      </c>
      <c r="K21" s="67" t="s">
        <v>355</v>
      </c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 s="61" customFormat="1" customHeight="1" spans="1:34">
      <c r="A22" s="68"/>
      <c r="B22" s="68"/>
      <c r="C22" s="62" t="s">
        <v>32</v>
      </c>
      <c r="D22" s="62">
        <v>44</v>
      </c>
      <c r="E22" s="62">
        <v>23</v>
      </c>
      <c r="F22" s="62">
        <v>8</v>
      </c>
      <c r="G22" s="62">
        <v>7</v>
      </c>
      <c r="H22" s="62">
        <v>0</v>
      </c>
      <c r="I22" s="62">
        <v>0</v>
      </c>
      <c r="J22" s="62">
        <v>52</v>
      </c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</row>
    <row r="23" s="61" customFormat="1" customHeight="1" spans="1:34">
      <c r="A23" s="66" t="s">
        <v>21</v>
      </c>
      <c r="B23" s="66" t="s">
        <v>317</v>
      </c>
      <c r="C23" s="62" t="s">
        <v>31</v>
      </c>
      <c r="D23" s="62">
        <v>34</v>
      </c>
      <c r="E23" s="62">
        <v>4</v>
      </c>
      <c r="F23" s="62">
        <v>1</v>
      </c>
      <c r="G23" s="62">
        <v>2</v>
      </c>
      <c r="H23" s="62">
        <v>0</v>
      </c>
      <c r="I23" s="62">
        <v>0</v>
      </c>
      <c r="J23" s="62">
        <v>0</v>
      </c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</row>
    <row r="24" s="61" customFormat="1" customHeight="1" spans="1:34">
      <c r="A24" s="68"/>
      <c r="B24" s="68"/>
      <c r="C24" s="62" t="s">
        <v>32</v>
      </c>
      <c r="D24" s="62">
        <v>83</v>
      </c>
      <c r="E24" s="62">
        <v>9</v>
      </c>
      <c r="F24" s="62">
        <v>12</v>
      </c>
      <c r="G24" s="62">
        <v>11</v>
      </c>
      <c r="H24" s="62">
        <v>6</v>
      </c>
      <c r="I24" s="62">
        <v>0</v>
      </c>
      <c r="J24" s="62">
        <v>39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</row>
    <row r="25" s="61" customFormat="1" customHeight="1" spans="1:34">
      <c r="A25" s="66" t="s">
        <v>22</v>
      </c>
      <c r="B25" s="66" t="s">
        <v>201</v>
      </c>
      <c r="C25" s="62" t="s">
        <v>31</v>
      </c>
      <c r="D25" s="62">
        <v>2</v>
      </c>
      <c r="E25" s="62">
        <v>0</v>
      </c>
      <c r="F25" s="62">
        <v>0</v>
      </c>
      <c r="G25" s="62">
        <v>0</v>
      </c>
      <c r="H25" s="62">
        <v>0</v>
      </c>
      <c r="I25" s="62">
        <v>0</v>
      </c>
      <c r="J25" s="62">
        <v>0</v>
      </c>
      <c r="K25" s="67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</row>
    <row r="26" s="61" customFormat="1" customHeight="1" spans="1:34">
      <c r="A26" s="68"/>
      <c r="B26" s="68"/>
      <c r="C26" s="62" t="s">
        <v>32</v>
      </c>
      <c r="D26" s="62">
        <v>49</v>
      </c>
      <c r="E26" s="62">
        <v>9</v>
      </c>
      <c r="F26" s="62">
        <v>13</v>
      </c>
      <c r="G26" s="62">
        <v>6</v>
      </c>
      <c r="H26" s="62">
        <v>1</v>
      </c>
      <c r="I26" s="62">
        <v>0</v>
      </c>
      <c r="J26" s="62">
        <v>71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</row>
    <row r="27" s="61" customFormat="1" customHeight="1" spans="1:34">
      <c r="A27" s="66" t="s">
        <v>22</v>
      </c>
      <c r="B27" s="66" t="s">
        <v>337</v>
      </c>
      <c r="C27" s="62" t="s">
        <v>31</v>
      </c>
      <c r="D27" s="62">
        <v>1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</row>
    <row r="28" s="61" customFormat="1" customHeight="1" spans="1:34">
      <c r="A28" s="68"/>
      <c r="B28" s="68"/>
      <c r="C28" s="62" t="s">
        <v>32</v>
      </c>
      <c r="D28" s="62">
        <v>10</v>
      </c>
      <c r="E28" s="62">
        <v>7</v>
      </c>
      <c r="F28" s="62">
        <v>0</v>
      </c>
      <c r="G28" s="62">
        <v>0</v>
      </c>
      <c r="H28" s="62">
        <v>0</v>
      </c>
      <c r="I28" s="62">
        <v>0</v>
      </c>
      <c r="J28" s="62">
        <v>188</v>
      </c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</row>
    <row r="29" s="61" customFormat="1" customHeight="1" spans="1:34">
      <c r="A29" s="70" t="s">
        <v>228</v>
      </c>
      <c r="B29" s="71"/>
      <c r="C29" s="62" t="s">
        <v>31</v>
      </c>
      <c r="D29" s="72">
        <f t="shared" ref="D29:J29" si="0">D3+D5+D7+D9+D11+D13+D15+D17+D21+D23+D25+D27+D19</f>
        <v>186</v>
      </c>
      <c r="E29" s="72">
        <f t="shared" si="0"/>
        <v>19</v>
      </c>
      <c r="F29" s="72">
        <f t="shared" si="0"/>
        <v>5</v>
      </c>
      <c r="G29" s="72">
        <f t="shared" si="0"/>
        <v>3</v>
      </c>
      <c r="H29" s="72">
        <f t="shared" si="0"/>
        <v>0</v>
      </c>
      <c r="I29" s="72">
        <f t="shared" si="0"/>
        <v>0</v>
      </c>
      <c r="J29" s="72">
        <f t="shared" si="0"/>
        <v>2</v>
      </c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</row>
    <row r="30" s="61" customFormat="1" customHeight="1" spans="1:34">
      <c r="A30" s="73"/>
      <c r="B30" s="74"/>
      <c r="C30" s="72" t="s">
        <v>32</v>
      </c>
      <c r="D30" s="72">
        <f>D4+D6+D10+D12+D14+D16+D18+D8+D22+D24+D26+D28+D20</f>
        <v>918</v>
      </c>
      <c r="E30" s="72">
        <f t="shared" ref="E30:J30" si="1">E4+E6+E8+E10+E12+E14+E16+E18+E22+E24+E26+E28+E20</f>
        <v>161</v>
      </c>
      <c r="F30" s="72">
        <f t="shared" si="1"/>
        <v>78</v>
      </c>
      <c r="G30" s="72">
        <f t="shared" si="1"/>
        <v>50</v>
      </c>
      <c r="H30" s="72">
        <f t="shared" si="1"/>
        <v>8</v>
      </c>
      <c r="I30" s="72">
        <f t="shared" si="1"/>
        <v>1</v>
      </c>
      <c r="J30" s="72">
        <f t="shared" si="1"/>
        <v>776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41" customHeight="1" spans="4:10">
      <c r="D41" s="62">
        <f>D13+D15</f>
        <v>36</v>
      </c>
      <c r="E41" s="62">
        <f t="shared" ref="E41:J41" si="2">E13+E15</f>
        <v>2</v>
      </c>
      <c r="F41" s="62">
        <f t="shared" si="2"/>
        <v>2</v>
      </c>
      <c r="G41" s="62">
        <f t="shared" si="2"/>
        <v>0</v>
      </c>
      <c r="H41" s="62">
        <f t="shared" si="2"/>
        <v>0</v>
      </c>
      <c r="I41" s="62">
        <f t="shared" si="2"/>
        <v>0</v>
      </c>
      <c r="J41" s="62">
        <f t="shared" si="2"/>
        <v>0</v>
      </c>
    </row>
    <row r="42" customHeight="1" spans="4:10">
      <c r="D42" s="62">
        <f>D14+D16</f>
        <v>101</v>
      </c>
      <c r="E42" s="62">
        <f t="shared" ref="E42:J42" si="3">E14+E16</f>
        <v>15</v>
      </c>
      <c r="F42" s="62">
        <f t="shared" si="3"/>
        <v>5</v>
      </c>
      <c r="G42" s="62">
        <f t="shared" si="3"/>
        <v>4</v>
      </c>
      <c r="H42" s="62">
        <f t="shared" si="3"/>
        <v>0</v>
      </c>
      <c r="I42" s="62">
        <f t="shared" si="3"/>
        <v>0</v>
      </c>
      <c r="J42" s="62">
        <f t="shared" si="3"/>
        <v>69</v>
      </c>
    </row>
  </sheetData>
  <autoFilter xmlns:etc="http://www.wps.cn/officeDocument/2017/etCustomData" ref="A2:AH42" etc:filterBottomFollowUsedRange="0">
    <extLst/>
  </autoFilter>
  <mergeCells count="28">
    <mergeCell ref="A1:J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A29:B30"/>
  </mergeCells>
  <pageMargins left="0.7" right="0.7" top="0.75" bottom="0.75" header="0.3" footer="0.3"/>
  <pageSetup paperSize="9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60"/>
  <sheetViews>
    <sheetView workbookViewId="0">
      <pane xSplit="3" ySplit="2" topLeftCell="D19" activePane="bottomRight" state="frozen"/>
      <selection/>
      <selection pane="topRight"/>
      <selection pane="bottomLeft"/>
      <selection pane="bottomRight" activeCell="K28" sqref="K26 K28"/>
    </sheetView>
  </sheetViews>
  <sheetFormatPr defaultColWidth="18.1181818181818" defaultRowHeight="44.1" customHeight="1"/>
  <cols>
    <col min="1" max="1" width="11.6181818181818" style="39" customWidth="1"/>
    <col min="2" max="2" width="14.1818181818182" style="39" customWidth="1"/>
    <col min="3" max="3" width="21.6636363636364" style="39" customWidth="1"/>
    <col min="4" max="4" width="15.9090909090909" style="39" customWidth="1"/>
    <col min="5" max="5" width="16.9090909090909" style="39" customWidth="1"/>
    <col min="6" max="9" width="14.1818181818182" style="39" customWidth="1"/>
    <col min="10" max="10" width="18.2727272727273" style="39" customWidth="1"/>
    <col min="11" max="11" width="14.1818181818182" style="39" customWidth="1"/>
    <col min="12" max="12" width="37.4181818181818" style="39" customWidth="1"/>
    <col min="13" max="13" width="35.8454545454545" style="39" customWidth="1"/>
    <col min="14" max="38" width="18.1181818181818" style="39" customWidth="1"/>
    <col min="39" max="16384" width="18.1181818181818" style="37"/>
  </cols>
  <sheetData>
    <row r="1" s="37" customFormat="1" ht="39.95" customHeight="1" spans="1:38">
      <c r="A1" s="40" t="s">
        <v>356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</row>
    <row r="2" s="37" customFormat="1" ht="47.1" customHeight="1" spans="1:38">
      <c r="A2" s="42" t="s">
        <v>213</v>
      </c>
      <c r="B2" s="42" t="s">
        <v>214</v>
      </c>
      <c r="C2" s="42" t="s">
        <v>227</v>
      </c>
      <c r="D2" s="43" t="s">
        <v>258</v>
      </c>
      <c r="E2" s="43" t="s">
        <v>259</v>
      </c>
      <c r="F2" s="43" t="s">
        <v>260</v>
      </c>
      <c r="G2" s="43" t="s">
        <v>261</v>
      </c>
      <c r="H2" s="43" t="s">
        <v>262</v>
      </c>
      <c r="I2" s="43" t="s">
        <v>263</v>
      </c>
      <c r="J2" s="43" t="s">
        <v>264</v>
      </c>
      <c r="K2" s="43" t="s">
        <v>228</v>
      </c>
      <c r="L2" s="43" t="s">
        <v>265</v>
      </c>
      <c r="M2" s="43" t="s">
        <v>266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="37" customFormat="1" ht="30" customHeight="1" spans="1:38">
      <c r="A3" s="44" t="s">
        <v>16</v>
      </c>
      <c r="B3" s="44" t="s">
        <v>66</v>
      </c>
      <c r="C3" s="45" t="s">
        <v>31</v>
      </c>
      <c r="D3" s="46">
        <v>272.84</v>
      </c>
      <c r="E3" s="46">
        <v>17509.13</v>
      </c>
      <c r="F3" s="46">
        <v>18691.6</v>
      </c>
      <c r="G3" s="46">
        <v>6432.32</v>
      </c>
      <c r="H3" s="46">
        <v>98</v>
      </c>
      <c r="I3" s="46"/>
      <c r="J3" s="46">
        <v>6797.86</v>
      </c>
      <c r="K3" s="47">
        <f t="shared" ref="K3:K7" si="0">D3+E3+F3+G3+H3+I3+J3</f>
        <v>49801.75</v>
      </c>
      <c r="L3" s="48" t="s">
        <v>11</v>
      </c>
      <c r="M3" s="48" t="s">
        <v>11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s="37" customFormat="1" ht="30" customHeight="1" spans="1:38">
      <c r="A4" s="49"/>
      <c r="B4" s="49"/>
      <c r="C4" s="45" t="s">
        <v>267</v>
      </c>
      <c r="D4" s="46">
        <v>1519</v>
      </c>
      <c r="E4" s="46">
        <v>77243.81</v>
      </c>
      <c r="F4" s="46">
        <v>20540.6</v>
      </c>
      <c r="G4" s="46">
        <v>40512.25</v>
      </c>
      <c r="H4" s="46">
        <v>109</v>
      </c>
      <c r="I4" s="46"/>
      <c r="J4" s="46">
        <v>6797.86</v>
      </c>
      <c r="K4" s="47">
        <f t="shared" ref="K4:K8" si="1">SUM(D4:J4)</f>
        <v>146722.52</v>
      </c>
      <c r="L4" s="50"/>
      <c r="M4" s="50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="37" customFormat="1" ht="30" customHeight="1" spans="1:38">
      <c r="A5" s="44" t="s">
        <v>16</v>
      </c>
      <c r="B5" s="44" t="s">
        <v>146</v>
      </c>
      <c r="C5" s="45" t="s">
        <v>31</v>
      </c>
      <c r="D5" s="46">
        <v>160.52</v>
      </c>
      <c r="E5" s="46">
        <v>1809.59</v>
      </c>
      <c r="F5" s="46">
        <v>733.64</v>
      </c>
      <c r="G5" s="46"/>
      <c r="H5" s="46"/>
      <c r="I5" s="46"/>
      <c r="J5" s="46">
        <v>37.83</v>
      </c>
      <c r="K5" s="47">
        <f t="shared" si="0"/>
        <v>2741.58</v>
      </c>
      <c r="L5" s="48" t="s">
        <v>11</v>
      </c>
      <c r="M5" s="48" t="s">
        <v>11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="37" customFormat="1" ht="30" customHeight="1" spans="1:38">
      <c r="A6" s="49"/>
      <c r="B6" s="49"/>
      <c r="C6" s="45" t="s">
        <v>267</v>
      </c>
      <c r="D6" s="46">
        <v>245.89</v>
      </c>
      <c r="E6" s="46">
        <v>32380.1</v>
      </c>
      <c r="F6" s="46">
        <v>3341.37</v>
      </c>
      <c r="G6" s="46">
        <v>6095.06</v>
      </c>
      <c r="H6" s="46"/>
      <c r="I6" s="46"/>
      <c r="J6" s="46">
        <v>656.79</v>
      </c>
      <c r="K6" s="47">
        <f t="shared" si="1"/>
        <v>42719.21</v>
      </c>
      <c r="L6" s="50"/>
      <c r="M6" s="50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</row>
    <row r="7" s="37" customFormat="1" ht="30" customHeight="1" spans="1:38">
      <c r="A7" s="44" t="s">
        <v>16</v>
      </c>
      <c r="B7" s="51" t="s">
        <v>224</v>
      </c>
      <c r="C7" s="45" t="s">
        <v>31</v>
      </c>
      <c r="D7" s="46"/>
      <c r="E7" s="46"/>
      <c r="F7" s="46"/>
      <c r="G7" s="46"/>
      <c r="H7" s="46"/>
      <c r="I7" s="46"/>
      <c r="J7" s="46"/>
      <c r="K7" s="47">
        <f t="shared" si="0"/>
        <v>0</v>
      </c>
      <c r="L7" s="52"/>
      <c r="M7" s="52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</row>
    <row r="8" s="37" customFormat="1" ht="30" customHeight="1" spans="1:38">
      <c r="A8" s="49"/>
      <c r="B8" s="51"/>
      <c r="C8" s="45" t="s">
        <v>267</v>
      </c>
      <c r="D8" s="46"/>
      <c r="E8" s="46">
        <v>689</v>
      </c>
      <c r="F8" s="46"/>
      <c r="G8" s="46"/>
      <c r="H8" s="46"/>
      <c r="I8" s="46"/>
      <c r="J8" s="46"/>
      <c r="K8" s="47">
        <f t="shared" si="1"/>
        <v>689</v>
      </c>
      <c r="L8" s="52"/>
      <c r="M8" s="52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</row>
    <row r="9" s="37" customFormat="1" ht="30" customHeight="1" spans="1:38">
      <c r="A9" s="44" t="s">
        <v>18</v>
      </c>
      <c r="B9" s="44" t="s">
        <v>153</v>
      </c>
      <c r="C9" s="45" t="s">
        <v>31</v>
      </c>
      <c r="D9" s="46"/>
      <c r="E9" s="46">
        <v>3274.6</v>
      </c>
      <c r="F9" s="46">
        <v>167</v>
      </c>
      <c r="G9" s="46"/>
      <c r="H9" s="46"/>
      <c r="I9" s="46"/>
      <c r="J9" s="46"/>
      <c r="K9" s="47">
        <f>D9+E9+F9+G9+H9+I9+J9</f>
        <v>3441.6</v>
      </c>
      <c r="L9" s="48" t="s">
        <v>11</v>
      </c>
      <c r="M9" s="48" t="s">
        <v>11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</row>
    <row r="10" s="37" customFormat="1" ht="30" customHeight="1" spans="1:38">
      <c r="A10" s="49"/>
      <c r="B10" s="49"/>
      <c r="C10" s="45" t="s">
        <v>267</v>
      </c>
      <c r="D10" s="46">
        <v>47.4</v>
      </c>
      <c r="E10" s="46">
        <v>37150.34</v>
      </c>
      <c r="F10" s="46">
        <v>1670.63</v>
      </c>
      <c r="G10" s="46">
        <v>200</v>
      </c>
      <c r="H10" s="46">
        <v>225.26</v>
      </c>
      <c r="I10" s="46"/>
      <c r="J10" s="46">
        <v>370.58</v>
      </c>
      <c r="K10" s="47">
        <f>SUM(D10:J10)</f>
        <v>39664.21</v>
      </c>
      <c r="L10" s="50"/>
      <c r="M10" s="50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</row>
    <row r="11" s="37" customFormat="1" ht="30" customHeight="1" spans="1:38">
      <c r="A11" s="44" t="s">
        <v>18</v>
      </c>
      <c r="B11" s="44" t="s">
        <v>158</v>
      </c>
      <c r="C11" s="45" t="s">
        <v>31</v>
      </c>
      <c r="D11" s="46"/>
      <c r="E11" s="46"/>
      <c r="F11" s="46"/>
      <c r="G11" s="46"/>
      <c r="H11" s="46"/>
      <c r="I11" s="46"/>
      <c r="J11" s="46"/>
      <c r="K11" s="47">
        <f t="shared" ref="K11:K15" si="2">D11+E11+F11+G11+H11+I11+J11</f>
        <v>0</v>
      </c>
      <c r="L11" s="48" t="s">
        <v>11</v>
      </c>
      <c r="M11" s="48" t="s">
        <v>11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</row>
    <row r="12" s="37" customFormat="1" ht="30" customHeight="1" spans="1:38">
      <c r="A12" s="49"/>
      <c r="B12" s="49"/>
      <c r="C12" s="45" t="s">
        <v>267</v>
      </c>
      <c r="D12" s="46"/>
      <c r="E12" s="46">
        <v>7619.89</v>
      </c>
      <c r="F12" s="46">
        <v>3595.93</v>
      </c>
      <c r="G12" s="46"/>
      <c r="H12" s="46">
        <v>15</v>
      </c>
      <c r="I12" s="46"/>
      <c r="J12" s="46"/>
      <c r="K12" s="47">
        <f t="shared" ref="K12:K16" si="3">SUM(D12:J12)</f>
        <v>11230.82</v>
      </c>
      <c r="L12" s="50"/>
      <c r="M12" s="50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</row>
    <row r="13" s="37" customFormat="1" ht="30" customHeight="1" spans="1:38">
      <c r="A13" s="44" t="s">
        <v>19</v>
      </c>
      <c r="B13" s="44" t="s">
        <v>165</v>
      </c>
      <c r="C13" s="45" t="s">
        <v>31</v>
      </c>
      <c r="D13" s="46"/>
      <c r="E13" s="46"/>
      <c r="F13" s="46"/>
      <c r="G13" s="46"/>
      <c r="H13" s="46"/>
      <c r="I13" s="53"/>
      <c r="J13" s="46"/>
      <c r="K13" s="47">
        <f t="shared" si="2"/>
        <v>0</v>
      </c>
      <c r="L13" s="48" t="s">
        <v>11</v>
      </c>
      <c r="M13" s="48" t="s">
        <v>11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</row>
    <row r="14" s="37" customFormat="1" ht="30" customHeight="1" spans="1:38">
      <c r="A14" s="49"/>
      <c r="B14" s="49"/>
      <c r="C14" s="45" t="s">
        <v>267</v>
      </c>
      <c r="D14" s="46">
        <v>330.3</v>
      </c>
      <c r="E14" s="46">
        <v>33993.07</v>
      </c>
      <c r="F14" s="46">
        <v>2054</v>
      </c>
      <c r="G14" s="46">
        <v>1892.62</v>
      </c>
      <c r="H14" s="46">
        <v>14</v>
      </c>
      <c r="I14" s="46">
        <v>63259.2</v>
      </c>
      <c r="J14" s="46">
        <v>2749.26</v>
      </c>
      <c r="K14" s="47">
        <f t="shared" si="3"/>
        <v>104292.45</v>
      </c>
      <c r="L14" s="50"/>
      <c r="M14" s="50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</row>
    <row r="15" s="37" customFormat="1" ht="30" customHeight="1" spans="1:38">
      <c r="A15" s="44" t="s">
        <v>19</v>
      </c>
      <c r="B15" s="44" t="s">
        <v>163</v>
      </c>
      <c r="C15" s="45" t="s">
        <v>31</v>
      </c>
      <c r="D15" s="46"/>
      <c r="E15" s="46"/>
      <c r="F15" s="46"/>
      <c r="G15" s="46">
        <v>2108.86</v>
      </c>
      <c r="H15" s="46"/>
      <c r="I15" s="46"/>
      <c r="J15" s="46"/>
      <c r="K15" s="47">
        <f t="shared" si="2"/>
        <v>2108.86</v>
      </c>
      <c r="L15" s="48" t="s">
        <v>11</v>
      </c>
      <c r="M15" s="48" t="s">
        <v>11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</row>
    <row r="16" s="37" customFormat="1" ht="30" customHeight="1" spans="1:38">
      <c r="A16" s="49"/>
      <c r="B16" s="49"/>
      <c r="C16" s="45" t="s">
        <v>267</v>
      </c>
      <c r="D16" s="46">
        <v>18</v>
      </c>
      <c r="E16" s="46">
        <v>13628.13</v>
      </c>
      <c r="F16" s="46">
        <v>1909.28</v>
      </c>
      <c r="G16" s="46">
        <v>2108.86</v>
      </c>
      <c r="H16" s="46">
        <v>15</v>
      </c>
      <c r="I16" s="46"/>
      <c r="J16" s="46">
        <v>400</v>
      </c>
      <c r="K16" s="47">
        <f t="shared" si="3"/>
        <v>18079.27</v>
      </c>
      <c r="L16" s="50"/>
      <c r="M16" s="50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</row>
    <row r="17" s="37" customFormat="1" ht="30" customHeight="1" spans="1:38">
      <c r="A17" s="44" t="s">
        <v>20</v>
      </c>
      <c r="B17" s="54" t="s">
        <v>180</v>
      </c>
      <c r="C17" s="45" t="s">
        <v>31</v>
      </c>
      <c r="D17" s="46">
        <v>19.2</v>
      </c>
      <c r="E17" s="46">
        <v>5417.76</v>
      </c>
      <c r="F17" s="46"/>
      <c r="G17" s="46">
        <v>6407.63</v>
      </c>
      <c r="H17" s="46"/>
      <c r="I17" s="46"/>
      <c r="J17" s="46"/>
      <c r="K17" s="47">
        <f t="shared" ref="K17:K21" si="4">D17+E17+F17+G17+H17+I17+J17</f>
        <v>11844.59</v>
      </c>
      <c r="L17" s="48">
        <v>0.00499101855670103</v>
      </c>
      <c r="M17" s="48" t="s">
        <v>11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</row>
    <row r="18" s="37" customFormat="1" ht="30" customHeight="1" spans="1:38">
      <c r="A18" s="49"/>
      <c r="B18" s="49"/>
      <c r="C18" s="45" t="s">
        <v>267</v>
      </c>
      <c r="D18" s="46">
        <v>19.2</v>
      </c>
      <c r="E18" s="46">
        <v>65668.95</v>
      </c>
      <c r="F18" s="46">
        <v>4142.9</v>
      </c>
      <c r="G18" s="46">
        <v>22338.69</v>
      </c>
      <c r="H18" s="46"/>
      <c r="I18" s="46">
        <v>114649.05</v>
      </c>
      <c r="J18" s="46"/>
      <c r="K18" s="47">
        <f t="shared" ref="K18:K22" si="5">SUM(D18:J18)</f>
        <v>206818.79</v>
      </c>
      <c r="L18" s="50"/>
      <c r="M18" s="50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</row>
    <row r="19" s="37" customFormat="1" ht="30" customHeight="1" spans="1:38">
      <c r="A19" s="44" t="s">
        <v>20</v>
      </c>
      <c r="B19" s="51" t="s">
        <v>300</v>
      </c>
      <c r="C19" s="45" t="s">
        <v>31</v>
      </c>
      <c r="D19" s="46"/>
      <c r="E19" s="46"/>
      <c r="F19" s="46"/>
      <c r="G19" s="46"/>
      <c r="H19" s="46"/>
      <c r="I19" s="46"/>
      <c r="J19" s="46"/>
      <c r="K19" s="47">
        <f t="shared" si="4"/>
        <v>0</v>
      </c>
      <c r="L19" s="52"/>
      <c r="M19" s="52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</row>
    <row r="20" s="37" customFormat="1" ht="30" customHeight="1" spans="1:38">
      <c r="A20" s="49"/>
      <c r="B20" s="51"/>
      <c r="C20" s="45" t="s">
        <v>267</v>
      </c>
      <c r="D20" s="46">
        <v>13</v>
      </c>
      <c r="E20" s="46">
        <v>1785.38</v>
      </c>
      <c r="F20" s="46"/>
      <c r="G20" s="46"/>
      <c r="H20" s="46"/>
      <c r="I20" s="46"/>
      <c r="J20" s="46"/>
      <c r="K20" s="47">
        <f t="shared" si="5"/>
        <v>1798.38</v>
      </c>
      <c r="L20" s="52"/>
      <c r="M20" s="52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</row>
    <row r="21" s="37" customFormat="1" ht="30" customHeight="1" spans="1:38">
      <c r="A21" s="44" t="s">
        <v>21</v>
      </c>
      <c r="B21" s="44" t="s">
        <v>193</v>
      </c>
      <c r="C21" s="45" t="s">
        <v>31</v>
      </c>
      <c r="D21" s="46"/>
      <c r="E21" s="46">
        <v>24440.37</v>
      </c>
      <c r="F21" s="46"/>
      <c r="G21" s="46">
        <v>10444.68</v>
      </c>
      <c r="H21" s="46"/>
      <c r="I21" s="46"/>
      <c r="J21" s="46"/>
      <c r="K21" s="47">
        <f t="shared" si="4"/>
        <v>34885.05</v>
      </c>
      <c r="L21" s="48" t="s">
        <v>11</v>
      </c>
      <c r="M21" s="48" t="s">
        <v>11</v>
      </c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</row>
    <row r="22" s="37" customFormat="1" ht="30" customHeight="1" spans="1:38">
      <c r="A22" s="49"/>
      <c r="B22" s="49"/>
      <c r="C22" s="45" t="s">
        <v>267</v>
      </c>
      <c r="D22" s="46">
        <v>354.2</v>
      </c>
      <c r="E22" s="46">
        <v>55788.96</v>
      </c>
      <c r="F22" s="46">
        <v>4217.32</v>
      </c>
      <c r="G22" s="46">
        <v>16367.05</v>
      </c>
      <c r="H22" s="46"/>
      <c r="I22" s="46"/>
      <c r="J22" s="46"/>
      <c r="K22" s="47">
        <f t="shared" si="5"/>
        <v>76727.53</v>
      </c>
      <c r="L22" s="50"/>
      <c r="M22" s="50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</row>
    <row r="23" s="37" customFormat="1" ht="30" customHeight="1" spans="1:38">
      <c r="A23" s="44" t="s">
        <v>21</v>
      </c>
      <c r="B23" s="44" t="s">
        <v>317</v>
      </c>
      <c r="C23" s="45" t="s">
        <v>31</v>
      </c>
      <c r="D23" s="46">
        <v>260.6</v>
      </c>
      <c r="E23" s="46">
        <v>572</v>
      </c>
      <c r="F23" s="46">
        <v>198</v>
      </c>
      <c r="G23" s="46"/>
      <c r="H23" s="46"/>
      <c r="I23" s="46"/>
      <c r="J23" s="46"/>
      <c r="K23" s="47">
        <f t="shared" ref="K23:K27" si="6">D23+E23+F23+G23+H23+I23+J23</f>
        <v>1030.6</v>
      </c>
      <c r="L23" s="48" t="s">
        <v>11</v>
      </c>
      <c r="M23" s="48" t="s">
        <v>11</v>
      </c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</row>
    <row r="24" s="37" customFormat="1" ht="30" customHeight="1" spans="1:38">
      <c r="A24" s="49"/>
      <c r="B24" s="49"/>
      <c r="C24" s="45" t="s">
        <v>267</v>
      </c>
      <c r="D24" s="46">
        <v>785.11</v>
      </c>
      <c r="E24" s="46">
        <v>8507.12</v>
      </c>
      <c r="F24" s="46">
        <v>957.3</v>
      </c>
      <c r="G24" s="46">
        <v>1562.31</v>
      </c>
      <c r="H24" s="46"/>
      <c r="I24" s="46"/>
      <c r="J24" s="46"/>
      <c r="K24" s="47">
        <f t="shared" ref="K24:K30" si="7">SUM(D24:J24)</f>
        <v>11811.84</v>
      </c>
      <c r="L24" s="50"/>
      <c r="M24" s="50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</row>
    <row r="25" s="37" customFormat="1" ht="30" customHeight="1" spans="1:38">
      <c r="A25" s="44" t="s">
        <v>22</v>
      </c>
      <c r="B25" s="44" t="s">
        <v>201</v>
      </c>
      <c r="C25" s="45" t="s">
        <v>31</v>
      </c>
      <c r="D25" s="46"/>
      <c r="E25" s="46">
        <v>34674.24</v>
      </c>
      <c r="F25" s="46">
        <v>372.46</v>
      </c>
      <c r="G25" s="46"/>
      <c r="H25" s="46"/>
      <c r="I25" s="46"/>
      <c r="J25" s="46">
        <v>6719.09</v>
      </c>
      <c r="K25" s="47">
        <f t="shared" si="6"/>
        <v>41765.79</v>
      </c>
      <c r="L25" s="48" t="s">
        <v>11</v>
      </c>
      <c r="M25" s="48" t="s">
        <v>11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</row>
    <row r="26" s="37" customFormat="1" ht="30" customHeight="1" spans="1:38">
      <c r="A26" s="49"/>
      <c r="B26" s="49"/>
      <c r="C26" s="45" t="s">
        <v>267</v>
      </c>
      <c r="D26" s="46"/>
      <c r="E26" s="46">
        <v>110158.6</v>
      </c>
      <c r="F26" s="46">
        <v>8808.94</v>
      </c>
      <c r="G26" s="46">
        <v>410.64</v>
      </c>
      <c r="H26" s="46">
        <v>24</v>
      </c>
      <c r="I26" s="46">
        <v>458627.78</v>
      </c>
      <c r="J26" s="46">
        <v>7528.28</v>
      </c>
      <c r="K26" s="47">
        <f t="shared" si="7"/>
        <v>585558.24</v>
      </c>
      <c r="L26" s="50"/>
      <c r="M26" s="50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</row>
    <row r="27" s="37" customFormat="1" ht="30" customHeight="1" spans="1:38">
      <c r="A27" s="44" t="s">
        <v>22</v>
      </c>
      <c r="B27" s="44" t="s">
        <v>337</v>
      </c>
      <c r="C27" s="45" t="s">
        <v>31</v>
      </c>
      <c r="D27" s="46"/>
      <c r="E27" s="46">
        <v>9425.83</v>
      </c>
      <c r="F27" s="46"/>
      <c r="G27" s="46"/>
      <c r="H27" s="46"/>
      <c r="I27" s="46"/>
      <c r="J27" s="46"/>
      <c r="K27" s="47">
        <f t="shared" si="6"/>
        <v>9425.83</v>
      </c>
      <c r="L27" s="48" t="s">
        <v>11</v>
      </c>
      <c r="M27" s="48" t="s">
        <v>11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</row>
    <row r="28" s="37" customFormat="1" ht="30" customHeight="1" spans="1:38">
      <c r="A28" s="49"/>
      <c r="B28" s="49"/>
      <c r="C28" s="45" t="s">
        <v>267</v>
      </c>
      <c r="D28" s="46"/>
      <c r="E28" s="46">
        <v>50116.22</v>
      </c>
      <c r="F28" s="46">
        <v>3145.72</v>
      </c>
      <c r="G28" s="46"/>
      <c r="H28" s="46"/>
      <c r="I28" s="46"/>
      <c r="J28" s="46">
        <v>98</v>
      </c>
      <c r="K28" s="47">
        <f t="shared" si="7"/>
        <v>53359.94</v>
      </c>
      <c r="L28" s="50"/>
      <c r="M28" s="50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="38" customFormat="1" ht="30" customHeight="1" spans="1:38">
      <c r="A29" s="55" t="s">
        <v>228</v>
      </c>
      <c r="B29" s="56"/>
      <c r="C29" s="45" t="s">
        <v>31</v>
      </c>
      <c r="D29" s="47">
        <f t="shared" ref="D29:J29" si="8">D3+D5+D9+D11+D13+D15+D17+D21+D23+D25+D27+D19</f>
        <v>713.16</v>
      </c>
      <c r="E29" s="47">
        <f>E3+E5+E9+E11+E13+E15+E17+E21+E23+E25+E27+E19+E7</f>
        <v>97123.52</v>
      </c>
      <c r="F29" s="47">
        <f t="shared" si="8"/>
        <v>20162.7</v>
      </c>
      <c r="G29" s="47">
        <f t="shared" si="8"/>
        <v>25393.49</v>
      </c>
      <c r="H29" s="47">
        <f t="shared" si="8"/>
        <v>98</v>
      </c>
      <c r="I29" s="47">
        <f t="shared" si="8"/>
        <v>0</v>
      </c>
      <c r="J29" s="47">
        <f t="shared" si="8"/>
        <v>13554.78</v>
      </c>
      <c r="K29" s="47">
        <f t="shared" si="7"/>
        <v>157045.65</v>
      </c>
      <c r="L29" s="57">
        <f>K30/10000/[1]汇总表!H4</f>
        <v>0.0557266142623731</v>
      </c>
      <c r="M29" s="48" t="s">
        <v>11</v>
      </c>
    </row>
    <row r="30" s="38" customFormat="1" ht="30" customHeight="1" spans="1:38">
      <c r="A30" s="58"/>
      <c r="B30" s="59"/>
      <c r="C30" s="42" t="s">
        <v>267</v>
      </c>
      <c r="D30" s="47">
        <f t="shared" ref="D30:J30" si="9">D28+D26+D24+D22+D18+D16+D14+D10+D6+D4+D12+D20</f>
        <v>3332.1</v>
      </c>
      <c r="E30" s="47">
        <f>E4+E6+E10+E12+E14+E16+E18+E22+E24+E26+E28+E20+E8</f>
        <v>494729.57</v>
      </c>
      <c r="F30" s="47">
        <f t="shared" si="9"/>
        <v>54383.99</v>
      </c>
      <c r="G30" s="47">
        <f t="shared" si="9"/>
        <v>91487.48</v>
      </c>
      <c r="H30" s="47">
        <f t="shared" si="9"/>
        <v>402.26</v>
      </c>
      <c r="I30" s="47">
        <f t="shared" si="9"/>
        <v>636536.03</v>
      </c>
      <c r="J30" s="47">
        <f t="shared" si="9"/>
        <v>18600.77</v>
      </c>
      <c r="K30" s="47">
        <f t="shared" si="7"/>
        <v>1299472.2</v>
      </c>
      <c r="L30" s="60"/>
      <c r="M30" s="50"/>
    </row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</sheetData>
  <autoFilter xmlns:etc="http://www.wps.cn/officeDocument/2017/etCustomData" ref="A2:M30" etc:filterBottomFollowUsedRange="0">
    <extLst/>
  </autoFilter>
  <mergeCells count="51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L3:L4"/>
    <mergeCell ref="L5:L6"/>
    <mergeCell ref="L9:L10"/>
    <mergeCell ref="L11:L12"/>
    <mergeCell ref="L13:L14"/>
    <mergeCell ref="L15:L16"/>
    <mergeCell ref="L17:L18"/>
    <mergeCell ref="L21:L22"/>
    <mergeCell ref="L23:L24"/>
    <mergeCell ref="L25:L26"/>
    <mergeCell ref="L27:L28"/>
    <mergeCell ref="L29:L30"/>
    <mergeCell ref="M3:M4"/>
    <mergeCell ref="M5:M6"/>
    <mergeCell ref="M9:M10"/>
    <mergeCell ref="M11:M12"/>
    <mergeCell ref="M13:M14"/>
    <mergeCell ref="M15:M16"/>
    <mergeCell ref="M17:M18"/>
    <mergeCell ref="M21:M22"/>
    <mergeCell ref="M23:M24"/>
    <mergeCell ref="M25:M26"/>
    <mergeCell ref="M27:M28"/>
    <mergeCell ref="M29:M30"/>
    <mergeCell ref="A29:B30"/>
  </mergeCells>
  <pageMargins left="0.7" right="0.7" top="0.75" bottom="0.75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60"/>
  <sheetViews>
    <sheetView workbookViewId="0">
      <pane ySplit="2" topLeftCell="A3" activePane="bottomLeft" state="frozen"/>
      <selection/>
      <selection pane="bottomLeft" activeCell="A54" sqref="$A54:$XFD56"/>
    </sheetView>
  </sheetViews>
  <sheetFormatPr defaultColWidth="9" defaultRowHeight="14"/>
  <cols>
    <col min="1" max="1" width="6.12727272727273" style="3" customWidth="1"/>
    <col min="2" max="2" width="18" style="4" customWidth="1"/>
    <col min="3" max="3" width="9" style="4"/>
    <col min="4" max="4" width="55.4545454545455" customWidth="1"/>
    <col min="5" max="5" width="11.1818181818182" style="5" customWidth="1"/>
    <col min="6" max="7" width="11.1818181818182" customWidth="1"/>
    <col min="8" max="8" width="15.8727272727273" customWidth="1"/>
    <col min="9" max="9" width="19.3636363636364" customWidth="1"/>
    <col min="10" max="10" width="18" customWidth="1"/>
    <col min="11" max="12" width="15.8727272727273" customWidth="1"/>
    <col min="13" max="14" width="15" customWidth="1"/>
    <col min="15" max="15" width="11" customWidth="1"/>
    <col min="16" max="16" width="14.3727272727273" customWidth="1"/>
    <col min="17" max="18" width="14" customWidth="1"/>
    <col min="19" max="19" width="30.1818181818182" customWidth="1"/>
    <col min="20" max="20" width="24.3727272727273" customWidth="1"/>
    <col min="21" max="21" width="17.5454545454545" customWidth="1"/>
    <col min="22" max="22" width="14.8727272727273" customWidth="1"/>
  </cols>
  <sheetData>
    <row r="1" ht="36" customHeight="1" spans="1:22">
      <c r="A1" s="6" t="s">
        <v>357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ht="29" spans="1:22">
      <c r="A2" s="8" t="s">
        <v>41</v>
      </c>
      <c r="B2" s="8" t="s">
        <v>42</v>
      </c>
      <c r="C2" s="8" t="s">
        <v>43</v>
      </c>
      <c r="D2" s="8" t="s">
        <v>44</v>
      </c>
      <c r="E2" s="9" t="s">
        <v>45</v>
      </c>
      <c r="F2" s="8" t="s">
        <v>46</v>
      </c>
      <c r="G2" s="8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</row>
    <row r="3" s="1" customFormat="1" ht="18" hidden="1" customHeight="1" spans="1:22">
      <c r="A3" s="10">
        <v>1</v>
      </c>
      <c r="B3" s="11" t="s">
        <v>63</v>
      </c>
      <c r="C3" s="11" t="s">
        <v>64</v>
      </c>
      <c r="D3" s="12" t="s">
        <v>65</v>
      </c>
      <c r="E3" s="13">
        <v>45667</v>
      </c>
      <c r="F3" s="14" t="s">
        <v>66</v>
      </c>
      <c r="G3" s="14" t="s">
        <v>67</v>
      </c>
      <c r="H3" s="15">
        <v>411322</v>
      </c>
      <c r="I3" s="15">
        <v>2956747.06489904</v>
      </c>
      <c r="J3" s="16">
        <v>1</v>
      </c>
      <c r="K3" s="15">
        <v>205661</v>
      </c>
      <c r="L3" s="15">
        <v>1423749.9708</v>
      </c>
      <c r="M3" s="17">
        <v>205661</v>
      </c>
      <c r="N3" s="17">
        <f t="shared" ref="N3:N10" si="0">M3*6.7828</f>
        <v>1394957.4308</v>
      </c>
      <c r="O3" s="18">
        <f t="shared" ref="O3:O53" si="1">K3/H3</f>
        <v>0.5</v>
      </c>
      <c r="P3" s="19" t="s">
        <v>68</v>
      </c>
      <c r="Q3" s="15">
        <v>205661</v>
      </c>
      <c r="R3" s="15"/>
      <c r="S3" s="12"/>
      <c r="T3" s="19"/>
      <c r="U3" s="17"/>
      <c r="V3" s="17"/>
    </row>
    <row r="4" s="1" customFormat="1" ht="18" hidden="1" customHeight="1" spans="1:22">
      <c r="A4" s="10">
        <v>2</v>
      </c>
      <c r="B4" s="11" t="s">
        <v>63</v>
      </c>
      <c r="C4" s="11" t="s">
        <v>64</v>
      </c>
      <c r="D4" s="12" t="s">
        <v>69</v>
      </c>
      <c r="E4" s="13">
        <v>45667</v>
      </c>
      <c r="F4" s="14" t="s">
        <v>66</v>
      </c>
      <c r="G4" s="14" t="s">
        <v>67</v>
      </c>
      <c r="H4" s="15">
        <v>5979154</v>
      </c>
      <c r="I4" s="15">
        <v>42980550.6150397</v>
      </c>
      <c r="J4" s="12" t="s">
        <v>70</v>
      </c>
      <c r="K4" s="15">
        <v>1439127.65</v>
      </c>
      <c r="L4" s="15">
        <v>9861873.53249</v>
      </c>
      <c r="M4" s="17">
        <v>4540026.35</v>
      </c>
      <c r="N4" s="17">
        <f t="shared" si="0"/>
        <v>30794090.72678</v>
      </c>
      <c r="O4" s="18">
        <f t="shared" si="1"/>
        <v>0.240690848571554</v>
      </c>
      <c r="P4" s="19" t="s">
        <v>71</v>
      </c>
      <c r="Q4" s="15"/>
      <c r="R4" s="15">
        <v>4540026.35</v>
      </c>
      <c r="S4" s="12"/>
      <c r="T4" s="19"/>
      <c r="U4" s="17">
        <v>223382.5</v>
      </c>
      <c r="V4" s="17">
        <v>1514913.10025</v>
      </c>
    </row>
    <row r="5" ht="18" hidden="1" customHeight="1" spans="1:22">
      <c r="A5" s="10">
        <v>3</v>
      </c>
      <c r="B5" s="11" t="s">
        <v>63</v>
      </c>
      <c r="C5" s="11" t="s">
        <v>64</v>
      </c>
      <c r="D5" s="12" t="s">
        <v>72</v>
      </c>
      <c r="E5" s="13">
        <v>45667</v>
      </c>
      <c r="F5" s="14" t="s">
        <v>66</v>
      </c>
      <c r="G5" s="14" t="s">
        <v>67</v>
      </c>
      <c r="H5" s="15">
        <v>1915844</v>
      </c>
      <c r="I5" s="15">
        <v>13771853.0100613</v>
      </c>
      <c r="J5" s="12" t="s">
        <v>70</v>
      </c>
      <c r="K5" s="15"/>
      <c r="L5" s="15"/>
      <c r="M5" s="17">
        <v>1915844</v>
      </c>
      <c r="N5" s="17">
        <f t="shared" si="0"/>
        <v>12994786.6832</v>
      </c>
      <c r="O5" s="18">
        <f t="shared" si="1"/>
        <v>0</v>
      </c>
      <c r="P5" s="19" t="s">
        <v>73</v>
      </c>
      <c r="Q5" s="15"/>
      <c r="R5" s="15">
        <v>1915844</v>
      </c>
      <c r="S5" s="12"/>
      <c r="T5" s="19"/>
      <c r="U5" s="17"/>
      <c r="V5" s="17"/>
    </row>
    <row r="6" s="1" customFormat="1" ht="18" hidden="1" customHeight="1" spans="1:22">
      <c r="A6" s="10">
        <v>4</v>
      </c>
      <c r="B6" s="11" t="s">
        <v>63</v>
      </c>
      <c r="C6" s="20" t="s">
        <v>64</v>
      </c>
      <c r="D6" s="19" t="s">
        <v>74</v>
      </c>
      <c r="E6" s="21">
        <v>45866</v>
      </c>
      <c r="F6" s="22" t="s">
        <v>66</v>
      </c>
      <c r="G6" s="22" t="s">
        <v>67</v>
      </c>
      <c r="H6" s="23">
        <v>1899932.81</v>
      </c>
      <c r="I6" s="23">
        <v>13578249.813227</v>
      </c>
      <c r="J6" s="19" t="s">
        <v>75</v>
      </c>
      <c r="K6" s="23">
        <v>1709939.53</v>
      </c>
      <c r="L6" s="23">
        <v>1709924.53</v>
      </c>
      <c r="M6" s="24">
        <v>189993.28</v>
      </c>
      <c r="N6" s="17">
        <f t="shared" si="0"/>
        <v>1288686.419584</v>
      </c>
      <c r="O6" s="25">
        <f t="shared" si="1"/>
        <v>0.900000000526334</v>
      </c>
      <c r="P6" s="19" t="s">
        <v>76</v>
      </c>
      <c r="Q6" s="23"/>
      <c r="R6" s="23">
        <v>189993.28</v>
      </c>
      <c r="S6" s="19"/>
      <c r="T6" s="19"/>
      <c r="U6" s="17">
        <v>943258.69</v>
      </c>
      <c r="V6" s="17">
        <v>6396142.851021</v>
      </c>
    </row>
    <row r="7" s="1" customFormat="1" ht="18" hidden="1" customHeight="1" spans="1:22">
      <c r="A7" s="10">
        <v>5</v>
      </c>
      <c r="B7" s="11" t="s">
        <v>63</v>
      </c>
      <c r="C7" s="20" t="s">
        <v>64</v>
      </c>
      <c r="D7" s="19" t="s">
        <v>77</v>
      </c>
      <c r="E7" s="21">
        <v>45866</v>
      </c>
      <c r="F7" s="22" t="s">
        <v>66</v>
      </c>
      <c r="G7" s="22" t="s">
        <v>67</v>
      </c>
      <c r="H7" s="23">
        <v>1498053.02</v>
      </c>
      <c r="I7" s="23">
        <v>10706135.518034</v>
      </c>
      <c r="J7" s="19" t="s">
        <v>78</v>
      </c>
      <c r="K7" s="23">
        <v>449415.91</v>
      </c>
      <c r="L7" s="23">
        <v>3194313.4350762</v>
      </c>
      <c r="M7" s="24">
        <v>1048637.114</v>
      </c>
      <c r="N7" s="17">
        <f t="shared" si="0"/>
        <v>7112695.8168392</v>
      </c>
      <c r="O7" s="25">
        <f t="shared" si="1"/>
        <v>0.300000002670132</v>
      </c>
      <c r="P7" s="19" t="s">
        <v>79</v>
      </c>
      <c r="Q7" s="23"/>
      <c r="R7" s="23">
        <v>1048637.114</v>
      </c>
      <c r="S7" s="19"/>
      <c r="T7" s="19"/>
      <c r="U7" s="17"/>
      <c r="V7" s="17"/>
    </row>
    <row r="8" ht="18" hidden="1" customHeight="1" spans="1:22">
      <c r="A8" s="10">
        <v>6</v>
      </c>
      <c r="B8" s="11" t="s">
        <v>63</v>
      </c>
      <c r="C8" s="11" t="s">
        <v>64</v>
      </c>
      <c r="D8" s="19" t="s">
        <v>80</v>
      </c>
      <c r="E8" s="13">
        <v>46042</v>
      </c>
      <c r="F8" s="14" t="s">
        <v>66</v>
      </c>
      <c r="G8" s="14" t="s">
        <v>67</v>
      </c>
      <c r="H8" s="15">
        <v>619431.18</v>
      </c>
      <c r="I8" s="15">
        <v>4217583.018384</v>
      </c>
      <c r="J8" s="12" t="s">
        <v>81</v>
      </c>
      <c r="K8" s="15">
        <v>213286.94</v>
      </c>
      <c r="L8" s="15">
        <v>1449751.717682</v>
      </c>
      <c r="M8" s="17">
        <v>406144.25</v>
      </c>
      <c r="N8" s="17">
        <f t="shared" si="0"/>
        <v>2754795.2189</v>
      </c>
      <c r="O8" s="18">
        <f t="shared" si="1"/>
        <v>0.344327096998895</v>
      </c>
      <c r="P8" s="19" t="s">
        <v>82</v>
      </c>
      <c r="Q8" s="15"/>
      <c r="R8" s="15">
        <v>406144.25</v>
      </c>
      <c r="S8" s="12"/>
      <c r="T8" s="19"/>
      <c r="U8" s="17">
        <v>89400.7</v>
      </c>
      <c r="V8" s="17">
        <v>606235.08677</v>
      </c>
    </row>
    <row r="9" ht="18" hidden="1" customHeight="1" spans="1:22">
      <c r="A9" s="10">
        <v>7</v>
      </c>
      <c r="B9" s="11" t="s">
        <v>63</v>
      </c>
      <c r="C9" s="20" t="s">
        <v>64</v>
      </c>
      <c r="D9" s="19" t="s">
        <v>83</v>
      </c>
      <c r="E9" s="21">
        <v>45408</v>
      </c>
      <c r="F9" s="22" t="s">
        <v>66</v>
      </c>
      <c r="G9" s="22" t="s">
        <v>67</v>
      </c>
      <c r="H9" s="23">
        <v>930000</v>
      </c>
      <c r="I9" s="23">
        <v>6608394</v>
      </c>
      <c r="J9" s="19" t="s">
        <v>75</v>
      </c>
      <c r="K9" s="23">
        <v>157873.28</v>
      </c>
      <c r="L9" s="23">
        <v>1122537.47728</v>
      </c>
      <c r="M9" s="24">
        <v>772126.72</v>
      </c>
      <c r="N9" s="17">
        <f t="shared" si="0"/>
        <v>5237181.116416</v>
      </c>
      <c r="O9" s="25">
        <f t="shared" si="1"/>
        <v>0.169756215053763</v>
      </c>
      <c r="P9" s="19" t="s">
        <v>84</v>
      </c>
      <c r="Q9" s="23">
        <v>772126.72</v>
      </c>
      <c r="R9" s="23"/>
      <c r="S9" s="19"/>
      <c r="T9" s="19"/>
      <c r="U9" s="17"/>
      <c r="V9" s="17"/>
    </row>
    <row r="10" ht="18" hidden="1" customHeight="1" spans="1:22">
      <c r="A10" s="10">
        <v>8</v>
      </c>
      <c r="B10" s="11" t="s">
        <v>63</v>
      </c>
      <c r="C10" s="20" t="s">
        <v>64</v>
      </c>
      <c r="D10" s="19" t="s">
        <v>83</v>
      </c>
      <c r="E10" s="21">
        <v>45408</v>
      </c>
      <c r="F10" s="22" t="s">
        <v>66</v>
      </c>
      <c r="G10" s="22" t="s">
        <v>67</v>
      </c>
      <c r="H10" s="23">
        <v>336059.69</v>
      </c>
      <c r="I10" s="23">
        <v>2387972.945202</v>
      </c>
      <c r="J10" s="19" t="s">
        <v>85</v>
      </c>
      <c r="K10" s="23"/>
      <c r="L10" s="23"/>
      <c r="M10" s="24">
        <v>336059.69</v>
      </c>
      <c r="N10" s="17">
        <f t="shared" si="0"/>
        <v>2279425.665332</v>
      </c>
      <c r="O10" s="25">
        <f t="shared" si="1"/>
        <v>0</v>
      </c>
      <c r="P10" s="19" t="s">
        <v>84</v>
      </c>
      <c r="Q10" s="23">
        <v>336059.69</v>
      </c>
      <c r="R10" s="23"/>
      <c r="S10" s="19"/>
      <c r="T10" s="19"/>
      <c r="U10" s="17"/>
      <c r="V10" s="17"/>
    </row>
    <row r="11" ht="18" hidden="1" customHeight="1" spans="1:22">
      <c r="A11" s="10">
        <v>9</v>
      </c>
      <c r="B11" s="11" t="s">
        <v>63</v>
      </c>
      <c r="C11" s="11" t="s">
        <v>64</v>
      </c>
      <c r="D11" s="19" t="s">
        <v>86</v>
      </c>
      <c r="E11" s="13">
        <v>46226</v>
      </c>
      <c r="F11" s="14" t="s">
        <v>66</v>
      </c>
      <c r="G11" s="14" t="s">
        <v>87</v>
      </c>
      <c r="H11" s="15">
        <v>3857600</v>
      </c>
      <c r="I11" s="15">
        <v>3857600</v>
      </c>
      <c r="J11" s="12" t="s">
        <v>88</v>
      </c>
      <c r="K11" s="15">
        <v>1157280</v>
      </c>
      <c r="L11" s="15">
        <v>1157280</v>
      </c>
      <c r="M11" s="17">
        <v>2700320</v>
      </c>
      <c r="N11" s="17">
        <v>2700320</v>
      </c>
      <c r="O11" s="18">
        <f t="shared" si="1"/>
        <v>0.3</v>
      </c>
      <c r="P11" s="19" t="s">
        <v>89</v>
      </c>
      <c r="Q11" s="15"/>
      <c r="R11" s="15">
        <v>2700320</v>
      </c>
      <c r="S11" s="12"/>
      <c r="T11" s="19"/>
      <c r="U11" s="17"/>
      <c r="V11" s="17"/>
    </row>
    <row r="12" ht="18" hidden="1" customHeight="1" spans="1:22">
      <c r="A12" s="10">
        <v>10</v>
      </c>
      <c r="B12" s="11" t="s">
        <v>63</v>
      </c>
      <c r="C12" s="11" t="s">
        <v>64</v>
      </c>
      <c r="D12" s="19" t="s">
        <v>90</v>
      </c>
      <c r="E12" s="13">
        <v>46188</v>
      </c>
      <c r="F12" s="14" t="s">
        <v>66</v>
      </c>
      <c r="G12" s="14" t="s">
        <v>87</v>
      </c>
      <c r="H12" s="15">
        <v>1680000</v>
      </c>
      <c r="I12" s="15">
        <v>1680000</v>
      </c>
      <c r="J12" s="12" t="s">
        <v>91</v>
      </c>
      <c r="K12" s="15">
        <v>504000</v>
      </c>
      <c r="L12" s="15">
        <v>504000</v>
      </c>
      <c r="M12" s="17">
        <v>1176000</v>
      </c>
      <c r="N12" s="17">
        <v>1176000</v>
      </c>
      <c r="O12" s="18">
        <f t="shared" si="1"/>
        <v>0.3</v>
      </c>
      <c r="P12" s="19" t="s">
        <v>92</v>
      </c>
      <c r="Q12" s="15"/>
      <c r="R12" s="15">
        <v>1176000</v>
      </c>
      <c r="S12" s="12"/>
      <c r="T12" s="19"/>
      <c r="U12" s="17"/>
      <c r="V12" s="17"/>
    </row>
    <row r="13" customFormat="1" ht="18" hidden="1" customHeight="1" spans="1:22">
      <c r="A13" s="10">
        <v>11</v>
      </c>
      <c r="B13" s="11" t="s">
        <v>63</v>
      </c>
      <c r="C13" s="11" t="s">
        <v>64</v>
      </c>
      <c r="D13" s="19" t="s">
        <v>93</v>
      </c>
      <c r="E13" s="13">
        <v>46188</v>
      </c>
      <c r="F13" s="14" t="s">
        <v>66</v>
      </c>
      <c r="G13" s="14" t="s">
        <v>87</v>
      </c>
      <c r="H13" s="15">
        <v>833280</v>
      </c>
      <c r="I13" s="15">
        <v>833280</v>
      </c>
      <c r="J13" s="12" t="s">
        <v>91</v>
      </c>
      <c r="K13" s="15">
        <v>249984</v>
      </c>
      <c r="L13" s="15">
        <v>249984</v>
      </c>
      <c r="M13" s="17">
        <v>583296</v>
      </c>
      <c r="N13" s="17">
        <v>583296</v>
      </c>
      <c r="O13" s="18">
        <f t="shared" si="1"/>
        <v>0.3</v>
      </c>
      <c r="P13" s="19" t="s">
        <v>92</v>
      </c>
      <c r="Q13" s="15"/>
      <c r="R13" s="15">
        <v>583296</v>
      </c>
      <c r="S13" s="12"/>
      <c r="T13" s="19"/>
      <c r="U13" s="17"/>
      <c r="V13" s="17"/>
    </row>
    <row r="14" ht="18" hidden="1" customHeight="1" spans="1:22">
      <c r="A14" s="10">
        <v>12</v>
      </c>
      <c r="B14" s="11" t="s">
        <v>63</v>
      </c>
      <c r="C14" s="11" t="s">
        <v>64</v>
      </c>
      <c r="D14" s="19" t="s">
        <v>94</v>
      </c>
      <c r="E14" s="13">
        <v>46174</v>
      </c>
      <c r="F14" s="14" t="s">
        <v>66</v>
      </c>
      <c r="G14" s="14" t="s">
        <v>87</v>
      </c>
      <c r="H14" s="15">
        <v>345400</v>
      </c>
      <c r="I14" s="15">
        <v>345400</v>
      </c>
      <c r="J14" s="12" t="s">
        <v>88</v>
      </c>
      <c r="K14" s="15">
        <v>103620</v>
      </c>
      <c r="L14" s="15">
        <v>103620</v>
      </c>
      <c r="M14" s="17">
        <v>241780</v>
      </c>
      <c r="N14" s="17">
        <v>241780</v>
      </c>
      <c r="O14" s="18">
        <f t="shared" si="1"/>
        <v>0.3</v>
      </c>
      <c r="P14" s="19" t="s">
        <v>95</v>
      </c>
      <c r="Q14" s="15"/>
      <c r="R14" s="15">
        <v>241780</v>
      </c>
      <c r="S14" s="12"/>
      <c r="T14" s="19"/>
      <c r="U14" s="17"/>
      <c r="V14" s="17"/>
    </row>
    <row r="15" ht="18" hidden="1" customHeight="1" spans="1:22">
      <c r="A15" s="10">
        <v>13</v>
      </c>
      <c r="B15" s="11" t="s">
        <v>63</v>
      </c>
      <c r="C15" s="11" t="s">
        <v>64</v>
      </c>
      <c r="D15" s="19" t="s">
        <v>96</v>
      </c>
      <c r="E15" s="13">
        <v>46086</v>
      </c>
      <c r="F15" s="14" t="s">
        <v>66</v>
      </c>
      <c r="G15" s="14" t="s">
        <v>67</v>
      </c>
      <c r="H15" s="15">
        <f>169797.68-5481.2</f>
        <v>164316.48</v>
      </c>
      <c r="I15" s="15">
        <v>1135821.236352</v>
      </c>
      <c r="J15" s="12" t="s">
        <v>97</v>
      </c>
      <c r="K15" s="15">
        <v>127348.26</v>
      </c>
      <c r="L15" s="15">
        <v>870234.334184</v>
      </c>
      <c r="M15" s="17">
        <v>36968.21</v>
      </c>
      <c r="N15" s="17">
        <f t="shared" ref="N15:N49" si="2">M15*6.7828</f>
        <v>250747.974788</v>
      </c>
      <c r="O15" s="18">
        <f t="shared" si="1"/>
        <v>0.775018184420698</v>
      </c>
      <c r="P15" s="19" t="s">
        <v>98</v>
      </c>
      <c r="Q15" s="15"/>
      <c r="R15" s="15">
        <v>36968.21</v>
      </c>
      <c r="S15" s="12"/>
      <c r="T15" s="19"/>
      <c r="U15" s="17">
        <v>76408.96</v>
      </c>
      <c r="V15" s="17">
        <v>518121.516864</v>
      </c>
    </row>
    <row r="16" ht="18" hidden="1" customHeight="1" spans="1:22">
      <c r="A16" s="10">
        <v>14</v>
      </c>
      <c r="B16" s="11" t="s">
        <v>63</v>
      </c>
      <c r="C16" s="11" t="s">
        <v>64</v>
      </c>
      <c r="D16" s="19" t="s">
        <v>99</v>
      </c>
      <c r="E16" s="13">
        <v>46232</v>
      </c>
      <c r="F16" s="14" t="s">
        <v>66</v>
      </c>
      <c r="G16" s="14" t="s">
        <v>67</v>
      </c>
      <c r="H16" s="15">
        <v>29995.12</v>
      </c>
      <c r="I16" s="15">
        <v>203618.872608</v>
      </c>
      <c r="J16" s="12" t="s">
        <v>100</v>
      </c>
      <c r="K16" s="15">
        <v>8998.54</v>
      </c>
      <c r="L16" s="15">
        <v>61085.688936</v>
      </c>
      <c r="M16" s="17">
        <v>20996.58</v>
      </c>
      <c r="N16" s="17">
        <f t="shared" si="2"/>
        <v>142415.602824</v>
      </c>
      <c r="O16" s="18">
        <f t="shared" si="1"/>
        <v>0.300000133355026</v>
      </c>
      <c r="P16" s="19" t="s">
        <v>101</v>
      </c>
      <c r="Q16" s="15"/>
      <c r="R16" s="15">
        <v>20996.58</v>
      </c>
      <c r="S16" s="12"/>
      <c r="T16" s="19"/>
      <c r="U16" s="17">
        <v>8998.54</v>
      </c>
      <c r="V16" s="17">
        <v>61085.688936</v>
      </c>
    </row>
    <row r="17" ht="18" hidden="1" customHeight="1" spans="1:22">
      <c r="A17" s="10">
        <v>15</v>
      </c>
      <c r="B17" s="11" t="s">
        <v>63</v>
      </c>
      <c r="C17" s="11" t="s">
        <v>102</v>
      </c>
      <c r="D17" s="19" t="s">
        <v>103</v>
      </c>
      <c r="E17" s="13">
        <v>45162</v>
      </c>
      <c r="F17" s="14" t="s">
        <v>66</v>
      </c>
      <c r="G17" s="14" t="s">
        <v>67</v>
      </c>
      <c r="H17" s="15">
        <v>2520000</v>
      </c>
      <c r="I17" s="15">
        <v>18090576</v>
      </c>
      <c r="J17" s="12" t="s">
        <v>75</v>
      </c>
      <c r="K17" s="15">
        <v>2268000</v>
      </c>
      <c r="L17" s="15">
        <v>16170386.4</v>
      </c>
      <c r="M17" s="17">
        <v>252000</v>
      </c>
      <c r="N17" s="17">
        <f t="shared" si="2"/>
        <v>1709265.6</v>
      </c>
      <c r="O17" s="18">
        <f t="shared" si="1"/>
        <v>0.9</v>
      </c>
      <c r="P17" s="19" t="s">
        <v>76</v>
      </c>
      <c r="Q17" s="15">
        <v>252000</v>
      </c>
      <c r="R17" s="15"/>
      <c r="S17" s="12" t="s">
        <v>104</v>
      </c>
      <c r="T17" s="19" t="s">
        <v>105</v>
      </c>
      <c r="U17" s="17"/>
      <c r="V17" s="17"/>
    </row>
    <row r="18" ht="18" hidden="1" customHeight="1" spans="1:22">
      <c r="A18" s="10">
        <v>16</v>
      </c>
      <c r="B18" s="11" t="s">
        <v>63</v>
      </c>
      <c r="C18" s="11" t="s">
        <v>102</v>
      </c>
      <c r="D18" s="19" t="s">
        <v>106</v>
      </c>
      <c r="E18" s="13">
        <v>44340</v>
      </c>
      <c r="F18" s="14" t="s">
        <v>66</v>
      </c>
      <c r="G18" s="14" t="s">
        <v>67</v>
      </c>
      <c r="H18" s="15">
        <v>2453192.92</v>
      </c>
      <c r="I18" s="15">
        <v>15700434.69</v>
      </c>
      <c r="J18" s="12" t="s">
        <v>107</v>
      </c>
      <c r="K18" s="15">
        <v>2207873.62</v>
      </c>
      <c r="L18" s="15">
        <v>14575797.997495</v>
      </c>
      <c r="M18" s="17">
        <v>245319.3</v>
      </c>
      <c r="N18" s="17">
        <f t="shared" si="2"/>
        <v>1663951.74804</v>
      </c>
      <c r="O18" s="18">
        <f t="shared" si="1"/>
        <v>0.899999996738944</v>
      </c>
      <c r="P18" s="19" t="s">
        <v>76</v>
      </c>
      <c r="Q18" s="15">
        <v>245319.3</v>
      </c>
      <c r="R18" s="15"/>
      <c r="S18" s="12" t="s">
        <v>108</v>
      </c>
      <c r="T18" s="19" t="s">
        <v>109</v>
      </c>
      <c r="U18" s="17"/>
      <c r="V18" s="17"/>
    </row>
    <row r="19" ht="18" hidden="1" customHeight="1" spans="1:22">
      <c r="A19" s="10">
        <v>17</v>
      </c>
      <c r="B19" s="11" t="s">
        <v>63</v>
      </c>
      <c r="C19" s="11" t="s">
        <v>102</v>
      </c>
      <c r="D19" s="19" t="s">
        <v>110</v>
      </c>
      <c r="E19" s="13">
        <v>44218</v>
      </c>
      <c r="F19" s="14" t="s">
        <v>66</v>
      </c>
      <c r="G19" s="14" t="s">
        <v>67</v>
      </c>
      <c r="H19" s="15">
        <v>1635000</v>
      </c>
      <c r="I19" s="15">
        <v>10464000</v>
      </c>
      <c r="J19" s="12" t="s">
        <v>107</v>
      </c>
      <c r="K19" s="15">
        <v>1471500</v>
      </c>
      <c r="L19" s="15">
        <v>9453343.349087</v>
      </c>
      <c r="M19" s="17">
        <v>163500</v>
      </c>
      <c r="N19" s="17">
        <f t="shared" si="2"/>
        <v>1108987.8</v>
      </c>
      <c r="O19" s="18">
        <f t="shared" si="1"/>
        <v>0.9</v>
      </c>
      <c r="P19" s="19" t="s">
        <v>76</v>
      </c>
      <c r="Q19" s="15">
        <v>163500</v>
      </c>
      <c r="R19" s="15"/>
      <c r="S19" s="12" t="s">
        <v>111</v>
      </c>
      <c r="T19" s="19" t="s">
        <v>112</v>
      </c>
      <c r="U19" s="17"/>
      <c r="V19" s="17"/>
    </row>
    <row r="20" ht="18" hidden="1" customHeight="1" spans="1:22">
      <c r="A20" s="10">
        <v>18</v>
      </c>
      <c r="B20" s="11" t="s">
        <v>63</v>
      </c>
      <c r="C20" s="11" t="s">
        <v>102</v>
      </c>
      <c r="D20" s="12" t="s">
        <v>113</v>
      </c>
      <c r="E20" s="13">
        <v>44788</v>
      </c>
      <c r="F20" s="14" t="s">
        <v>66</v>
      </c>
      <c r="G20" s="14" t="s">
        <v>67</v>
      </c>
      <c r="H20" s="15">
        <v>1465378.78</v>
      </c>
      <c r="I20" s="15">
        <v>10061144.17</v>
      </c>
      <c r="J20" s="12" t="s">
        <v>107</v>
      </c>
      <c r="K20" s="15">
        <v>1318840.9</v>
      </c>
      <c r="L20" s="15">
        <v>9314138.05</v>
      </c>
      <c r="M20" s="17">
        <v>146537.88</v>
      </c>
      <c r="N20" s="17">
        <f t="shared" si="2"/>
        <v>993937.132464</v>
      </c>
      <c r="O20" s="18">
        <f t="shared" si="1"/>
        <v>0.899999998635165</v>
      </c>
      <c r="P20" s="19" t="s">
        <v>76</v>
      </c>
      <c r="Q20" s="15">
        <v>146537.88</v>
      </c>
      <c r="R20" s="15"/>
      <c r="S20" s="12" t="s">
        <v>114</v>
      </c>
      <c r="T20" s="19" t="s">
        <v>115</v>
      </c>
      <c r="U20" s="17"/>
      <c r="V20" s="17"/>
    </row>
    <row r="21" ht="18" hidden="1" customHeight="1" spans="1:22">
      <c r="A21" s="10">
        <v>19</v>
      </c>
      <c r="B21" s="11" t="s">
        <v>63</v>
      </c>
      <c r="C21" s="11" t="s">
        <v>102</v>
      </c>
      <c r="D21" s="12" t="s">
        <v>116</v>
      </c>
      <c r="E21" s="13">
        <v>45357</v>
      </c>
      <c r="F21" s="14" t="s">
        <v>66</v>
      </c>
      <c r="G21" s="14" t="s">
        <v>67</v>
      </c>
      <c r="H21" s="15">
        <v>1186373.5</v>
      </c>
      <c r="I21" s="15">
        <v>8420285.92</v>
      </c>
      <c r="J21" s="12" t="s">
        <v>75</v>
      </c>
      <c r="K21" s="15">
        <v>1067736.15</v>
      </c>
      <c r="L21" s="15">
        <v>7589931.239865</v>
      </c>
      <c r="M21" s="17">
        <v>118637.35</v>
      </c>
      <c r="N21" s="17">
        <f t="shared" si="2"/>
        <v>804693.41758</v>
      </c>
      <c r="O21" s="18">
        <f t="shared" si="1"/>
        <v>0.9</v>
      </c>
      <c r="P21" s="19" t="s">
        <v>76</v>
      </c>
      <c r="Q21" s="15"/>
      <c r="R21" s="15">
        <v>118637.35</v>
      </c>
      <c r="S21" s="12" t="s">
        <v>117</v>
      </c>
      <c r="T21" s="19"/>
      <c r="U21" s="17"/>
      <c r="V21" s="17"/>
    </row>
    <row r="22" ht="18" hidden="1" customHeight="1" spans="1:22">
      <c r="A22" s="10">
        <v>20</v>
      </c>
      <c r="B22" s="11" t="s">
        <v>63</v>
      </c>
      <c r="C22" s="11" t="s">
        <v>102</v>
      </c>
      <c r="D22" s="12" t="s">
        <v>118</v>
      </c>
      <c r="E22" s="13">
        <v>45237</v>
      </c>
      <c r="F22" s="14" t="s">
        <v>66</v>
      </c>
      <c r="G22" s="14" t="s">
        <v>67</v>
      </c>
      <c r="H22" s="15">
        <v>813800</v>
      </c>
      <c r="I22" s="15">
        <v>5777980</v>
      </c>
      <c r="J22" s="12" t="s">
        <v>88</v>
      </c>
      <c r="K22" s="15">
        <v>732420</v>
      </c>
      <c r="L22" s="15">
        <v>5158824.68</v>
      </c>
      <c r="M22" s="17">
        <v>81380</v>
      </c>
      <c r="N22" s="17">
        <f t="shared" si="2"/>
        <v>551984.264</v>
      </c>
      <c r="O22" s="18">
        <f t="shared" si="1"/>
        <v>0.9</v>
      </c>
      <c r="P22" s="19" t="s">
        <v>76</v>
      </c>
      <c r="Q22" s="15">
        <v>81380</v>
      </c>
      <c r="R22" s="15"/>
      <c r="S22" s="12" t="s">
        <v>114</v>
      </c>
      <c r="T22" s="19" t="s">
        <v>119</v>
      </c>
      <c r="U22" s="17"/>
      <c r="V22" s="17"/>
    </row>
    <row r="23" s="1" customFormat="1" ht="18" hidden="1" customHeight="1" spans="1:22">
      <c r="A23" s="10">
        <v>21</v>
      </c>
      <c r="B23" s="11" t="s">
        <v>63</v>
      </c>
      <c r="C23" s="11" t="s">
        <v>102</v>
      </c>
      <c r="D23" s="12" t="s">
        <v>120</v>
      </c>
      <c r="E23" s="13">
        <v>44748</v>
      </c>
      <c r="F23" s="14" t="s">
        <v>66</v>
      </c>
      <c r="G23" s="14" t="s">
        <v>67</v>
      </c>
      <c r="H23" s="15">
        <v>433075.67</v>
      </c>
      <c r="I23" s="15">
        <v>2944238.46</v>
      </c>
      <c r="J23" s="12" t="s">
        <v>107</v>
      </c>
      <c r="K23" s="15">
        <v>389768.099</v>
      </c>
      <c r="L23" s="15">
        <v>2745518.6689945</v>
      </c>
      <c r="M23" s="17">
        <v>43307.567</v>
      </c>
      <c r="N23" s="17">
        <f t="shared" si="2"/>
        <v>293746.5654476</v>
      </c>
      <c r="O23" s="18">
        <f t="shared" si="1"/>
        <v>0.899999990763739</v>
      </c>
      <c r="P23" s="19" t="s">
        <v>76</v>
      </c>
      <c r="Q23" s="15">
        <v>43307.567</v>
      </c>
      <c r="R23" s="15"/>
      <c r="S23" s="12" t="s">
        <v>121</v>
      </c>
      <c r="T23" s="19" t="s">
        <v>122</v>
      </c>
      <c r="U23" s="17"/>
      <c r="V23" s="17"/>
    </row>
    <row r="24" s="1" customFormat="1" ht="18" hidden="1" customHeight="1" spans="1:22">
      <c r="A24" s="10">
        <v>22</v>
      </c>
      <c r="B24" s="11" t="s">
        <v>63</v>
      </c>
      <c r="C24" s="11" t="s">
        <v>102</v>
      </c>
      <c r="D24" s="12" t="s">
        <v>123</v>
      </c>
      <c r="E24" s="13">
        <v>45008</v>
      </c>
      <c r="F24" s="14" t="s">
        <v>66</v>
      </c>
      <c r="G24" s="14" t="s">
        <v>67</v>
      </c>
      <c r="H24" s="15">
        <v>664339</v>
      </c>
      <c r="I24" s="15">
        <v>4564606.84</v>
      </c>
      <c r="J24" s="12" t="s">
        <v>124</v>
      </c>
      <c r="K24" s="15">
        <v>631122</v>
      </c>
      <c r="L24" s="15">
        <v>4449888.57</v>
      </c>
      <c r="M24" s="17">
        <v>33217</v>
      </c>
      <c r="N24" s="17">
        <f t="shared" si="2"/>
        <v>225304.2676</v>
      </c>
      <c r="O24" s="18">
        <f t="shared" si="1"/>
        <v>0.94999992473722</v>
      </c>
      <c r="P24" s="19" t="s">
        <v>125</v>
      </c>
      <c r="Q24" s="15">
        <v>33217</v>
      </c>
      <c r="R24" s="15"/>
      <c r="S24" s="12" t="s">
        <v>126</v>
      </c>
      <c r="T24" s="19" t="s">
        <v>127</v>
      </c>
      <c r="U24" s="17"/>
      <c r="V24" s="17"/>
    </row>
    <row r="25" ht="18" hidden="1" customHeight="1" spans="1:22">
      <c r="A25" s="10">
        <v>23</v>
      </c>
      <c r="B25" s="11" t="s">
        <v>63</v>
      </c>
      <c r="C25" s="11" t="s">
        <v>102</v>
      </c>
      <c r="D25" s="12" t="s">
        <v>128</v>
      </c>
      <c r="E25" s="13">
        <v>44768</v>
      </c>
      <c r="F25" s="14" t="s">
        <v>66</v>
      </c>
      <c r="G25" s="14" t="s">
        <v>67</v>
      </c>
      <c r="H25" s="15">
        <v>306391.91</v>
      </c>
      <c r="I25" s="15">
        <v>2077398.43</v>
      </c>
      <c r="J25" s="12" t="s">
        <v>107</v>
      </c>
      <c r="K25" s="15">
        <v>275752.72</v>
      </c>
      <c r="L25" s="15">
        <v>1924435.3174732</v>
      </c>
      <c r="M25" s="17">
        <v>30639.191</v>
      </c>
      <c r="N25" s="17">
        <f t="shared" si="2"/>
        <v>207819.5047148</v>
      </c>
      <c r="O25" s="18">
        <f t="shared" si="1"/>
        <v>0.900000003263794</v>
      </c>
      <c r="P25" s="19" t="s">
        <v>76</v>
      </c>
      <c r="Q25" s="15">
        <v>30639.191</v>
      </c>
      <c r="R25" s="15"/>
      <c r="S25" s="12" t="s">
        <v>129</v>
      </c>
      <c r="T25" s="19" t="s">
        <v>130</v>
      </c>
      <c r="U25" s="17"/>
      <c r="V25" s="17"/>
    </row>
    <row r="26" ht="18" hidden="1" customHeight="1" spans="1:22">
      <c r="A26" s="10">
        <v>24</v>
      </c>
      <c r="B26" s="11" t="s">
        <v>63</v>
      </c>
      <c r="C26" s="11" t="s">
        <v>102</v>
      </c>
      <c r="D26" s="12" t="s">
        <v>131</v>
      </c>
      <c r="E26" s="13">
        <v>45056</v>
      </c>
      <c r="F26" s="14" t="s">
        <v>66</v>
      </c>
      <c r="G26" s="14" t="s">
        <v>67</v>
      </c>
      <c r="H26" s="15">
        <v>68532.25</v>
      </c>
      <c r="I26" s="15">
        <v>474921.64</v>
      </c>
      <c r="J26" s="12" t="s">
        <v>107</v>
      </c>
      <c r="K26" s="15">
        <v>61679.03</v>
      </c>
      <c r="L26" s="15">
        <v>439369.849265</v>
      </c>
      <c r="M26" s="26">
        <v>6853.225</v>
      </c>
      <c r="N26" s="17">
        <f t="shared" si="2"/>
        <v>46484.05453</v>
      </c>
      <c r="O26" s="18">
        <f t="shared" si="1"/>
        <v>0.900000072958352</v>
      </c>
      <c r="P26" s="19" t="s">
        <v>76</v>
      </c>
      <c r="Q26" s="15">
        <v>6853.225</v>
      </c>
      <c r="R26" s="15"/>
      <c r="S26" s="12" t="s">
        <v>132</v>
      </c>
      <c r="T26" s="19" t="s">
        <v>115</v>
      </c>
      <c r="U26" s="17"/>
      <c r="V26" s="17"/>
    </row>
    <row r="27" ht="18" hidden="1" customHeight="1" spans="1:22">
      <c r="A27" s="10">
        <v>25</v>
      </c>
      <c r="B27" s="11" t="s">
        <v>63</v>
      </c>
      <c r="C27" s="11" t="s">
        <v>102</v>
      </c>
      <c r="D27" s="12" t="s">
        <v>133</v>
      </c>
      <c r="E27" s="13">
        <v>45495</v>
      </c>
      <c r="F27" s="14" t="s">
        <v>66</v>
      </c>
      <c r="G27" s="14" t="s">
        <v>67</v>
      </c>
      <c r="H27" s="15">
        <v>63763.87</v>
      </c>
      <c r="I27" s="15">
        <v>449599.05</v>
      </c>
      <c r="J27" s="12" t="s">
        <v>88</v>
      </c>
      <c r="K27" s="15">
        <v>57387.481</v>
      </c>
      <c r="L27" s="15">
        <v>410087.1276858</v>
      </c>
      <c r="M27" s="17">
        <v>6376.387</v>
      </c>
      <c r="N27" s="17">
        <f t="shared" si="2"/>
        <v>43249.7577436</v>
      </c>
      <c r="O27" s="18">
        <f t="shared" si="1"/>
        <v>0.899999968634275</v>
      </c>
      <c r="P27" s="19" t="s">
        <v>76</v>
      </c>
      <c r="Q27" s="15">
        <v>6376.387</v>
      </c>
      <c r="R27" s="15"/>
      <c r="S27" s="12" t="s">
        <v>134</v>
      </c>
      <c r="T27" s="19" t="s">
        <v>135</v>
      </c>
      <c r="U27" s="17"/>
      <c r="V27" s="17"/>
    </row>
    <row r="28" ht="18" hidden="1" customHeight="1" spans="1:22">
      <c r="A28" s="10">
        <v>26</v>
      </c>
      <c r="B28" s="11" t="s">
        <v>63</v>
      </c>
      <c r="C28" s="11" t="s">
        <v>102</v>
      </c>
      <c r="D28" s="12" t="s">
        <v>136</v>
      </c>
      <c r="E28" s="13">
        <v>45318</v>
      </c>
      <c r="F28" s="14" t="s">
        <v>66</v>
      </c>
      <c r="G28" s="14" t="s">
        <v>67</v>
      </c>
      <c r="H28" s="15">
        <v>5587426.22</v>
      </c>
      <c r="I28" s="15">
        <v>39716543.057004</v>
      </c>
      <c r="J28" s="12" t="s">
        <v>75</v>
      </c>
      <c r="K28" s="15">
        <v>5028683.598</v>
      </c>
      <c r="L28" s="15">
        <v>36031517.9986244</v>
      </c>
      <c r="M28" s="17">
        <v>558742.622</v>
      </c>
      <c r="N28" s="17">
        <f t="shared" si="2"/>
        <v>3789839.4565016</v>
      </c>
      <c r="O28" s="18">
        <f t="shared" si="1"/>
        <v>0.9</v>
      </c>
      <c r="P28" s="19" t="s">
        <v>76</v>
      </c>
      <c r="Q28" s="15"/>
      <c r="R28" s="15">
        <v>558742.622</v>
      </c>
      <c r="S28" s="12" t="s">
        <v>137</v>
      </c>
      <c r="T28" s="19"/>
      <c r="U28" s="17"/>
      <c r="V28" s="17"/>
    </row>
    <row r="29" ht="18" hidden="1" customHeight="1" spans="1:22">
      <c r="A29" s="10">
        <v>27</v>
      </c>
      <c r="B29" s="11" t="s">
        <v>63</v>
      </c>
      <c r="C29" s="11" t="s">
        <v>102</v>
      </c>
      <c r="D29" s="12" t="s">
        <v>138</v>
      </c>
      <c r="E29" s="13">
        <v>45318</v>
      </c>
      <c r="F29" s="14" t="s">
        <v>66</v>
      </c>
      <c r="G29" s="14" t="s">
        <v>67</v>
      </c>
      <c r="H29" s="15">
        <v>2994267.34</v>
      </c>
      <c r="I29" s="15">
        <v>21283851.106188</v>
      </c>
      <c r="J29" s="12" t="s">
        <v>139</v>
      </c>
      <c r="K29" s="15">
        <v>2694840.61</v>
      </c>
      <c r="L29" s="15">
        <v>18947673.385716</v>
      </c>
      <c r="M29" s="17">
        <v>299426.73</v>
      </c>
      <c r="N29" s="17">
        <f t="shared" si="2"/>
        <v>2030951.624244</v>
      </c>
      <c r="O29" s="18">
        <f t="shared" si="1"/>
        <v>0.900000001335886</v>
      </c>
      <c r="P29" s="19" t="s">
        <v>76</v>
      </c>
      <c r="Q29" s="15"/>
      <c r="R29" s="15">
        <v>299426.73</v>
      </c>
      <c r="S29" s="12" t="s">
        <v>137</v>
      </c>
      <c r="T29" s="19"/>
      <c r="U29" s="17"/>
      <c r="V29" s="17"/>
    </row>
    <row r="30" ht="18" hidden="1" customHeight="1" spans="1:22">
      <c r="A30" s="10">
        <v>28</v>
      </c>
      <c r="B30" s="11" t="s">
        <v>63</v>
      </c>
      <c r="C30" s="11" t="s">
        <v>102</v>
      </c>
      <c r="D30" s="12" t="s">
        <v>140</v>
      </c>
      <c r="E30" s="13">
        <v>45595</v>
      </c>
      <c r="F30" s="14" t="s">
        <v>66</v>
      </c>
      <c r="G30" s="14" t="s">
        <v>67</v>
      </c>
      <c r="H30" s="15">
        <v>1147958.8</v>
      </c>
      <c r="I30" s="15">
        <v>8261400.3</v>
      </c>
      <c r="J30" s="12" t="s">
        <v>88</v>
      </c>
      <c r="K30" s="15">
        <v>1033162.92</v>
      </c>
      <c r="L30" s="15">
        <v>7372306.20948</v>
      </c>
      <c r="M30" s="17">
        <v>114795.88</v>
      </c>
      <c r="N30" s="17">
        <f t="shared" si="2"/>
        <v>778637.494864</v>
      </c>
      <c r="O30" s="18">
        <f t="shared" si="1"/>
        <v>0.9</v>
      </c>
      <c r="P30" s="19" t="s">
        <v>76</v>
      </c>
      <c r="Q30" s="15"/>
      <c r="R30" s="15">
        <v>114795.88</v>
      </c>
      <c r="S30" s="12"/>
      <c r="T30" s="19" t="s">
        <v>141</v>
      </c>
      <c r="U30" s="17"/>
      <c r="V30" s="17"/>
    </row>
    <row r="31" ht="18" hidden="1" customHeight="1" spans="1:22">
      <c r="A31" s="10">
        <v>29</v>
      </c>
      <c r="B31" s="11" t="s">
        <v>63</v>
      </c>
      <c r="C31" s="11" t="s">
        <v>102</v>
      </c>
      <c r="D31" s="12" t="s">
        <v>142</v>
      </c>
      <c r="E31" s="13">
        <v>45502</v>
      </c>
      <c r="F31" s="14" t="s">
        <v>66</v>
      </c>
      <c r="G31" s="14" t="s">
        <v>67</v>
      </c>
      <c r="H31" s="15">
        <v>176377.59</v>
      </c>
      <c r="I31" s="15">
        <v>1263851.26</v>
      </c>
      <c r="J31" s="12" t="s">
        <v>88</v>
      </c>
      <c r="K31" s="15">
        <v>158739.83</v>
      </c>
      <c r="L31" s="15">
        <v>1135275.516092</v>
      </c>
      <c r="M31" s="17">
        <v>17637.76</v>
      </c>
      <c r="N31" s="17">
        <f t="shared" si="2"/>
        <v>119633.398528</v>
      </c>
      <c r="O31" s="18">
        <f t="shared" si="1"/>
        <v>0.899999994330345</v>
      </c>
      <c r="P31" s="19" t="s">
        <v>76</v>
      </c>
      <c r="Q31" s="15"/>
      <c r="R31" s="15">
        <v>17637.76</v>
      </c>
      <c r="S31" s="12" t="s">
        <v>143</v>
      </c>
      <c r="T31" s="19" t="s">
        <v>144</v>
      </c>
      <c r="U31" s="17"/>
      <c r="V31" s="17"/>
    </row>
    <row r="32" ht="18" hidden="1" customHeight="1" spans="1:22">
      <c r="A32" s="10">
        <v>30</v>
      </c>
      <c r="B32" s="11" t="s">
        <v>63</v>
      </c>
      <c r="C32" s="11" t="s">
        <v>64</v>
      </c>
      <c r="D32" s="19" t="s">
        <v>145</v>
      </c>
      <c r="E32" s="13">
        <v>46042</v>
      </c>
      <c r="F32" s="14" t="s">
        <v>146</v>
      </c>
      <c r="G32" s="14" t="s">
        <v>67</v>
      </c>
      <c r="H32" s="15">
        <v>780000</v>
      </c>
      <c r="I32" s="15">
        <v>5310864</v>
      </c>
      <c r="J32" s="12" t="s">
        <v>81</v>
      </c>
      <c r="K32" s="15">
        <v>156000</v>
      </c>
      <c r="L32" s="15">
        <v>1062172.8</v>
      </c>
      <c r="M32" s="17">
        <v>624000</v>
      </c>
      <c r="N32" s="17">
        <f t="shared" si="2"/>
        <v>4232467.2</v>
      </c>
      <c r="O32" s="18">
        <f t="shared" si="1"/>
        <v>0.2</v>
      </c>
      <c r="P32" s="19" t="s">
        <v>147</v>
      </c>
      <c r="Q32" s="15"/>
      <c r="R32" s="15">
        <v>624000</v>
      </c>
      <c r="S32" s="12"/>
      <c r="T32" s="19"/>
      <c r="U32" s="17"/>
      <c r="V32" s="17"/>
    </row>
    <row r="33" ht="18" hidden="1" customHeight="1" spans="1:22">
      <c r="A33" s="10">
        <v>31</v>
      </c>
      <c r="B33" s="11" t="s">
        <v>63</v>
      </c>
      <c r="C33" s="11" t="s">
        <v>64</v>
      </c>
      <c r="D33" s="19" t="s">
        <v>148</v>
      </c>
      <c r="E33" s="13">
        <v>46174</v>
      </c>
      <c r="F33" s="14" t="s">
        <v>146</v>
      </c>
      <c r="G33" s="14" t="s">
        <v>67</v>
      </c>
      <c r="H33" s="15">
        <v>100600</v>
      </c>
      <c r="I33" s="15">
        <v>686071.88</v>
      </c>
      <c r="J33" s="12" t="s">
        <v>149</v>
      </c>
      <c r="K33" s="15">
        <v>5000</v>
      </c>
      <c r="L33" s="15">
        <v>34078.5</v>
      </c>
      <c r="M33" s="17">
        <v>95600</v>
      </c>
      <c r="N33" s="17">
        <f t="shared" si="2"/>
        <v>648435.68</v>
      </c>
      <c r="O33" s="18">
        <f t="shared" si="1"/>
        <v>0.0497017892644135</v>
      </c>
      <c r="P33" s="19" t="s">
        <v>150</v>
      </c>
      <c r="Q33" s="15"/>
      <c r="R33" s="15">
        <v>95600</v>
      </c>
      <c r="S33" s="12"/>
      <c r="T33" s="19"/>
      <c r="U33" s="17"/>
      <c r="V33" s="17"/>
    </row>
    <row r="34" ht="18" hidden="1" customHeight="1" spans="1:22">
      <c r="A34" s="10">
        <v>32</v>
      </c>
      <c r="B34" s="11" t="s">
        <v>151</v>
      </c>
      <c r="C34" s="11" t="s">
        <v>102</v>
      </c>
      <c r="D34" s="12" t="s">
        <v>152</v>
      </c>
      <c r="E34" s="13">
        <v>45231</v>
      </c>
      <c r="F34" s="14" t="s">
        <v>153</v>
      </c>
      <c r="G34" s="14" t="s">
        <v>67</v>
      </c>
      <c r="H34" s="15">
        <v>480000</v>
      </c>
      <c r="I34" s="15">
        <v>3409488</v>
      </c>
      <c r="J34" s="12" t="s">
        <v>154</v>
      </c>
      <c r="K34" s="15">
        <v>426549.24</v>
      </c>
      <c r="L34" s="15">
        <v>2727895.2</v>
      </c>
      <c r="M34" s="17">
        <v>53450.76</v>
      </c>
      <c r="N34" s="17">
        <f t="shared" si="2"/>
        <v>362545.814928</v>
      </c>
      <c r="O34" s="18">
        <f t="shared" si="1"/>
        <v>0.88864425</v>
      </c>
      <c r="P34" s="19" t="s">
        <v>155</v>
      </c>
      <c r="Q34" s="15">
        <v>53450.76</v>
      </c>
      <c r="R34" s="15"/>
      <c r="S34" s="12" t="s">
        <v>134</v>
      </c>
      <c r="T34" s="19" t="s">
        <v>156</v>
      </c>
      <c r="U34" s="17"/>
      <c r="V34" s="17"/>
    </row>
    <row r="35" ht="18" hidden="1" customHeight="1" spans="1:22">
      <c r="A35" s="10">
        <v>33</v>
      </c>
      <c r="B35" s="11" t="s">
        <v>151</v>
      </c>
      <c r="C35" s="11" t="s">
        <v>64</v>
      </c>
      <c r="D35" s="19" t="s">
        <v>157</v>
      </c>
      <c r="E35" s="13">
        <v>45883</v>
      </c>
      <c r="F35" s="14" t="s">
        <v>158</v>
      </c>
      <c r="G35" s="14" t="s">
        <v>67</v>
      </c>
      <c r="H35" s="15">
        <v>2750000</v>
      </c>
      <c r="I35" s="15">
        <v>19617675</v>
      </c>
      <c r="J35" s="12" t="s">
        <v>159</v>
      </c>
      <c r="K35" s="15">
        <v>825000</v>
      </c>
      <c r="L35" s="15">
        <v>5854131.25</v>
      </c>
      <c r="M35" s="17">
        <v>1925000</v>
      </c>
      <c r="N35" s="17">
        <f t="shared" si="2"/>
        <v>13056890</v>
      </c>
      <c r="O35" s="18">
        <f t="shared" si="1"/>
        <v>0.3</v>
      </c>
      <c r="P35" s="19" t="s">
        <v>160</v>
      </c>
      <c r="Q35" s="15"/>
      <c r="R35" s="15">
        <v>1925000</v>
      </c>
      <c r="S35" s="12"/>
      <c r="T35" s="19"/>
      <c r="U35" s="17"/>
      <c r="V35" s="17"/>
    </row>
    <row r="36" ht="18" hidden="1" customHeight="1" spans="1:22">
      <c r="A36" s="10">
        <v>34</v>
      </c>
      <c r="B36" s="11" t="s">
        <v>161</v>
      </c>
      <c r="C36" s="11" t="s">
        <v>64</v>
      </c>
      <c r="D36" s="19" t="s">
        <v>162</v>
      </c>
      <c r="E36" s="13">
        <v>46129</v>
      </c>
      <c r="F36" s="14" t="s">
        <v>163</v>
      </c>
      <c r="G36" s="14" t="s">
        <v>67</v>
      </c>
      <c r="H36" s="15">
        <v>29588</v>
      </c>
      <c r="I36" s="15">
        <v>201458.7744</v>
      </c>
      <c r="J36" s="16">
        <v>1</v>
      </c>
      <c r="K36" s="15">
        <v>29588</v>
      </c>
      <c r="L36" s="27">
        <v>200837.43</v>
      </c>
      <c r="M36" s="17">
        <v>0</v>
      </c>
      <c r="N36" s="17">
        <f t="shared" si="2"/>
        <v>0</v>
      </c>
      <c r="O36" s="18">
        <f t="shared" si="1"/>
        <v>1</v>
      </c>
      <c r="P36" s="19"/>
      <c r="Q36" s="15"/>
      <c r="R36" s="15"/>
      <c r="S36" s="12"/>
      <c r="T36" s="19"/>
      <c r="U36" s="17">
        <v>29588</v>
      </c>
      <c r="V36" s="17">
        <v>200837.43</v>
      </c>
    </row>
    <row r="37" ht="18" hidden="1" customHeight="1" spans="1:22">
      <c r="A37" s="10">
        <v>35</v>
      </c>
      <c r="B37" s="11" t="s">
        <v>161</v>
      </c>
      <c r="C37" s="11" t="s">
        <v>64</v>
      </c>
      <c r="D37" s="19" t="s">
        <v>164</v>
      </c>
      <c r="E37" s="13">
        <v>45954</v>
      </c>
      <c r="F37" s="14" t="s">
        <v>165</v>
      </c>
      <c r="G37" s="14" t="s">
        <v>67</v>
      </c>
      <c r="H37" s="15">
        <v>508000</v>
      </c>
      <c r="I37" s="15">
        <v>3603142.4</v>
      </c>
      <c r="J37" s="12" t="s">
        <v>100</v>
      </c>
      <c r="K37" s="15">
        <v>152400</v>
      </c>
      <c r="L37" s="15">
        <v>1080013.08</v>
      </c>
      <c r="M37" s="17">
        <v>355600</v>
      </c>
      <c r="N37" s="17">
        <f t="shared" si="2"/>
        <v>2411963.68</v>
      </c>
      <c r="O37" s="18">
        <f t="shared" si="1"/>
        <v>0.3</v>
      </c>
      <c r="P37" s="19" t="s">
        <v>101</v>
      </c>
      <c r="Q37" s="15"/>
      <c r="R37" s="15">
        <v>355600</v>
      </c>
      <c r="S37" s="12"/>
      <c r="T37" s="19"/>
      <c r="U37" s="17"/>
      <c r="V37" s="17"/>
    </row>
    <row r="38" ht="18" hidden="1" customHeight="1" spans="1:22">
      <c r="A38" s="10">
        <v>36</v>
      </c>
      <c r="B38" s="11" t="s">
        <v>161</v>
      </c>
      <c r="C38" s="11" t="s">
        <v>64</v>
      </c>
      <c r="D38" s="19" t="s">
        <v>166</v>
      </c>
      <c r="E38" s="13">
        <v>45660</v>
      </c>
      <c r="F38" s="14" t="s">
        <v>165</v>
      </c>
      <c r="G38" s="14" t="s">
        <v>67</v>
      </c>
      <c r="H38" s="15">
        <v>5586000</v>
      </c>
      <c r="I38" s="15">
        <v>40154402.4</v>
      </c>
      <c r="J38" s="12" t="s">
        <v>167</v>
      </c>
      <c r="K38" s="15">
        <v>4468800</v>
      </c>
      <c r="L38" s="15">
        <v>31649047.08</v>
      </c>
      <c r="M38" s="17">
        <v>1117200</v>
      </c>
      <c r="N38" s="17">
        <f t="shared" si="2"/>
        <v>7577744.16</v>
      </c>
      <c r="O38" s="18">
        <f t="shared" si="1"/>
        <v>0.8</v>
      </c>
      <c r="P38" s="19" t="s">
        <v>168</v>
      </c>
      <c r="Q38" s="15"/>
      <c r="R38" s="15">
        <v>1117200</v>
      </c>
      <c r="S38" s="12"/>
      <c r="T38" s="19"/>
      <c r="U38" s="17"/>
      <c r="V38" s="17"/>
    </row>
    <row r="39" ht="18" hidden="1" customHeight="1" spans="1:22">
      <c r="A39" s="10">
        <v>37</v>
      </c>
      <c r="B39" s="11" t="s">
        <v>161</v>
      </c>
      <c r="C39" s="11" t="s">
        <v>64</v>
      </c>
      <c r="D39" s="19" t="s">
        <v>169</v>
      </c>
      <c r="E39" s="13">
        <v>45510</v>
      </c>
      <c r="F39" s="14" t="s">
        <v>165</v>
      </c>
      <c r="G39" s="14" t="s">
        <v>67</v>
      </c>
      <c r="H39" s="15">
        <v>2700000</v>
      </c>
      <c r="I39" s="15">
        <v>19209960</v>
      </c>
      <c r="J39" s="12" t="s">
        <v>170</v>
      </c>
      <c r="K39" s="15">
        <v>2295000</v>
      </c>
      <c r="L39" s="15">
        <v>16400731.5</v>
      </c>
      <c r="M39" s="17">
        <v>405000</v>
      </c>
      <c r="N39" s="17">
        <f t="shared" si="2"/>
        <v>2747034</v>
      </c>
      <c r="O39" s="18">
        <f t="shared" si="1"/>
        <v>0.85</v>
      </c>
      <c r="P39" s="19" t="s">
        <v>171</v>
      </c>
      <c r="Q39" s="15"/>
      <c r="R39" s="15">
        <v>405000</v>
      </c>
      <c r="S39" s="12"/>
      <c r="T39" s="19"/>
      <c r="U39" s="17"/>
      <c r="V39" s="17"/>
    </row>
    <row r="40" ht="18" hidden="1" customHeight="1" spans="1:22">
      <c r="A40" s="10">
        <v>38</v>
      </c>
      <c r="B40" s="11" t="s">
        <v>161</v>
      </c>
      <c r="C40" s="11" t="s">
        <v>64</v>
      </c>
      <c r="D40" s="19" t="s">
        <v>172</v>
      </c>
      <c r="E40" s="13">
        <v>46031</v>
      </c>
      <c r="F40" s="14" t="s">
        <v>165</v>
      </c>
      <c r="G40" s="14" t="s">
        <v>67</v>
      </c>
      <c r="H40" s="15">
        <v>9600</v>
      </c>
      <c r="I40" s="15">
        <v>66806.4</v>
      </c>
      <c r="J40" s="12" t="s">
        <v>85</v>
      </c>
      <c r="K40" s="15">
        <v>4800</v>
      </c>
      <c r="L40" s="15">
        <v>33393.6</v>
      </c>
      <c r="M40" s="17">
        <v>4800</v>
      </c>
      <c r="N40" s="17">
        <f t="shared" si="2"/>
        <v>32557.44</v>
      </c>
      <c r="O40" s="18">
        <f t="shared" si="1"/>
        <v>0.5</v>
      </c>
      <c r="P40" s="19" t="s">
        <v>173</v>
      </c>
      <c r="Q40" s="15"/>
      <c r="R40" s="15">
        <v>4800</v>
      </c>
      <c r="S40" s="12"/>
      <c r="T40" s="19"/>
      <c r="U40" s="17"/>
      <c r="V40" s="17"/>
    </row>
    <row r="41" ht="18" hidden="1" customHeight="1" spans="1:22">
      <c r="A41" s="10">
        <v>39</v>
      </c>
      <c r="B41" s="11" t="s">
        <v>161</v>
      </c>
      <c r="C41" s="11" t="s">
        <v>102</v>
      </c>
      <c r="D41" s="12" t="s">
        <v>174</v>
      </c>
      <c r="E41" s="13">
        <v>45355</v>
      </c>
      <c r="F41" s="14" t="s">
        <v>165</v>
      </c>
      <c r="G41" s="14" t="s">
        <v>67</v>
      </c>
      <c r="H41" s="15">
        <v>9600</v>
      </c>
      <c r="I41" s="15">
        <v>68124.48</v>
      </c>
      <c r="J41" s="12" t="s">
        <v>100</v>
      </c>
      <c r="K41" s="15">
        <v>6000</v>
      </c>
      <c r="L41" s="15">
        <v>41933.7</v>
      </c>
      <c r="M41" s="17">
        <v>3600</v>
      </c>
      <c r="N41" s="17">
        <f t="shared" si="2"/>
        <v>24418.08</v>
      </c>
      <c r="O41" s="18">
        <f t="shared" si="1"/>
        <v>0.625</v>
      </c>
      <c r="P41" s="19" t="s">
        <v>175</v>
      </c>
      <c r="Q41" s="15">
        <v>3600</v>
      </c>
      <c r="R41" s="15"/>
      <c r="S41" s="12" t="s">
        <v>176</v>
      </c>
      <c r="T41" s="19" t="s">
        <v>177</v>
      </c>
      <c r="U41" s="17"/>
      <c r="V41" s="17"/>
    </row>
    <row r="42" ht="18" hidden="1" customHeight="1" spans="1:22">
      <c r="A42" s="10">
        <v>40</v>
      </c>
      <c r="B42" s="11" t="s">
        <v>178</v>
      </c>
      <c r="C42" s="11" t="s">
        <v>64</v>
      </c>
      <c r="D42" s="12" t="s">
        <v>179</v>
      </c>
      <c r="E42" s="13">
        <v>45986</v>
      </c>
      <c r="F42" s="14" t="s">
        <v>180</v>
      </c>
      <c r="G42" s="14" t="s">
        <v>67</v>
      </c>
      <c r="H42" s="15">
        <v>1723000</v>
      </c>
      <c r="I42" s="15">
        <v>12203319.8</v>
      </c>
      <c r="J42" s="12" t="s">
        <v>88</v>
      </c>
      <c r="K42" s="15">
        <v>516900</v>
      </c>
      <c r="L42" s="15">
        <v>3594160.77</v>
      </c>
      <c r="M42" s="17">
        <v>1206100</v>
      </c>
      <c r="N42" s="17">
        <f t="shared" si="2"/>
        <v>8180735.08</v>
      </c>
      <c r="O42" s="18">
        <f t="shared" si="1"/>
        <v>0.3</v>
      </c>
      <c r="P42" s="19" t="s">
        <v>181</v>
      </c>
      <c r="Q42" s="15"/>
      <c r="R42" s="15">
        <v>1206100</v>
      </c>
      <c r="S42" s="12"/>
      <c r="T42" s="19"/>
      <c r="U42" s="17"/>
      <c r="V42" s="17"/>
    </row>
    <row r="43" ht="18" hidden="1" customHeight="1" spans="1:22">
      <c r="A43" s="10">
        <v>41</v>
      </c>
      <c r="B43" s="11" t="s">
        <v>178</v>
      </c>
      <c r="C43" s="20" t="s">
        <v>64</v>
      </c>
      <c r="D43" s="19" t="s">
        <v>182</v>
      </c>
      <c r="E43" s="21">
        <v>45320</v>
      </c>
      <c r="F43" s="22" t="s">
        <v>180</v>
      </c>
      <c r="G43" s="22" t="s">
        <v>67</v>
      </c>
      <c r="H43" s="23">
        <v>3376779.1</v>
      </c>
      <c r="I43" s="23">
        <v>23964558.4</v>
      </c>
      <c r="J43" s="19" t="s">
        <v>183</v>
      </c>
      <c r="K43" s="23">
        <v>3209729.25</v>
      </c>
      <c r="L43" s="23">
        <v>22870229.139667</v>
      </c>
      <c r="M43" s="24">
        <v>167049.85</v>
      </c>
      <c r="N43" s="17">
        <f t="shared" si="2"/>
        <v>1133065.72258</v>
      </c>
      <c r="O43" s="25">
        <f t="shared" si="1"/>
        <v>0.950529825892372</v>
      </c>
      <c r="P43" s="19" t="s">
        <v>125</v>
      </c>
      <c r="Q43" s="23"/>
      <c r="R43" s="23">
        <v>167049.85</v>
      </c>
      <c r="S43" s="19"/>
      <c r="T43" s="19"/>
      <c r="U43" s="17"/>
      <c r="V43" s="17"/>
    </row>
    <row r="44" ht="18" hidden="1" customHeight="1" spans="1:22">
      <c r="A44" s="10">
        <v>42</v>
      </c>
      <c r="B44" s="11" t="s">
        <v>178</v>
      </c>
      <c r="C44" s="20" t="s">
        <v>64</v>
      </c>
      <c r="D44" s="19" t="s">
        <v>184</v>
      </c>
      <c r="E44" s="21">
        <v>45320</v>
      </c>
      <c r="F44" s="22" t="s">
        <v>180</v>
      </c>
      <c r="G44" s="22" t="s">
        <v>67</v>
      </c>
      <c r="H44" s="23">
        <v>281820</v>
      </c>
      <c r="I44" s="23">
        <v>1974825.47</v>
      </c>
      <c r="J44" s="19" t="s">
        <v>185</v>
      </c>
      <c r="K44" s="23">
        <v>211638</v>
      </c>
      <c r="L44" s="23">
        <v>1494169.6476</v>
      </c>
      <c r="M44" s="24">
        <v>70182</v>
      </c>
      <c r="N44" s="17">
        <f t="shared" si="2"/>
        <v>476030.4696</v>
      </c>
      <c r="O44" s="25">
        <f t="shared" si="1"/>
        <v>0.75096870342772</v>
      </c>
      <c r="P44" s="19" t="s">
        <v>186</v>
      </c>
      <c r="Q44" s="23"/>
      <c r="R44" s="23">
        <v>70182</v>
      </c>
      <c r="S44" s="19"/>
      <c r="T44" s="19"/>
      <c r="U44" s="17"/>
      <c r="V44" s="17"/>
    </row>
    <row r="45" ht="18" hidden="1" customHeight="1" spans="1:22">
      <c r="A45" s="10">
        <v>43</v>
      </c>
      <c r="B45" s="11" t="s">
        <v>178</v>
      </c>
      <c r="C45" s="11" t="s">
        <v>64</v>
      </c>
      <c r="D45" s="12" t="s">
        <v>187</v>
      </c>
      <c r="E45" s="13">
        <v>45884</v>
      </c>
      <c r="F45" s="14" t="s">
        <v>180</v>
      </c>
      <c r="G45" s="14" t="s">
        <v>67</v>
      </c>
      <c r="H45" s="15">
        <v>14000</v>
      </c>
      <c r="I45" s="15">
        <v>99919.4</v>
      </c>
      <c r="J45" s="12" t="s">
        <v>100</v>
      </c>
      <c r="K45" s="15">
        <v>4200</v>
      </c>
      <c r="L45" s="27">
        <v>29975.82</v>
      </c>
      <c r="M45" s="17">
        <v>9800</v>
      </c>
      <c r="N45" s="17">
        <f t="shared" si="2"/>
        <v>66471.44</v>
      </c>
      <c r="O45" s="18">
        <f t="shared" si="1"/>
        <v>0.3</v>
      </c>
      <c r="P45" s="19" t="s">
        <v>101</v>
      </c>
      <c r="Q45" s="15"/>
      <c r="R45" s="15">
        <v>9800</v>
      </c>
      <c r="S45" s="12" t="s">
        <v>143</v>
      </c>
      <c r="T45" s="19"/>
      <c r="U45" s="17"/>
      <c r="V45" s="17"/>
    </row>
    <row r="46" ht="18" hidden="1" customHeight="1" spans="1:22">
      <c r="A46" s="10">
        <v>44</v>
      </c>
      <c r="B46" s="11" t="s">
        <v>178</v>
      </c>
      <c r="C46" s="11" t="s">
        <v>102</v>
      </c>
      <c r="D46" s="12" t="s">
        <v>188</v>
      </c>
      <c r="E46" s="13">
        <v>45777</v>
      </c>
      <c r="F46" s="14" t="s">
        <v>180</v>
      </c>
      <c r="G46" s="14" t="s">
        <v>67</v>
      </c>
      <c r="H46" s="15">
        <v>1741000</v>
      </c>
      <c r="I46" s="15">
        <v>12497246.2</v>
      </c>
      <c r="J46" s="12" t="s">
        <v>189</v>
      </c>
      <c r="K46" s="15">
        <v>1654750</v>
      </c>
      <c r="L46" s="15">
        <v>11692966.91</v>
      </c>
      <c r="M46" s="17">
        <v>86250</v>
      </c>
      <c r="N46" s="17">
        <f t="shared" si="2"/>
        <v>585016.5</v>
      </c>
      <c r="O46" s="18">
        <f t="shared" si="1"/>
        <v>0.950459506031017</v>
      </c>
      <c r="P46" s="19" t="s">
        <v>125</v>
      </c>
      <c r="Q46" s="15"/>
      <c r="R46" s="15">
        <v>86250</v>
      </c>
      <c r="S46" s="12"/>
      <c r="T46" s="19" t="s">
        <v>190</v>
      </c>
      <c r="U46" s="17"/>
      <c r="V46" s="17"/>
    </row>
    <row r="47" ht="18" hidden="1" customHeight="1" spans="1:22">
      <c r="A47" s="10">
        <v>45</v>
      </c>
      <c r="B47" s="11" t="s">
        <v>191</v>
      </c>
      <c r="C47" s="11" t="s">
        <v>64</v>
      </c>
      <c r="D47" s="19" t="s">
        <v>192</v>
      </c>
      <c r="E47" s="13">
        <v>46051</v>
      </c>
      <c r="F47" s="14" t="s">
        <v>193</v>
      </c>
      <c r="G47" s="14" t="s">
        <v>67</v>
      </c>
      <c r="H47" s="15">
        <v>1338000</v>
      </c>
      <c r="I47" s="15">
        <v>9303515.4</v>
      </c>
      <c r="J47" s="12" t="s">
        <v>100</v>
      </c>
      <c r="K47" s="15">
        <v>1338000</v>
      </c>
      <c r="L47" s="15">
        <v>9161014.417327</v>
      </c>
      <c r="M47" s="26">
        <v>0</v>
      </c>
      <c r="N47" s="17">
        <f t="shared" si="2"/>
        <v>0</v>
      </c>
      <c r="O47" s="18">
        <f t="shared" si="1"/>
        <v>1</v>
      </c>
      <c r="P47" s="19"/>
      <c r="Q47" s="15"/>
      <c r="R47" s="27"/>
      <c r="S47" s="12"/>
      <c r="T47" s="19"/>
      <c r="U47" s="17">
        <v>482008.15</v>
      </c>
      <c r="V47" s="17">
        <v>3272052.717132</v>
      </c>
    </row>
    <row r="48" ht="18" hidden="1" customHeight="1" spans="1:22">
      <c r="A48" s="10">
        <v>46</v>
      </c>
      <c r="B48" s="11" t="s">
        <v>191</v>
      </c>
      <c r="C48" s="11" t="s">
        <v>64</v>
      </c>
      <c r="D48" s="19" t="s">
        <v>194</v>
      </c>
      <c r="E48" s="13">
        <v>46051</v>
      </c>
      <c r="F48" s="14" t="s">
        <v>193</v>
      </c>
      <c r="G48" s="14" t="s">
        <v>67</v>
      </c>
      <c r="H48" s="15">
        <v>91800</v>
      </c>
      <c r="I48" s="15">
        <v>638312.94</v>
      </c>
      <c r="J48" s="12" t="s">
        <v>195</v>
      </c>
      <c r="K48" s="15">
        <v>0</v>
      </c>
      <c r="L48" s="15">
        <v>0</v>
      </c>
      <c r="M48" s="17">
        <v>91800</v>
      </c>
      <c r="N48" s="17">
        <f t="shared" si="2"/>
        <v>622661.04</v>
      </c>
      <c r="O48" s="18">
        <f t="shared" si="1"/>
        <v>0</v>
      </c>
      <c r="P48" s="19" t="s">
        <v>196</v>
      </c>
      <c r="Q48" s="15"/>
      <c r="R48" s="15">
        <v>91800</v>
      </c>
      <c r="S48" s="12"/>
      <c r="T48" s="19"/>
      <c r="U48" s="17"/>
      <c r="V48" s="17"/>
    </row>
    <row r="49" ht="18" hidden="1" customHeight="1" spans="1:22">
      <c r="A49" s="10">
        <v>47</v>
      </c>
      <c r="B49" s="11" t="s">
        <v>191</v>
      </c>
      <c r="C49" s="11" t="s">
        <v>64</v>
      </c>
      <c r="D49" s="19" t="s">
        <v>197</v>
      </c>
      <c r="E49" s="13">
        <v>46136</v>
      </c>
      <c r="F49" s="14" t="s">
        <v>193</v>
      </c>
      <c r="G49" s="14" t="s">
        <v>67</v>
      </c>
      <c r="H49" s="15">
        <v>228036</v>
      </c>
      <c r="I49" s="15">
        <v>1563460.42</v>
      </c>
      <c r="J49" s="12" t="s">
        <v>100</v>
      </c>
      <c r="K49" s="15">
        <v>68410.8</v>
      </c>
      <c r="L49" s="27">
        <v>469038.12696</v>
      </c>
      <c r="M49" s="17">
        <v>159625.2</v>
      </c>
      <c r="N49" s="17">
        <f t="shared" si="2"/>
        <v>1082705.80656</v>
      </c>
      <c r="O49" s="18">
        <f t="shared" si="1"/>
        <v>0.3</v>
      </c>
      <c r="P49" s="19" t="s">
        <v>198</v>
      </c>
      <c r="Q49" s="15"/>
      <c r="R49" s="15">
        <v>159625.2</v>
      </c>
      <c r="S49" s="12"/>
      <c r="T49" s="19" t="s">
        <v>199</v>
      </c>
      <c r="U49" s="17"/>
      <c r="V49" s="17"/>
    </row>
    <row r="50" ht="18" customHeight="1" spans="1:22">
      <c r="A50" s="10">
        <v>48</v>
      </c>
      <c r="B50" s="11" t="s">
        <v>22</v>
      </c>
      <c r="C50" s="11" t="s">
        <v>64</v>
      </c>
      <c r="D50" s="12" t="s">
        <v>200</v>
      </c>
      <c r="E50" s="13">
        <v>45503</v>
      </c>
      <c r="F50" s="14" t="s">
        <v>201</v>
      </c>
      <c r="G50" s="14" t="s">
        <v>87</v>
      </c>
      <c r="H50" s="15">
        <v>1081482</v>
      </c>
      <c r="I50" s="15">
        <v>1081482</v>
      </c>
      <c r="J50" s="16">
        <v>1</v>
      </c>
      <c r="K50" s="15"/>
      <c r="L50" s="15"/>
      <c r="M50" s="17">
        <v>1081482</v>
      </c>
      <c r="N50" s="17">
        <v>1081482</v>
      </c>
      <c r="O50" s="18">
        <f t="shared" si="1"/>
        <v>0</v>
      </c>
      <c r="P50" s="19" t="s">
        <v>202</v>
      </c>
      <c r="Q50" s="15"/>
      <c r="R50" s="15">
        <v>1081482</v>
      </c>
      <c r="S50" s="12"/>
      <c r="T50" s="19"/>
      <c r="U50" s="17"/>
      <c r="V50" s="17"/>
    </row>
    <row r="51" ht="18" customHeight="1" spans="1:22">
      <c r="A51" s="10">
        <v>49</v>
      </c>
      <c r="B51" s="11" t="s">
        <v>22</v>
      </c>
      <c r="C51" s="11" t="s">
        <v>102</v>
      </c>
      <c r="D51" s="19" t="s">
        <v>203</v>
      </c>
      <c r="E51" s="13">
        <v>45328</v>
      </c>
      <c r="F51" s="14" t="s">
        <v>201</v>
      </c>
      <c r="G51" s="14" t="s">
        <v>87</v>
      </c>
      <c r="H51" s="15">
        <v>46400000</v>
      </c>
      <c r="I51" s="15">
        <v>46400000</v>
      </c>
      <c r="J51" s="12" t="s">
        <v>88</v>
      </c>
      <c r="K51" s="15">
        <v>44080000</v>
      </c>
      <c r="L51" s="15">
        <v>44080000</v>
      </c>
      <c r="M51" s="17">
        <v>2320000</v>
      </c>
      <c r="N51" s="17">
        <v>2320000</v>
      </c>
      <c r="O51" s="18">
        <f t="shared" si="1"/>
        <v>0.95</v>
      </c>
      <c r="P51" s="19" t="s">
        <v>204</v>
      </c>
      <c r="Q51" s="15">
        <v>2320000</v>
      </c>
      <c r="R51" s="15"/>
      <c r="S51" s="12" t="s">
        <v>205</v>
      </c>
      <c r="T51" s="19" t="s">
        <v>206</v>
      </c>
      <c r="U51" s="17"/>
      <c r="V51" s="17"/>
    </row>
    <row r="52" ht="18" customHeight="1" spans="1:22">
      <c r="A52" s="10">
        <v>50</v>
      </c>
      <c r="B52" s="11" t="s">
        <v>22</v>
      </c>
      <c r="C52" s="11" t="s">
        <v>102</v>
      </c>
      <c r="D52" s="19" t="s">
        <v>200</v>
      </c>
      <c r="E52" s="13">
        <v>45503</v>
      </c>
      <c r="F52" s="14" t="s">
        <v>201</v>
      </c>
      <c r="G52" s="14" t="s">
        <v>87</v>
      </c>
      <c r="H52" s="15">
        <v>3232595</v>
      </c>
      <c r="I52" s="15">
        <v>3232595</v>
      </c>
      <c r="J52" s="12" t="s">
        <v>107</v>
      </c>
      <c r="K52" s="15">
        <v>2909335.5</v>
      </c>
      <c r="L52" s="15">
        <v>2909335.5</v>
      </c>
      <c r="M52" s="17">
        <v>323259.5</v>
      </c>
      <c r="N52" s="17">
        <v>323259.5</v>
      </c>
      <c r="O52" s="18">
        <f t="shared" si="1"/>
        <v>0.9</v>
      </c>
      <c r="P52" s="19" t="s">
        <v>76</v>
      </c>
      <c r="Q52" s="15"/>
      <c r="R52" s="15">
        <v>323259.5</v>
      </c>
      <c r="S52" s="12"/>
      <c r="T52" s="19" t="s">
        <v>207</v>
      </c>
      <c r="U52" s="17"/>
      <c r="V52" s="17"/>
    </row>
    <row r="53" ht="18" customHeight="1" spans="1:22">
      <c r="A53" s="10">
        <v>51</v>
      </c>
      <c r="B53" s="11" t="s">
        <v>22</v>
      </c>
      <c r="C53" s="11" t="s">
        <v>102</v>
      </c>
      <c r="D53" s="19" t="s">
        <v>208</v>
      </c>
      <c r="E53" s="13">
        <v>45642</v>
      </c>
      <c r="F53" s="14" t="s">
        <v>201</v>
      </c>
      <c r="G53" s="14" t="s">
        <v>87</v>
      </c>
      <c r="H53" s="15">
        <v>673002</v>
      </c>
      <c r="I53" s="15">
        <v>673002</v>
      </c>
      <c r="J53" s="12" t="s">
        <v>107</v>
      </c>
      <c r="K53" s="15">
        <v>605701.8</v>
      </c>
      <c r="L53" s="15">
        <v>605701.8</v>
      </c>
      <c r="M53" s="17">
        <v>67300.2</v>
      </c>
      <c r="N53" s="17">
        <v>67300.2</v>
      </c>
      <c r="O53" s="18">
        <f t="shared" si="1"/>
        <v>0.9</v>
      </c>
      <c r="P53" s="19" t="s">
        <v>76</v>
      </c>
      <c r="Q53" s="15"/>
      <c r="R53" s="15">
        <v>67300.2</v>
      </c>
      <c r="S53" s="12"/>
      <c r="T53" s="19" t="s">
        <v>207</v>
      </c>
      <c r="U53" s="17"/>
      <c r="V53" s="17"/>
    </row>
    <row r="54" s="2" customFormat="1" ht="25" customHeight="1" spans="1:22">
      <c r="A54" s="28"/>
      <c r="B54" s="28"/>
      <c r="C54" s="28"/>
      <c r="D54" s="29" t="s">
        <v>209</v>
      </c>
      <c r="E54" s="13"/>
      <c r="F54" s="28"/>
      <c r="G54" s="28"/>
      <c r="H54" s="30">
        <f>SUMIF(G:G,"美元",H:H)</f>
        <v>57047809.25</v>
      </c>
      <c r="I54" s="30">
        <f>SUMIF(G:G,"美元",I:I)</f>
        <v>402670908.381399</v>
      </c>
      <c r="J54" s="28"/>
      <c r="K54" s="30">
        <f>SUMIF(G:G,"美元",K:K)</f>
        <v>39081923.358</v>
      </c>
      <c r="L54" s="30">
        <f>SUMIF(G:G,"美元",L:L)</f>
        <v>263807754.01778</v>
      </c>
      <c r="M54" s="30">
        <f>SUMIF(G:G,"美元",M:M)</f>
        <v>17965885.896</v>
      </c>
      <c r="N54" s="31">
        <f>SUMIF(G:G,"美元",N:N)</f>
        <v>121859010.855389</v>
      </c>
      <c r="O54" s="32"/>
      <c r="P54" s="28"/>
      <c r="Q54" s="30">
        <f>SUMIF(G:G,"美元",Q:Q)</f>
        <v>2380028.72</v>
      </c>
      <c r="R54" s="30">
        <f>SUMIF(G:G,"美元",R:R)</f>
        <v>15585857.176</v>
      </c>
      <c r="S54" s="28"/>
      <c r="T54" s="33"/>
      <c r="U54" s="30">
        <f>SUMIF(G:G,"美元",U:U)</f>
        <v>1853045.54</v>
      </c>
      <c r="V54" s="31">
        <f>SUMIF(G:G,"美元",V:V)</f>
        <v>12569388.390973</v>
      </c>
    </row>
    <row r="55" s="2" customFormat="1" ht="25" customHeight="1" spans="1:22">
      <c r="A55" s="28"/>
      <c r="B55" s="28"/>
      <c r="C55" s="28"/>
      <c r="D55" s="29" t="s">
        <v>210</v>
      </c>
      <c r="E55" s="13"/>
      <c r="F55" s="28"/>
      <c r="G55" s="28"/>
      <c r="H55" s="30">
        <f>SUMIF(G:G,"人民币",H:H)</f>
        <v>58103359</v>
      </c>
      <c r="I55" s="30">
        <f>SUMIF(G:G,"人民币",I:I)</f>
        <v>58103359</v>
      </c>
      <c r="J55" s="28"/>
      <c r="K55" s="30">
        <f>SUMIF(G:G,"人民币",K:K)</f>
        <v>49609921.3</v>
      </c>
      <c r="L55" s="30">
        <f>SUMIF(G:G,"人民币",L:L)</f>
        <v>49609921.3</v>
      </c>
      <c r="M55" s="30">
        <f>SUMIF(G:G,"人民币",M:M)</f>
        <v>8493437.7</v>
      </c>
      <c r="N55" s="31">
        <f>SUMIF(G:G,"人民币",N:N)</f>
        <v>8493437.7</v>
      </c>
      <c r="O55" s="32"/>
      <c r="P55" s="28"/>
      <c r="Q55" s="30">
        <f>SUMIF(G:G,"人民币",Q:Q)</f>
        <v>2320000</v>
      </c>
      <c r="R55" s="30">
        <f>SUMIF(G:G,"人民币",R:R)</f>
        <v>6173437.7</v>
      </c>
      <c r="S55" s="28"/>
      <c r="T55" s="33"/>
      <c r="U55" s="30">
        <f>SUMIF(G:G,"人民币",U:U)</f>
        <v>0</v>
      </c>
      <c r="V55" s="31">
        <f>SUMIF(G:G,"人民币",V:V)</f>
        <v>0</v>
      </c>
    </row>
    <row r="56" s="2" customFormat="1" ht="25" customHeight="1" spans="1:22">
      <c r="A56" s="28"/>
      <c r="B56" s="28"/>
      <c r="C56" s="28"/>
      <c r="D56" s="29" t="s">
        <v>211</v>
      </c>
      <c r="E56" s="34"/>
      <c r="F56" s="28"/>
      <c r="G56" s="14"/>
      <c r="H56" s="28"/>
      <c r="I56" s="30">
        <f t="shared" ref="I56:N56" si="3">I54+I55</f>
        <v>460774267.381399</v>
      </c>
      <c r="J56" s="28"/>
      <c r="K56" s="30"/>
      <c r="L56" s="30">
        <f t="shared" si="3"/>
        <v>313417675.31778</v>
      </c>
      <c r="M56" s="30">
        <f t="shared" si="3"/>
        <v>26459323.596</v>
      </c>
      <c r="N56" s="31">
        <f t="shared" si="3"/>
        <v>130352448.555389</v>
      </c>
      <c r="O56" s="28"/>
      <c r="P56" s="28"/>
      <c r="Q56" s="28"/>
      <c r="R56" s="28"/>
      <c r="S56" s="28"/>
      <c r="T56" s="33"/>
      <c r="U56" s="30">
        <f>U54+U55</f>
        <v>1853045.54</v>
      </c>
      <c r="V56" s="31">
        <f>V54+V55</f>
        <v>12569388.390973</v>
      </c>
    </row>
    <row r="57" spans="1:22">
      <c r="T57" s="1"/>
    </row>
    <row r="59" spans="1:22">
      <c r="A59" s="35" t="s">
        <v>272</v>
      </c>
    </row>
    <row r="60" spans="1:22">
      <c r="A60" s="36" t="s">
        <v>273</v>
      </c>
    </row>
  </sheetData>
  <autoFilter xmlns:etc="http://www.wps.cn/officeDocument/2017/etCustomData" ref="A2:V56" etc:filterBottomFollowUsedRange="0">
    <filterColumn colId="1">
      <customFilters>
        <customFilter operator="equal" val=""/>
        <customFilter operator="equal" val="俄语组"/>
      </customFilters>
    </filterColumn>
    <sortState ref="A2:V56">
      <sortCondition ref="B2"/>
    </sortState>
    <extLst/>
  </autoFilter>
  <mergeCells count="1">
    <mergeCell ref="A1:V1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汇总表</vt:lpstr>
      <vt:lpstr>1组（陈子凡）</vt:lpstr>
      <vt:lpstr>2组（司斌）</vt:lpstr>
      <vt:lpstr>3组（王伟乐）</vt:lpstr>
      <vt:lpstr>5组（陈辉）</vt:lpstr>
      <vt:lpstr>6组（韩鸿彪）</vt:lpstr>
      <vt:lpstr>俄语组（崔阳）</vt:lpstr>
      <vt:lpstr>明细表1-业务完成指标</vt:lpstr>
      <vt:lpstr>明细表2-新增客户数量</vt:lpstr>
      <vt:lpstr>明细表3-销售成本指标 </vt:lpstr>
      <vt:lpstr>明细表4-回款进度指标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2025-09-22T02:34:00Z</dcterms:created>
  <dcterms:modified xsi:type="dcterms:W3CDTF">2026-09-12T00:12:30Z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DDE11387841F4367B153E61496A51A99_13</vt:lpwstr>
  </property>
  <property fmtid="{D5CDD505-2E9C-101B-9397-08002B2CF9AE}" pid="3" name="KSOProductBuildVer">
    <vt:lpwstr>2052-12.1.0.28488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