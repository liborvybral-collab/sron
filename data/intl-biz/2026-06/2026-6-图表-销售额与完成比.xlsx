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销售额" sheetId="1" r:id="rId1"/>
    <sheet name="完成比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<sst xmlns="http://schemas.openxmlformats.org/spreadsheetml/2006/main" count="82" uniqueCount="25">
  <si>
    <t xml:space="preserve">个人年度销售额排名 </t>
  </si>
  <si>
    <t>小组年度销售额排名</t>
  </si>
  <si>
    <t>业务小组</t>
  </si>
  <si>
    <t>业务员</t>
  </si>
  <si>
    <t>本财年
累计完成销售额</t>
  </si>
  <si>
    <t>全年目标</t>
  </si>
  <si>
    <t>完成率</t>
  </si>
  <si>
    <t>五组</t>
  </si>
  <si>
    <t>陈辉</t>
  </si>
  <si>
    <t>一组</t>
  </si>
  <si>
    <t>六组</t>
  </si>
  <si>
    <t>韩鸿彪</t>
  </si>
  <si>
    <t>陈子凡</t>
  </si>
  <si>
    <t>张硕</t>
  </si>
  <si>
    <t>三组</t>
  </si>
  <si>
    <t>王伟乐</t>
  </si>
  <si>
    <t>二组</t>
  </si>
  <si>
    <t>司斌</t>
  </si>
  <si>
    <t>俄语组</t>
  </si>
  <si>
    <t>王伟超</t>
  </si>
  <si>
    <t>苗恒</t>
  </si>
  <si>
    <t>尹韬越</t>
  </si>
  <si>
    <t>马鹏飞</t>
  </si>
  <si>
    <t>崔阳</t>
  </si>
  <si>
    <t>冯乐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</si>
</sst>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_ * #,##0.00_ ;_ * \-#,##0.00_ ;_ *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5" borderId="6">
      <alignment vertical="center"/>
    </xf>
    <xf numFmtId="0" fontId="14" fillId="6" borderId="7">
      <alignment vertical="center"/>
    </xf>
    <xf numFmtId="0" fontId="15" fillId="6" borderId="6">
      <alignment vertical="center"/>
    </xf>
    <xf numFmtId="0" fontId="16" fillId="7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/>
    </xf>
    <xf numFmtId="177" fontId="4" fillId="0" borderId="2" xfId="0" applyNumberFormat="1" applyFont="1" applyFill="1" applyBorder="1" applyAlignment="1" applyProtection="1">
      <alignment horizontal="left" vertical="center"/>
    </xf>
    <xf numFmtId="177" fontId="4" fillId="0" borderId="2" xfId="0" applyNumberFormat="1" applyFont="1" applyFill="1" applyBorder="1" applyAlignment="1" applyProtection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销售额!$A$3:$B$14</c:f>
              <c:multiLvlStrCache>
                <c:ptCount val="12"/>
                <c:lvl>
                  <c:pt idx="0">
                    <c:v>陈辉</c:v>
                  </c:pt>
                  <c:pt idx="1">
                    <c:v>韩鸿彪</c:v>
                  </c:pt>
                  <c:pt idx="2">
                    <c:v>陈子凡</c:v>
                  </c:pt>
                  <c:pt idx="3">
                    <c:v>张硕</c:v>
                  </c:pt>
                  <c:pt idx="4">
                    <c:v>王伟乐</c:v>
                  </c:pt>
                  <c:pt idx="5">
                    <c:v>司斌</c:v>
                  </c:pt>
                  <c:pt idx="6">
                    <c:v>王伟超</c:v>
                  </c:pt>
                  <c:pt idx="7">
                    <c:v>苗恒</c:v>
                  </c:pt>
                  <c:pt idx="8">
                    <c:v>尹韬越</c:v>
                  </c:pt>
                  <c:pt idx="9">
                    <c:v>马鹏飞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五组</c:v>
                  </c:pt>
                  <c:pt idx="1">
                    <c:v>六组</c:v>
                  </c:pt>
                  <c:pt idx="2">
                    <c:v>一组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二组</c:v>
                  </c:pt>
                  <c:pt idx="6">
                    <c:v>二组</c:v>
                  </c:pt>
                  <c:pt idx="7">
                    <c:v>六组</c:v>
                  </c:pt>
                  <c:pt idx="8">
                    <c:v>俄语组</c:v>
                  </c:pt>
                  <c:pt idx="9">
                    <c:v>三组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销售额!$C$3:$C$14</c:f>
              <c:numCache>
                <c:formatCode>0.00_ </c:formatCode>
                <c:ptCount val="12"/>
                <c:pt idx="0">
                  <c:v>1212.5</c:v>
                </c:pt>
                <c:pt idx="1">
                  <c:v>1150.53</c:v>
                </c:pt>
                <c:pt idx="2" c:formatCode="_ * #,##0.00_ ;_ * \-#,##0.00_ ;_ * ">
                  <c:v>825</c:v>
                </c:pt>
                <c:pt idx="3" c:formatCode="_ * #,##0.00_ ;_ * \-#,##0.00_ ;_ * ">
                  <c:v>531.09</c:v>
                </c:pt>
                <c:pt idx="4">
                  <c:v>6.68</c:v>
                </c:pt>
                <c:pt idx="5">
                  <c:v>1.14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销售额!$F$3:$F$8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销售额!$G$3:$G$8</c:f>
              <c:numCache>
                <c:formatCode>0.00_ </c:formatCode>
                <c:ptCount val="6"/>
                <c:pt idx="0">
                  <c:v>1356.09</c:v>
                </c:pt>
                <c:pt idx="1">
                  <c:v>1212.5</c:v>
                </c:pt>
                <c:pt idx="2">
                  <c:v>1150.53</c:v>
                </c:pt>
                <c:pt idx="3">
                  <c:v>6.68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完成比!$E$1:$E$2</c:f>
              <c:strCache>
                <c:ptCount val="1"/>
                <c:pt idx="0">
                  <c:v>个人年度销售额排名  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王伟乐</c:v>
                  </c:pt>
                  <c:pt idx="5">
                    <c:v>司斌</c:v>
                  </c:pt>
                  <c:pt idx="6">
                    <c:v>王伟超</c:v>
                  </c:pt>
                  <c:pt idx="7">
                    <c:v>苗恒</c:v>
                  </c:pt>
                  <c:pt idx="8">
                    <c:v>尹韬越</c:v>
                  </c:pt>
                  <c:pt idx="9">
                    <c:v>马鹏飞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二组</c:v>
                  </c:pt>
                  <c:pt idx="6">
                    <c:v>二组</c:v>
                  </c:pt>
                  <c:pt idx="7">
                    <c:v>六组</c:v>
                  </c:pt>
                  <c:pt idx="8">
                    <c:v>俄语组</c:v>
                  </c:pt>
                  <c:pt idx="9">
                    <c:v>三组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完成比!$E$3:$E$13</c:f>
              <c:numCache>
                <c:formatCode>0.00%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0.0833333333333333</c:v>
                </c:pt>
                <c:pt idx="4">
                  <c:v>0.00202424242424242</c:v>
                </c:pt>
                <c:pt idx="5">
                  <c:v>0.000345454545454545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完成比!$C$1:$C$2</c15:sqref>
                        </c15:formulaRef>
                      </c:ext>
                    </c:extLst>
                    <c:strCache>
                      <c:ptCount val="1"/>
                      <c:pt idx="0">
                        <c:v>个人年度销售额排名  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王伟乐</c:v>
                        </c:pt>
                        <c:pt idx="5">
                          <c:v>司斌</c:v>
                        </c:pt>
                        <c:pt idx="6">
                          <c:v>王伟超</c:v>
                        </c:pt>
                        <c:pt idx="7">
                          <c:v>苗恒</c:v>
                        </c:pt>
                        <c:pt idx="8">
                          <c:v>尹韬越</c:v>
                        </c:pt>
                        <c:pt idx="9">
                          <c:v>马鹏飞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二组</c:v>
                        </c:pt>
                        <c:pt idx="6">
                          <c:v>二组</c:v>
                        </c:pt>
                        <c:pt idx="7">
                          <c:v>六组</c:v>
                        </c:pt>
                        <c:pt idx="8">
                          <c:v>俄语组</c:v>
                        </c:pt>
                        <c:pt idx="9">
                          <c:v>三组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完成比!$C$3:$C$13</c15:sqref>
                        </c15:formulaRef>
                      </c:ext>
                    </c:extLst>
                    <c:numCache>
                      <c:formatCode>0.00_ </c:formatCode>
                      <c:ptCount val="11"/>
                      <c:pt idx="0">
                        <c:v>1212.5</c:v>
                      </c:pt>
                      <c:pt idx="1" c:formatCode="_ * #,##0.00_ ;_ * \-#,##0.00_ ;_ * ">
                        <c:v>531.09</c:v>
                      </c:pt>
                      <c:pt idx="2">
                        <c:v>1150.53</c:v>
                      </c:pt>
                      <c:pt idx="3" c:formatCode="_ * #,##0.00_ ;_ * \-#,##0.00_ ;_ * ">
                        <c:v>825</c:v>
                      </c:pt>
                      <c:pt idx="4">
                        <c:v>6.68</c:v>
                      </c:pt>
                      <c:pt idx="5">
                        <c:v>1.14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完成比!$D$1:$D$2</c15:sqref>
                        </c15:formulaRef>
                      </c:ext>
                    </c:extLst>
                    <c:strCache>
                      <c:ptCount val="1"/>
                      <c:pt idx="0">
                        <c:v>个人年度销售额排名  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王伟乐</c:v>
                        </c:pt>
                        <c:pt idx="5">
                          <c:v>司斌</c:v>
                        </c:pt>
                        <c:pt idx="6">
                          <c:v>王伟超</c:v>
                        </c:pt>
                        <c:pt idx="7">
                          <c:v>苗恒</c:v>
                        </c:pt>
                        <c:pt idx="8">
                          <c:v>尹韬越</c:v>
                        </c:pt>
                        <c:pt idx="9">
                          <c:v>马鹏飞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二组</c:v>
                        </c:pt>
                        <c:pt idx="6">
                          <c:v>二组</c:v>
                        </c:pt>
                        <c:pt idx="7">
                          <c:v>六组</c:v>
                        </c:pt>
                        <c:pt idx="8">
                          <c:v>俄语组</c:v>
                        </c:pt>
                        <c:pt idx="9">
                          <c:v>三组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完成比!$D$3:$D$13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3300</c:v>
                      </c:pt>
                      <c:pt idx="5">
                        <c:v>3300</c:v>
                      </c:pt>
                      <c:pt idx="6">
                        <c:v>2200</c:v>
                      </c:pt>
                      <c:pt idx="7">
                        <c:v>2200</c:v>
                      </c:pt>
                      <c:pt idx="8">
                        <c:v>1650</c:v>
                      </c:pt>
                      <c:pt idx="9">
                        <c:v>2200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完成比!$I$3:$I$8</c:f>
              <c:numCache>
                <c:formatCode>0.00%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0.11741038961039</c:v>
                </c:pt>
                <c:pt idx="3">
                  <c:v>0.00121454545454545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完成比!$G$3:$G$8</c15:sqref>
                        </c15:formulaRef>
                      </c:ext>
                    </c:extLst>
                    <c:numCache>
                      <c:formatCode>0.00_ 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1356.09</c:v>
                      </c:pt>
                      <c:pt idx="3">
                        <c:v>6.68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完成比!$H$3:$H$8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204470</xdr:colOff>
      <xdr:row>19</xdr:row>
      <xdr:rowOff>12065</xdr:rowOff>
    </xdr:from>
    <xdr:to>
      <xdr:col>5</xdr:col>
      <xdr:colOff>311150</xdr:colOff>
      <xdr:row>27</xdr:row>
      <xdr:rowOff>139065</xdr:rowOff>
    </xdr:to>
    <xdr:graphicFrame>
      <xdr:nvGraphicFramePr>
        <xdr:cNvPr id="3" name="图表 2"/>
        <xdr:cNvGraphicFramePr/>
      </xdr:nvGraphicFramePr>
      <xdr:xfrm>
        <a:off x="204470" y="7314565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482600</xdr:colOff>
      <xdr:row>19</xdr:row>
      <xdr:rowOff>0</xdr:rowOff>
    </xdr:from>
    <xdr:to>
      <xdr:col>9</xdr:col>
      <xdr:colOff>370840</xdr:colOff>
      <xdr:row>27</xdr:row>
      <xdr:rowOff>139065</xdr:rowOff>
    </xdr:to>
    <xdr:graphicFrame>
      <xdr:nvGraphicFramePr>
        <xdr:cNvPr id="4" name="图表 3"/>
        <xdr:cNvGraphicFramePr/>
      </xdr:nvGraphicFramePr>
      <xdr:xfrm>
        <a:off x="6903085" y="7302500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16</xdr:row>
      <xdr:rowOff>146050</xdr:rowOff>
    </xdr:from>
    <xdr:to>
      <xdr:col>5</xdr:col>
      <xdr:colOff>552450</xdr:colOff>
      <xdr:row>24</xdr:row>
      <xdr:rowOff>342900</xdr:rowOff>
    </xdr:to>
    <xdr:graphicFrame>
      <xdr:nvGraphicFramePr>
        <xdr:cNvPr id="2" name="图表 1"/>
        <xdr:cNvGraphicFramePr/>
      </xdr:nvGraphicFramePr>
      <xdr:xfrm>
        <a:off x="50800" y="6838950"/>
        <a:ext cx="616013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914400</xdr:colOff>
      <xdr:row>16</xdr:row>
      <xdr:rowOff>127000</xdr:rowOff>
    </xdr:from>
    <xdr:to>
      <xdr:col>9</xdr:col>
      <xdr:colOff>954405</xdr:colOff>
      <xdr:row>24</xdr:row>
      <xdr:rowOff>348615</xdr:rowOff>
    </xdr:to>
    <xdr:graphicFrame>
      <xdr:nvGraphicFramePr>
        <xdr:cNvPr id="3" name="图表 2"/>
        <xdr:cNvGraphicFramePr/>
      </xdr:nvGraphicFramePr>
      <xdr:xfrm>
        <a:off x="6572885" y="681990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&#23454;&#33635;&#24037;&#20316;-&#26472;&#36229;\2&#12289;&#26376;&#25253;\1&#12289;&#22269;&#38469;&#19994;&#21153;&#37096;&#26376;&#25253;\2026-6\2026-2 &#22269;&#38469;&#19994;&#21153;&#37096;&#26376;&#25253;-&#246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1组（陈子凡）"/>
      <sheetName val="2组（司斌）"/>
      <sheetName val="3组（王伟乐）"/>
      <sheetName val="5组（陈辉）"/>
      <sheetName val="6组（韩鸿彪）"/>
      <sheetName val="俄语组（崔阳）"/>
      <sheetName val="明细表1-业务完成指标 "/>
      <sheetName val="明细表2-新增客户数量 "/>
      <sheetName val="明细表3-销售成本指标"/>
      <sheetName val="明细表4-回款进度指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销售工程师</v>
          </cell>
          <cell r="C2" t="str">
            <v>年度一级指标</v>
          </cell>
        </row>
        <row r="3">
          <cell r="B3" t="str">
            <v>陈子凡</v>
          </cell>
          <cell r="C3">
            <v>9900</v>
          </cell>
        </row>
        <row r="4">
          <cell r="B4" t="str">
            <v>张硕</v>
          </cell>
          <cell r="C4">
            <v>1650</v>
          </cell>
        </row>
        <row r="5">
          <cell r="B5" t="str">
            <v>司斌</v>
          </cell>
          <cell r="C5">
            <v>3300</v>
          </cell>
        </row>
        <row r="6">
          <cell r="B6" t="str">
            <v>王伟超</v>
          </cell>
          <cell r="C6">
            <v>2200</v>
          </cell>
        </row>
        <row r="7">
          <cell r="B7" t="str">
            <v>王伟乐</v>
          </cell>
          <cell r="C7">
            <v>3300</v>
          </cell>
        </row>
        <row r="8">
          <cell r="B8" t="str">
            <v>马鹏飞</v>
          </cell>
          <cell r="C8">
            <v>2200</v>
          </cell>
        </row>
        <row r="9">
          <cell r="B9" t="str">
            <v>陈辉</v>
          </cell>
          <cell r="C9">
            <v>3300</v>
          </cell>
        </row>
        <row r="10">
          <cell r="B10" t="str">
            <v>韩鸿彪</v>
          </cell>
          <cell r="C10">
            <v>4400</v>
          </cell>
        </row>
        <row r="11">
          <cell r="B11" t="str">
            <v>苗恒</v>
          </cell>
          <cell r="C11">
            <v>2200</v>
          </cell>
        </row>
        <row r="12">
          <cell r="B12" t="str">
            <v>崔阳</v>
          </cell>
          <cell r="C12">
            <v>5500</v>
          </cell>
        </row>
        <row r="13">
          <cell r="B13" t="str">
            <v>尹韬越</v>
          </cell>
          <cell r="C13">
            <v>1650</v>
          </cell>
        </row>
        <row r="14">
          <cell r="C14">
            <v>39600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topLeftCell="A13" workbookViewId="0">
      <selection activeCell="G12" sqref="G12"/>
    </sheetView>
  </sheetViews>
  <sheetFormatPr defaultColWidth="20.1272727272727" defaultRowHeight="30" customHeight="1"/>
  <cols>
    <col min="1" max="1" width="10.7545454545455" style="1" customWidth="1"/>
    <col min="2" max="2" width="12.0909090909091" style="1" customWidth="1"/>
    <col min="3" max="3" width="28.8181818181818" style="1" customWidth="1"/>
    <col min="4" max="4" width="20.1272727272727" style="1" customWidth="1"/>
    <col min="5" max="16373" width="20.1272727272727" style="1"/>
    <col min="16374" max="16384" width="20.1272727272727" style="2"/>
  </cols>
  <sheetData>
    <row r="1" s="1" customFormat="1" ht="26" customHeight="1" spans="1:9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</row>
    <row r="2" s="1" customFormat="1" ht="39" customHeight="1" spans="1:9">
      <c r="A2" s="5" t="s">
        <v>2</v>
      </c>
      <c r="B2" s="5" t="s">
        <v>3</v>
      </c>
      <c r="C2" s="3" t="s">
        <v>4</v>
      </c>
      <c r="D2" s="3" t="s">
        <v>5</v>
      </c>
      <c r="E2" s="3" t="s">
        <v>6</v>
      </c>
      <c r="F2" s="6" t="s">
        <v>2</v>
      </c>
      <c r="G2" s="4" t="s">
        <v>4</v>
      </c>
      <c r="H2" s="4" t="s">
        <v>5</v>
      </c>
      <c r="I2" s="4" t="s">
        <v>6</v>
      </c>
    </row>
    <row r="3" s="1" customFormat="1" customHeight="1" spans="1:9">
      <c r="A3" s="7" t="s">
        <v>7</v>
      </c>
      <c r="B3" s="7" t="s">
        <v>8</v>
      </c>
      <c r="C3" s="8">
        <v>1212.5</v>
      </c>
      <c r="D3" s="1">
        <f>VLOOKUP(B3,'[1]明细表1-业务完成指标 '!$B:$C,2,FALSE)</f>
        <v>3300</v>
      </c>
      <c r="E3" s="9">
        <f>C3/D3</f>
        <v>0.367424242424242</v>
      </c>
      <c r="F3" s="7" t="s">
        <v>9</v>
      </c>
      <c r="G3" s="8">
        <f>SUMIFS(C:C,A:A,F3)</f>
        <v>1356.09</v>
      </c>
      <c r="H3" s="1">
        <f>SUMIFS(D:D,A:A,F3)</f>
        <v>11550</v>
      </c>
      <c r="I3" s="9">
        <f>G3/H3</f>
        <v>0.11741038961039</v>
      </c>
    </row>
    <row r="4" s="1" customFormat="1" customHeight="1" spans="1:9">
      <c r="A4" s="7" t="s">
        <v>10</v>
      </c>
      <c r="B4" s="7" t="s">
        <v>11</v>
      </c>
      <c r="C4" s="8">
        <v>1150.53</v>
      </c>
      <c r="D4" s="1">
        <f>VLOOKUP(B4,'[1]明细表1-业务完成指标 '!$B:$C,2,FALSE)</f>
        <v>4400</v>
      </c>
      <c r="E4" s="9">
        <f>C4/D4</f>
        <v>0.261484090909091</v>
      </c>
      <c r="F4" s="7" t="s">
        <v>7</v>
      </c>
      <c r="G4" s="8">
        <f>SUMIFS(C:C,A:A,F4)</f>
        <v>1212.5</v>
      </c>
      <c r="H4" s="1">
        <f>SUMIFS(D:D,A:A,F4)</f>
        <v>4140</v>
      </c>
      <c r="I4" s="9">
        <f>G4/H4</f>
        <v>0.292874396135266</v>
      </c>
    </row>
    <row r="5" s="1" customFormat="1" customHeight="1" spans="1:9">
      <c r="A5" s="7" t="s">
        <v>9</v>
      </c>
      <c r="B5" s="7" t="s">
        <v>12</v>
      </c>
      <c r="C5" s="11">
        <v>825</v>
      </c>
      <c r="D5" s="1">
        <f>VLOOKUP(B5,'[1]明细表1-业务完成指标 '!$B:$C,2,FALSE)</f>
        <v>9900</v>
      </c>
      <c r="E5" s="9">
        <f>C5/D5</f>
        <v>0.0833333333333333</v>
      </c>
      <c r="F5" s="7" t="s">
        <v>10</v>
      </c>
      <c r="G5" s="8">
        <f>SUMIFS(C:C,A:A,F5)</f>
        <v>1150.53</v>
      </c>
      <c r="H5" s="1">
        <f>SUMIFS(D:D,A:A,F5)</f>
        <v>6600</v>
      </c>
      <c r="I5" s="9">
        <f>G5/H5</f>
        <v>0.174322727272727</v>
      </c>
    </row>
    <row r="6" s="1" customFormat="1" customHeight="1" spans="1:9">
      <c r="A6" s="7" t="s">
        <v>9</v>
      </c>
      <c r="B6" s="7" t="s">
        <v>13</v>
      </c>
      <c r="C6" s="10">
        <v>531.09</v>
      </c>
      <c r="D6" s="1">
        <f>VLOOKUP(B6,'[1]明细表1-业务完成指标 '!$B:$C,2,FALSE)</f>
        <v>1650</v>
      </c>
      <c r="E6" s="9">
        <f>C6/D6</f>
        <v>0.321872727272727</v>
      </c>
      <c r="F6" s="7" t="s">
        <v>14</v>
      </c>
      <c r="G6" s="8">
        <f>SUMIFS(C:C,A:A,F6)</f>
        <v>6.68</v>
      </c>
      <c r="H6" s="1">
        <f>SUMIFS(D:D,A:A,F6)</f>
        <v>5500</v>
      </c>
      <c r="I6" s="9">
        <f>G6/H6</f>
        <v>0.00121454545454545</v>
      </c>
    </row>
    <row r="7" s="1" customFormat="1" customHeight="1" spans="1:9">
      <c r="A7" s="7" t="s">
        <v>14</v>
      </c>
      <c r="B7" s="7" t="s">
        <v>15</v>
      </c>
      <c r="C7" s="8">
        <v>6.68</v>
      </c>
      <c r="D7" s="1">
        <f>VLOOKUP(B7,'[1]明细表1-业务完成指标 '!$B:$C,2,FALSE)</f>
        <v>3300</v>
      </c>
      <c r="E7" s="9">
        <f t="shared" ref="E7:E15" si="0">C7/D7</f>
        <v>0.00202424242424242</v>
      </c>
      <c r="F7" s="7" t="s">
        <v>16</v>
      </c>
      <c r="G7" s="8">
        <f>SUMIFS(C:C,A:A,F7)</f>
        <v>1.14</v>
      </c>
      <c r="H7" s="1">
        <f>SUMIFS(D:D,A:A,F7)</f>
        <v>5500</v>
      </c>
      <c r="I7" s="9">
        <f>G7/H7</f>
        <v>0.000207272727272727</v>
      </c>
    </row>
    <row r="8" s="1" customFormat="1" customHeight="1" spans="1:9">
      <c r="A8" s="7" t="s">
        <v>16</v>
      </c>
      <c r="B8" s="7" t="s">
        <v>17</v>
      </c>
      <c r="C8" s="8">
        <v>1.14</v>
      </c>
      <c r="D8" s="1">
        <f>VLOOKUP(B8,'[1]明细表1-业务完成指标 '!$B:$C,2,FALSE)</f>
        <v>3300</v>
      </c>
      <c r="E8" s="9">
        <f t="shared" si="0"/>
        <v>0.000345454545454545</v>
      </c>
      <c r="F8" s="7" t="s">
        <v>18</v>
      </c>
      <c r="G8" s="8">
        <f>SUMIFS(C:C,A:A,F8)</f>
        <v>0</v>
      </c>
      <c r="H8" s="1">
        <f>SUMIFS(D:D,A:A,F8)</f>
        <v>7150</v>
      </c>
      <c r="I8" s="9">
        <f>G8/H8</f>
        <v>0</v>
      </c>
    </row>
    <row r="9" s="1" customFormat="1" customHeight="1" spans="1:9">
      <c r="A9" s="7" t="s">
        <v>16</v>
      </c>
      <c r="B9" s="7" t="s">
        <v>19</v>
      </c>
      <c r="C9" s="8">
        <v>0</v>
      </c>
      <c r="D9" s="1">
        <f>VLOOKUP(B9,'[1]明细表1-业务完成指标 '!$B:$C,2,FALSE)</f>
        <v>2200</v>
      </c>
      <c r="E9" s="9">
        <f t="shared" si="0"/>
        <v>0</v>
      </c>
      <c r="F9" s="7"/>
      <c r="G9" s="8">
        <f>SUM(G3:G8)</f>
        <v>3726.94</v>
      </c>
    </row>
    <row r="10" s="1" customFormat="1" customHeight="1" spans="1:9">
      <c r="A10" s="7" t="s">
        <v>10</v>
      </c>
      <c r="B10" s="7" t="s">
        <v>20</v>
      </c>
      <c r="C10" s="8">
        <v>0</v>
      </c>
      <c r="D10" s="1">
        <f>VLOOKUP(B10,'[1]明细表1-业务完成指标 '!$B:$C,2,FALSE)</f>
        <v>2200</v>
      </c>
      <c r="E10" s="9">
        <f t="shared" si="0"/>
        <v>0</v>
      </c>
    </row>
    <row r="11" s="1" customFormat="1" customHeight="1" spans="1:9">
      <c r="A11" s="7" t="s">
        <v>18</v>
      </c>
      <c r="B11" s="7" t="s">
        <v>21</v>
      </c>
      <c r="C11" s="8">
        <v>0</v>
      </c>
      <c r="D11" s="1">
        <f>VLOOKUP(B11,'[1]明细表1-业务完成指标 '!$B:$C,2,FALSE)</f>
        <v>1650</v>
      </c>
      <c r="E11" s="9">
        <f t="shared" si="0"/>
        <v>0</v>
      </c>
    </row>
    <row r="12" s="1" customFormat="1" customHeight="1" spans="1:9">
      <c r="A12" s="7" t="s">
        <v>14</v>
      </c>
      <c r="B12" s="7" t="s">
        <v>22</v>
      </c>
      <c r="C12" s="8">
        <v>0</v>
      </c>
      <c r="D12" s="1">
        <f>VLOOKUP(B12,'[1]明细表1-业务完成指标 '!$B:$C,2,FALSE)</f>
        <v>2200</v>
      </c>
      <c r="E12" s="9">
        <f t="shared" si="0"/>
        <v>0</v>
      </c>
    </row>
    <row r="13" s="1" customFormat="1" customHeight="1" spans="1:9">
      <c r="A13" s="7" t="s">
        <v>18</v>
      </c>
      <c r="B13" s="7" t="s">
        <v>23</v>
      </c>
      <c r="C13" s="8">
        <v>0</v>
      </c>
      <c r="D13" s="1">
        <f>VLOOKUP(B13,'[1]明细表1-业务完成指标 '!$B:$C,2,FALSE)</f>
        <v>5500</v>
      </c>
      <c r="E13" s="9">
        <f t="shared" si="0"/>
        <v>0</v>
      </c>
      <c r="F13" s="7"/>
      <c r="G13" s="7"/>
    </row>
    <row r="14" s="1" customFormat="1" customHeight="1" spans="1:9">
      <c r="A14" s="7" t="s">
        <v>7</v>
      </c>
      <c r="B14" s="7" t="s">
        <v>24</v>
      </c>
      <c r="C14" s="8">
        <v>0</v>
      </c>
      <c r="D14" s="1">
        <v>840</v>
      </c>
      <c r="E14" s="9">
        <f t="shared" si="0"/>
        <v>0</v>
      </c>
      <c r="F14" s="7"/>
      <c r="G14" s="7"/>
      <c r="H14" s="8"/>
    </row>
    <row r="15" s="1" customFormat="1" customHeight="1" spans="1:9">
      <c r="C15" s="8">
        <f>SUM(C3:C14)</f>
        <v>3726.94</v>
      </c>
      <c r="D15" s="8">
        <f>SUM(D3:D14)</f>
        <v>40440</v>
      </c>
      <c r="E15" s="9">
        <f>C15/D15</f>
        <v>0.0921597428288823</v>
      </c>
      <c r="F15" s="7"/>
      <c r="G15" s="7"/>
      <c r="H15" s="8"/>
    </row>
    <row r="16" s="1" customFormat="1" customHeight="1" spans="1:9">
      <c r="F16" s="7"/>
      <c r="G16" s="7"/>
    </row>
    <row r="17" s="1" customFormat="1" customHeight="1" spans="3:8">
      <c r="F17" s="7"/>
      <c r="G17" s="7"/>
      <c r="H17" s="8"/>
    </row>
    <row r="20" s="1" customFormat="1" customHeight="1" spans="3:8">
      <c r="C20" s="12"/>
    </row>
  </sheetData>
  <sortState ref="F3:H16">
    <sortCondition ref="G3" descending="1"/>
  </sortState>
  <mergeCells count="2">
    <mergeCell ref="A1:E1"/>
    <mergeCell ref="F1:I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topLeftCell="A10" workbookViewId="0">
      <selection activeCell="K19" sqref="K19"/>
    </sheetView>
  </sheetViews>
  <sheetFormatPr defaultColWidth="20.1272727272727" defaultRowHeight="30" customHeight="1"/>
  <cols>
    <col min="1" max="1" width="10.7545454545455" style="1" customWidth="1"/>
    <col min="2" max="2" width="12.0909090909091" style="1" customWidth="1"/>
    <col min="3" max="3" width="17.9090909090909" style="1" customWidth="1"/>
    <col min="4" max="4" width="20.1272727272727" style="1" customWidth="1"/>
    <col min="5" max="16372" width="20.1272727272727" style="1"/>
    <col min="16373" max="16384" width="20.1272727272727" style="2"/>
  </cols>
  <sheetData>
    <row r="1" s="1" customFormat="1" ht="27" customHeight="1" spans="1:9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</row>
    <row r="2" s="1" customFormat="1" ht="27" customHeight="1" spans="1:9">
      <c r="A2" s="5" t="s">
        <v>2</v>
      </c>
      <c r="B2" s="5" t="s">
        <v>3</v>
      </c>
      <c r="C2" s="3" t="s">
        <v>4</v>
      </c>
      <c r="D2" s="3" t="s">
        <v>5</v>
      </c>
      <c r="E2" s="3" t="s">
        <v>6</v>
      </c>
      <c r="F2" s="6" t="s">
        <v>2</v>
      </c>
      <c r="G2" s="4" t="s">
        <v>4</v>
      </c>
      <c r="H2" s="4" t="s">
        <v>5</v>
      </c>
      <c r="I2" s="4" t="s">
        <v>6</v>
      </c>
    </row>
    <row r="3" s="1" customFormat="1" ht="42" customHeight="1" spans="1:9">
      <c r="A3" s="7" t="s">
        <v>7</v>
      </c>
      <c r="B3" s="7" t="s">
        <v>8</v>
      </c>
      <c r="C3" s="8">
        <v>1212.5</v>
      </c>
      <c r="D3" s="1">
        <f>VLOOKUP(B3,'[1]明细表1-业务完成指标 '!$B:$C,2,FALSE)</f>
        <v>3300</v>
      </c>
      <c r="E3" s="9">
        <f t="shared" ref="E3:E15" si="0">C3/D3</f>
        <v>0.367424242424242</v>
      </c>
      <c r="F3" s="7" t="s">
        <v>7</v>
      </c>
      <c r="G3" s="8">
        <f t="shared" ref="G3:G8" si="1">SUMIFS(C:C,A:A,F3)</f>
        <v>1212.5</v>
      </c>
      <c r="H3" s="1">
        <f t="shared" ref="H3:H8" si="2">SUMIFS(D:D,A:A,F3)</f>
        <v>4140</v>
      </c>
      <c r="I3" s="9">
        <f t="shared" ref="I3:I8" si="3">G3/H3</f>
        <v>0.292874396135266</v>
      </c>
    </row>
    <row r="4" s="1" customFormat="1" ht="42" customHeight="1" spans="1:9">
      <c r="A4" s="7" t="s">
        <v>9</v>
      </c>
      <c r="B4" s="7" t="s">
        <v>13</v>
      </c>
      <c r="C4" s="10">
        <v>531.09</v>
      </c>
      <c r="D4" s="1">
        <f>VLOOKUP(B4,'[1]明细表1-业务完成指标 '!$B:$C,2,FALSE)</f>
        <v>1650</v>
      </c>
      <c r="E4" s="9">
        <f t="shared" si="0"/>
        <v>0.321872727272727</v>
      </c>
      <c r="F4" s="7" t="s">
        <v>10</v>
      </c>
      <c r="G4" s="8">
        <f t="shared" si="1"/>
        <v>1150.53</v>
      </c>
      <c r="H4" s="1">
        <f t="shared" si="2"/>
        <v>6600</v>
      </c>
      <c r="I4" s="9">
        <f t="shared" si="3"/>
        <v>0.174322727272727</v>
      </c>
    </row>
    <row r="5" s="1" customFormat="1" ht="42" customHeight="1" spans="1:9">
      <c r="A5" s="7" t="s">
        <v>10</v>
      </c>
      <c r="B5" s="7" t="s">
        <v>11</v>
      </c>
      <c r="C5" s="8">
        <v>1150.53</v>
      </c>
      <c r="D5" s="1">
        <f>VLOOKUP(B5,'[1]明细表1-业务完成指标 '!$B:$C,2,FALSE)</f>
        <v>4400</v>
      </c>
      <c r="E5" s="9">
        <f t="shared" si="0"/>
        <v>0.261484090909091</v>
      </c>
      <c r="F5" s="7" t="s">
        <v>9</v>
      </c>
      <c r="G5" s="8">
        <f t="shared" si="1"/>
        <v>1356.09</v>
      </c>
      <c r="H5" s="1">
        <f t="shared" si="2"/>
        <v>11550</v>
      </c>
      <c r="I5" s="9">
        <f t="shared" si="3"/>
        <v>0.11741038961039</v>
      </c>
    </row>
    <row r="6" s="1" customFormat="1" ht="42" customHeight="1" spans="1:9">
      <c r="A6" s="7" t="s">
        <v>9</v>
      </c>
      <c r="B6" s="7" t="s">
        <v>12</v>
      </c>
      <c r="C6" s="11">
        <v>825</v>
      </c>
      <c r="D6" s="1">
        <f>VLOOKUP(B6,'[1]明细表1-业务完成指标 '!$B:$C,2,FALSE)</f>
        <v>9900</v>
      </c>
      <c r="E6" s="9">
        <f t="shared" si="0"/>
        <v>0.0833333333333333</v>
      </c>
      <c r="F6" s="7" t="s">
        <v>14</v>
      </c>
      <c r="G6" s="8">
        <f t="shared" si="1"/>
        <v>6.68</v>
      </c>
      <c r="H6" s="1">
        <f t="shared" si="2"/>
        <v>5500</v>
      </c>
      <c r="I6" s="9">
        <f t="shared" si="3"/>
        <v>0.00121454545454545</v>
      </c>
    </row>
    <row r="7" s="1" customFormat="1" customHeight="1" spans="1:9">
      <c r="A7" s="7" t="s">
        <v>14</v>
      </c>
      <c r="B7" s="7" t="s">
        <v>15</v>
      </c>
      <c r="C7" s="8">
        <v>6.68</v>
      </c>
      <c r="D7" s="1">
        <f>VLOOKUP(B7,'[1]明细表1-业务完成指标 '!$B:$C,2,FALSE)</f>
        <v>3300</v>
      </c>
      <c r="E7" s="9">
        <f t="shared" si="0"/>
        <v>0.00202424242424242</v>
      </c>
      <c r="F7" s="7" t="s">
        <v>16</v>
      </c>
      <c r="G7" s="8">
        <f t="shared" si="1"/>
        <v>1.14</v>
      </c>
      <c r="H7" s="1">
        <f t="shared" si="2"/>
        <v>5500</v>
      </c>
      <c r="I7" s="9">
        <f t="shared" si="3"/>
        <v>0.000207272727272727</v>
      </c>
    </row>
    <row r="8" s="1" customFormat="1" ht="35" customHeight="1" spans="1:9">
      <c r="A8" s="7" t="s">
        <v>16</v>
      </c>
      <c r="B8" s="7" t="s">
        <v>17</v>
      </c>
      <c r="C8" s="8">
        <v>1.14</v>
      </c>
      <c r="D8" s="1">
        <f>VLOOKUP(B8,'[1]明细表1-业务完成指标 '!$B:$C,2,FALSE)</f>
        <v>3300</v>
      </c>
      <c r="E8" s="9">
        <f t="shared" si="0"/>
        <v>0.000345454545454545</v>
      </c>
      <c r="F8" s="7" t="s">
        <v>18</v>
      </c>
      <c r="G8" s="8">
        <f t="shared" si="1"/>
        <v>0</v>
      </c>
      <c r="H8" s="1">
        <f t="shared" si="2"/>
        <v>7150</v>
      </c>
      <c r="I8" s="9">
        <f t="shared" si="3"/>
        <v>0</v>
      </c>
    </row>
    <row r="9" s="1" customFormat="1" customHeight="1" spans="1:9">
      <c r="A9" s="7" t="s">
        <v>16</v>
      </c>
      <c r="B9" s="7" t="s">
        <v>19</v>
      </c>
      <c r="C9" s="8">
        <v>0</v>
      </c>
      <c r="D9" s="1">
        <f>VLOOKUP(B9,'[1]明细表1-业务完成指标 '!$B:$C,2,FALSE)</f>
        <v>2200</v>
      </c>
      <c r="E9" s="9">
        <f t="shared" si="0"/>
        <v>0</v>
      </c>
      <c r="F9" s="7"/>
      <c r="G9" s="8">
        <f>SUM(G3:G8)</f>
        <v>3726.94</v>
      </c>
    </row>
    <row r="10" s="1" customFormat="1" customHeight="1" spans="1:9">
      <c r="A10" s="7" t="s">
        <v>10</v>
      </c>
      <c r="B10" s="7" t="s">
        <v>20</v>
      </c>
      <c r="C10" s="8">
        <v>0</v>
      </c>
      <c r="D10" s="1">
        <f>VLOOKUP(B10,'[1]明细表1-业务完成指标 '!$B:$C,2,FALSE)</f>
        <v>2200</v>
      </c>
      <c r="E10" s="9">
        <f t="shared" si="0"/>
        <v>0</v>
      </c>
    </row>
    <row r="11" s="1" customFormat="1" customHeight="1" spans="1:9">
      <c r="A11" s="7" t="s">
        <v>18</v>
      </c>
      <c r="B11" s="7" t="s">
        <v>21</v>
      </c>
      <c r="C11" s="8">
        <v>0</v>
      </c>
      <c r="D11" s="1">
        <f>VLOOKUP(B11,'[1]明细表1-业务完成指标 '!$B:$C,2,FALSE)</f>
        <v>1650</v>
      </c>
      <c r="E11" s="9">
        <f t="shared" si="0"/>
        <v>0</v>
      </c>
    </row>
    <row r="12" s="1" customFormat="1" customHeight="1" spans="1:9">
      <c r="A12" s="7" t="s">
        <v>14</v>
      </c>
      <c r="B12" s="7" t="s">
        <v>22</v>
      </c>
      <c r="C12" s="8">
        <v>0</v>
      </c>
      <c r="D12" s="1">
        <f>VLOOKUP(B12,'[1]明细表1-业务完成指标 '!$B:$C,2,FALSE)</f>
        <v>2200</v>
      </c>
      <c r="E12" s="9">
        <f t="shared" si="0"/>
        <v>0</v>
      </c>
    </row>
    <row r="13" s="1" customFormat="1" customHeight="1" spans="1:9">
      <c r="A13" s="7" t="s">
        <v>18</v>
      </c>
      <c r="B13" s="7" t="s">
        <v>23</v>
      </c>
      <c r="C13" s="8">
        <v>0</v>
      </c>
      <c r="D13" s="1">
        <f>VLOOKUP(B13,'[1]明细表1-业务完成指标 '!$B:$C,2,FALSE)</f>
        <v>5500</v>
      </c>
      <c r="E13" s="9">
        <f t="shared" si="0"/>
        <v>0</v>
      </c>
      <c r="F13" s="7"/>
      <c r="G13" s="7"/>
    </row>
    <row r="14" s="1" customFormat="1" customHeight="1" spans="1:9">
      <c r="A14" s="7" t="s">
        <v>7</v>
      </c>
      <c r="B14" s="7" t="s">
        <v>24</v>
      </c>
      <c r="C14" s="8">
        <v>0</v>
      </c>
      <c r="D14" s="1">
        <v>840</v>
      </c>
      <c r="E14" s="9">
        <f t="shared" si="0"/>
        <v>0</v>
      </c>
      <c r="F14" s="7"/>
      <c r="G14" s="7"/>
      <c r="H14" s="8"/>
    </row>
    <row r="15" s="1" customFormat="1" customHeight="1" spans="1:9">
      <c r="C15" s="8">
        <f>SUM(C3:C14)</f>
        <v>3726.94</v>
      </c>
      <c r="D15" s="8">
        <f>SUM(D3:D14)</f>
        <v>40440</v>
      </c>
      <c r="E15" s="9">
        <f t="shared" si="0"/>
        <v>0.0921597428288823</v>
      </c>
      <c r="F15" s="7"/>
      <c r="G15" s="7"/>
      <c r="H15" s="8"/>
    </row>
    <row r="16" s="1" customFormat="1" customHeight="1"/>
    <row r="17" s="1" customFormat="1" customHeight="1" spans="3:8 16374:16384">
      <c r="F17" s="7"/>
      <c r="G17" s="7"/>
    </row>
    <row r="18" s="1" customFormat="1" customHeight="1" spans="3:8 16374:16384">
      <c r="F18" s="7"/>
      <c r="G18" s="7"/>
      <c r="H18" s="8"/>
    </row>
    <row r="19" s="1" customFormat="1" customHeight="1" spans="3:8 16374:16384">
      <c r="F19" s="7"/>
      <c r="G19" s="7"/>
    </row>
    <row r="20" s="1" customFormat="1" customHeight="1" spans="3:8 16374:16384">
      <c r="F20" s="7"/>
      <c r="G20" s="7"/>
      <c r="H20" s="8"/>
    </row>
    <row r="21" s="1" customFormat="1" customHeight="1" spans="3:8 16374:16384"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3" s="1" customFormat="1" customHeight="1" spans="3:8 16374:16384">
      <c r="C23" s="12"/>
    </row>
  </sheetData>
  <sortState ref="A3:C13">
    <sortCondition ref="C3" descending="1"/>
  </sortState>
  <mergeCells count="2">
    <mergeCell ref="A1:E1"/>
    <mergeCell ref="F1:I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销售额</vt:lpstr>
      <vt:lpstr>完成比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2023-05-12T11:15:00Z</dcterms:created>
  <dcterms:modified xsi:type="dcterms:W3CDTF">2026-07-13T04:27:34Z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3D88499E77E44408A056E2B6848A6644_12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