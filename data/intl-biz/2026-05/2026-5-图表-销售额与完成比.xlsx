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1"/>
  </bookViews>
  <sheets>
    <sheet name="销售额" sheetId="1" r:id="rId1"/>
    <sheet name="完成比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<sst xmlns="http://schemas.openxmlformats.org/spreadsheetml/2006/main" count="78" uniqueCount="24">
  <si>
    <t xml:space="preserve">个人年度销售额排名 </t>
  </si>
  <si>
    <t>小组年度销售额排名</t>
  </si>
  <si>
    <t>业务小组</t>
  </si>
  <si>
    <t>业务员</t>
  </si>
  <si>
    <t>本财年
累计完成销售额</t>
  </si>
  <si>
    <t>全年目标</t>
  </si>
  <si>
    <t>完成率</t>
  </si>
  <si>
    <t>五组</t>
  </si>
  <si>
    <t>陈辉</t>
  </si>
  <si>
    <t>六组</t>
  </si>
  <si>
    <t>韩鸿彪</t>
  </si>
  <si>
    <t>一组</t>
  </si>
  <si>
    <t>陈子凡</t>
  </si>
  <si>
    <t>三组</t>
  </si>
  <si>
    <t>王伟乐</t>
  </si>
  <si>
    <t>二组</t>
  </si>
  <si>
    <t>司斌</t>
  </si>
  <si>
    <t>王伟超</t>
  </si>
  <si>
    <t>俄语组</t>
  </si>
  <si>
    <t>苗恒</t>
  </si>
  <si>
    <t>尹韬越</t>
  </si>
  <si>
    <t>马鹏飞</t>
  </si>
  <si>
    <t>张硕</t>
  </si>
  <si>
    <t>崔阳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</si>
</sst>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/>
    </xf>
    <xf numFmtId="10" fontId="3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个人年度累计销售额排名</a:t>
            </a:r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sz="1000"/>
              <a:t>单位：万元</a:t>
            </a:r>
            <a:r>
              <a:rPr sz="1000"/>
              <a:t>  </a:t>
            </a:r>
            <a:endParaRPr sz="1000"/>
          </a:p>
        </c:rich>
      </c:tx>
      <c:layout>
        <c:manualLayout>
          <c:xMode val="edge"/>
          <c:yMode val="edge"/>
          <c:x val="0.356748083437333"/>
          <c:y val="0.043841336116910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销售额!$A$3:$B$13</c:f>
              <c:multiLvlStrCache>
                <c:ptCount val="11"/>
                <c:lvl>
                  <c:pt idx="0">
                    <c:v>陈辉</c:v>
                  </c:pt>
                  <c:pt idx="1">
                    <c:v>韩鸿彪</c:v>
                  </c:pt>
                  <c:pt idx="2">
                    <c:v>陈子凡</c:v>
                  </c:pt>
                  <c:pt idx="3">
                    <c:v>王伟乐</c:v>
                  </c:pt>
                  <c:pt idx="4">
                    <c:v>司斌</c:v>
                  </c:pt>
                  <c:pt idx="5">
                    <c:v>王伟超</c:v>
                  </c:pt>
                  <c:pt idx="6">
                    <c:v>苗恒</c:v>
                  </c:pt>
                  <c:pt idx="7">
                    <c:v>尹韬越</c:v>
                  </c:pt>
                  <c:pt idx="8">
                    <c:v>马鹏飞</c:v>
                  </c:pt>
                  <c:pt idx="9">
                    <c:v>张硕</c:v>
                  </c:pt>
                  <c:pt idx="10">
                    <c:v>崔阳</c:v>
                  </c:pt>
                </c:lvl>
                <c:lvl>
                  <c:pt idx="0">
                    <c:v>五组</c:v>
                  </c:pt>
                  <c:pt idx="1">
                    <c:v>六组</c:v>
                  </c:pt>
                  <c:pt idx="2">
                    <c:v>一组</c:v>
                  </c:pt>
                  <c:pt idx="3">
                    <c:v>三组</c:v>
                  </c:pt>
                  <c:pt idx="4">
                    <c:v>二组</c:v>
                  </c:pt>
                  <c:pt idx="5">
                    <c:v>二组</c:v>
                  </c:pt>
                  <c:pt idx="6">
                    <c:v>六组</c:v>
                  </c:pt>
                  <c:pt idx="7">
                    <c:v>俄语组</c:v>
                  </c:pt>
                  <c:pt idx="8">
                    <c:v>三组</c:v>
                  </c:pt>
                  <c:pt idx="9">
                    <c:v>一组</c:v>
                  </c:pt>
                  <c:pt idx="10">
                    <c:v>俄语组</c:v>
                  </c:pt>
                </c:lvl>
              </c:multiLvlStrCache>
            </c:multiLvlStrRef>
          </c:cat>
          <c:val>
            <c:numRef>
              <c:f>销售额!$C$3:$C$13</c:f>
              <c:numCache>
                <c:formatCode>0.00_ </c:formatCode>
                <c:ptCount val="11"/>
                <c:pt idx="0">
                  <c:v>1212.5</c:v>
                </c:pt>
                <c:pt idx="1">
                  <c:v>1150.53</c:v>
                </c:pt>
                <c:pt idx="2">
                  <c:v>117.37</c:v>
                </c:pt>
                <c:pt idx="3">
                  <c:v>6.68</c:v>
                </c:pt>
                <c:pt idx="4">
                  <c:v>1.14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25134905"/>
        <c:axId val="683307336"/>
      </c:barChart>
      <c:catAx>
        <c:axId val="9251349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3307336"/>
        <c:crosses val="autoZero"/>
        <c:auto val="1"/>
        <c:lblAlgn val="ctr"/>
        <c:lblOffset val="100"/>
        <c:noMultiLvlLbl val="0"/>
      </c:catAx>
      <c:valAx>
        <c:axId val="68330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51349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18aa6ec-9f73-47d3-88e3-fe51f555f666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小组年度累计销售额排名</a:t>
            </a:r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000"/>
              <a:t>单位：万元 </a:t>
            </a:r>
            <a:r>
              <a:t> 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销售额!$F$3:$F$8</c:f>
              <c:strCache>
                <c:ptCount val="6"/>
                <c:pt idx="0">
                  <c:v>五组</c:v>
                </c:pt>
                <c:pt idx="1">
                  <c:v>六组</c:v>
                </c:pt>
                <c:pt idx="2">
                  <c:v>一组</c:v>
                </c:pt>
                <c:pt idx="3">
                  <c:v>三组</c:v>
                </c:pt>
                <c:pt idx="4">
                  <c:v>二组</c:v>
                </c:pt>
                <c:pt idx="5">
                  <c:v>俄语组</c:v>
                </c:pt>
              </c:strCache>
            </c:strRef>
          </c:cat>
          <c:val>
            <c:numRef>
              <c:f>销售额!$G$3:$G$8</c:f>
              <c:numCache>
                <c:formatCode>0.00_ </c:formatCode>
                <c:ptCount val="6"/>
                <c:pt idx="0">
                  <c:v>1212.5</c:v>
                </c:pt>
                <c:pt idx="1">
                  <c:v>1150.53</c:v>
                </c:pt>
                <c:pt idx="2">
                  <c:v>117.37</c:v>
                </c:pt>
                <c:pt idx="3">
                  <c:v>6.68</c:v>
                </c:pt>
                <c:pt idx="4">
                  <c:v>1.14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11169713"/>
        <c:axId val="676314472"/>
      </c:barChart>
      <c:catAx>
        <c:axId val="6111697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6314472"/>
        <c:crosses val="autoZero"/>
        <c:auto val="1"/>
        <c:lblAlgn val="ctr"/>
        <c:lblOffset val="100"/>
        <c:noMultiLvlLbl val="0"/>
      </c:catAx>
      <c:valAx>
        <c:axId val="67631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116971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f6c3b17-7d04-42b2-9009-e43aa053a3cb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个人年度累计销售完成比排名 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完成比!$E$1:$E$2</c:f>
              <c:strCache>
                <c:ptCount val="1"/>
                <c:pt idx="0">
                  <c:v>个人年度销售额排名  完成率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完成比!$A$3:$B$13</c:f>
              <c:multiLvlStrCache>
                <c:ptCount val="11"/>
                <c:lvl>
                  <c:pt idx="0">
                    <c:v>陈辉</c:v>
                  </c:pt>
                  <c:pt idx="1">
                    <c:v>韩鸿彪</c:v>
                  </c:pt>
                  <c:pt idx="2">
                    <c:v>陈子凡</c:v>
                  </c:pt>
                  <c:pt idx="3">
                    <c:v>王伟乐</c:v>
                  </c:pt>
                  <c:pt idx="4">
                    <c:v>司斌</c:v>
                  </c:pt>
                  <c:pt idx="5">
                    <c:v>王伟超</c:v>
                  </c:pt>
                  <c:pt idx="6">
                    <c:v>苗恒</c:v>
                  </c:pt>
                  <c:pt idx="7">
                    <c:v>尹韬越</c:v>
                  </c:pt>
                  <c:pt idx="8">
                    <c:v>马鹏飞</c:v>
                  </c:pt>
                  <c:pt idx="9">
                    <c:v>张硕</c:v>
                  </c:pt>
                  <c:pt idx="10">
                    <c:v>崔阳</c:v>
                  </c:pt>
                </c:lvl>
                <c:lvl>
                  <c:pt idx="0">
                    <c:v>五组</c:v>
                  </c:pt>
                  <c:pt idx="1">
                    <c:v>六组</c:v>
                  </c:pt>
                  <c:pt idx="2">
                    <c:v>一组</c:v>
                  </c:pt>
                  <c:pt idx="3">
                    <c:v>三组</c:v>
                  </c:pt>
                  <c:pt idx="4">
                    <c:v>二组</c:v>
                  </c:pt>
                  <c:pt idx="5">
                    <c:v>二组</c:v>
                  </c:pt>
                  <c:pt idx="6">
                    <c:v>六组</c:v>
                  </c:pt>
                  <c:pt idx="7">
                    <c:v>俄语组</c:v>
                  </c:pt>
                  <c:pt idx="8">
                    <c:v>三组</c:v>
                  </c:pt>
                  <c:pt idx="9">
                    <c:v>一组</c:v>
                  </c:pt>
                  <c:pt idx="10">
                    <c:v>俄语组</c:v>
                  </c:pt>
                </c:lvl>
              </c:multiLvlStrCache>
            </c:multiLvlStrRef>
          </c:cat>
          <c:val>
            <c:numRef>
              <c:f>完成比!$E$3:$E$13</c:f>
              <c:numCache>
                <c:formatCode>0.00%</c:formatCode>
                <c:ptCount val="11"/>
                <c:pt idx="0">
                  <c:v>0.367424242424242</c:v>
                </c:pt>
                <c:pt idx="1">
                  <c:v>0.261484090909091</c:v>
                </c:pt>
                <c:pt idx="2">
                  <c:v>0.0118555555555556</c:v>
                </c:pt>
                <c:pt idx="3">
                  <c:v>0.00202424242424242</c:v>
                </c:pt>
                <c:pt idx="4">
                  <c:v>0.000345454545454545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13152002"/>
        <c:axId val="34108717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完成比!$C$1:$C$2</c15:sqref>
                        </c15:formulaRef>
                      </c:ext>
                    </c:extLst>
                    <c:strCache>
                      <c:ptCount val="1"/>
                      <c:pt idx="0">
                        <c:v>个人年度销售额排名  本财年
累计完成销售额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完成比!$A$3:$B$13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陈辉</c:v>
                        </c:pt>
                        <c:pt idx="1">
                          <c:v>韩鸿彪</c:v>
                        </c:pt>
                        <c:pt idx="2">
                          <c:v>陈子凡</c:v>
                        </c:pt>
                        <c:pt idx="3">
                          <c:v>王伟乐</c:v>
                        </c:pt>
                        <c:pt idx="4">
                          <c:v>司斌</c:v>
                        </c:pt>
                        <c:pt idx="5">
                          <c:v>王伟超</c:v>
                        </c:pt>
                        <c:pt idx="6">
                          <c:v>苗恒</c:v>
                        </c:pt>
                        <c:pt idx="7">
                          <c:v>尹韬越</c:v>
                        </c:pt>
                        <c:pt idx="8">
                          <c:v>马鹏飞</c:v>
                        </c:pt>
                        <c:pt idx="9">
                          <c:v>张硕</c:v>
                        </c:pt>
                        <c:pt idx="10">
                          <c:v>崔阳</c:v>
                        </c:pt>
                      </c:lvl>
                      <c:lvl>
                        <c:pt idx="0">
                          <c:v>五组</c:v>
                        </c:pt>
                        <c:pt idx="1">
                          <c:v>六组</c:v>
                        </c:pt>
                        <c:pt idx="2">
                          <c:v>一组</c:v>
                        </c:pt>
                        <c:pt idx="3">
                          <c:v>三组</c:v>
                        </c:pt>
                        <c:pt idx="4">
                          <c:v>二组</c:v>
                        </c:pt>
                        <c:pt idx="5">
                          <c:v>二组</c:v>
                        </c:pt>
                        <c:pt idx="6">
                          <c:v>六组</c:v>
                        </c:pt>
                        <c:pt idx="7">
                          <c:v>俄语组</c:v>
                        </c:pt>
                        <c:pt idx="8">
                          <c:v>三组</c:v>
                        </c:pt>
                        <c:pt idx="9">
                          <c:v>一组</c:v>
                        </c:pt>
                        <c:pt idx="10">
                          <c:v>俄语组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完成比!$C$3:$C$13</c15:sqref>
                        </c15:formulaRef>
                      </c:ext>
                    </c:extLst>
                    <c:numCache>
                      <c:formatCode>0.00_ </c:formatCode>
                      <c:ptCount val="11"/>
                      <c:pt idx="0">
                        <c:v>1212.5</c:v>
                      </c:pt>
                      <c:pt idx="1">
                        <c:v>1150.53</c:v>
                      </c:pt>
                      <c:pt idx="2">
                        <c:v>117.37</c:v>
                      </c:pt>
                      <c:pt idx="3">
                        <c:v>6.68</c:v>
                      </c:pt>
                      <c:pt idx="4">
                        <c:v>1.14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完成比!$D$1:$D$2</c15:sqref>
                        </c15:formulaRef>
                      </c:ext>
                    </c:extLst>
                    <c:strCache>
                      <c:ptCount val="1"/>
                      <c:pt idx="0">
                        <c:v>个人年度销售额排名  全年目标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完成比!$A$3:$B$13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陈辉</c:v>
                        </c:pt>
                        <c:pt idx="1">
                          <c:v>韩鸿彪</c:v>
                        </c:pt>
                        <c:pt idx="2">
                          <c:v>陈子凡</c:v>
                        </c:pt>
                        <c:pt idx="3">
                          <c:v>王伟乐</c:v>
                        </c:pt>
                        <c:pt idx="4">
                          <c:v>司斌</c:v>
                        </c:pt>
                        <c:pt idx="5">
                          <c:v>王伟超</c:v>
                        </c:pt>
                        <c:pt idx="6">
                          <c:v>苗恒</c:v>
                        </c:pt>
                        <c:pt idx="7">
                          <c:v>尹韬越</c:v>
                        </c:pt>
                        <c:pt idx="8">
                          <c:v>马鹏飞</c:v>
                        </c:pt>
                        <c:pt idx="9">
                          <c:v>张硕</c:v>
                        </c:pt>
                        <c:pt idx="10">
                          <c:v>崔阳</c:v>
                        </c:pt>
                      </c:lvl>
                      <c:lvl>
                        <c:pt idx="0">
                          <c:v>五组</c:v>
                        </c:pt>
                        <c:pt idx="1">
                          <c:v>六组</c:v>
                        </c:pt>
                        <c:pt idx="2">
                          <c:v>一组</c:v>
                        </c:pt>
                        <c:pt idx="3">
                          <c:v>三组</c:v>
                        </c:pt>
                        <c:pt idx="4">
                          <c:v>二组</c:v>
                        </c:pt>
                        <c:pt idx="5">
                          <c:v>二组</c:v>
                        </c:pt>
                        <c:pt idx="6">
                          <c:v>六组</c:v>
                        </c:pt>
                        <c:pt idx="7">
                          <c:v>俄语组</c:v>
                        </c:pt>
                        <c:pt idx="8">
                          <c:v>三组</c:v>
                        </c:pt>
                        <c:pt idx="9">
                          <c:v>一组</c:v>
                        </c:pt>
                        <c:pt idx="10">
                          <c:v>俄语组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完成比!$D$3:$D$13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3300</c:v>
                      </c:pt>
                      <c:pt idx="1">
                        <c:v>4400</c:v>
                      </c:pt>
                      <c:pt idx="2">
                        <c:v>9900</c:v>
                      </c:pt>
                      <c:pt idx="3">
                        <c:v>3300</c:v>
                      </c:pt>
                      <c:pt idx="4">
                        <c:v>3300</c:v>
                      </c:pt>
                      <c:pt idx="5">
                        <c:v>2200</c:v>
                      </c:pt>
                      <c:pt idx="6">
                        <c:v>2200</c:v>
                      </c:pt>
                      <c:pt idx="7">
                        <c:v>1650</c:v>
                      </c:pt>
                      <c:pt idx="8">
                        <c:v>2200</c:v>
                      </c:pt>
                      <c:pt idx="9">
                        <c:v>1650</c:v>
                      </c:pt>
                      <c:pt idx="10">
                        <c:v>5500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9131520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087177"/>
        <c:crosses val="autoZero"/>
        <c:auto val="1"/>
        <c:lblAlgn val="ctr"/>
        <c:lblOffset val="100"/>
        <c:noMultiLvlLbl val="0"/>
      </c:catAx>
      <c:valAx>
        <c:axId val="3410871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15200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681012e-e4f3-49b2-8ce8-95a7c71d1b54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小组年度累计销售完成比排名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完成比!$I$2</c:f>
              <c:strCache>
                <c:ptCount val="1"/>
                <c:pt idx="0">
                  <c:v>完成率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完成比!$F$3:$F$8</c:f>
              <c:strCache>
                <c:ptCount val="6"/>
                <c:pt idx="0">
                  <c:v>五组</c:v>
                </c:pt>
                <c:pt idx="1">
                  <c:v>六组</c:v>
                </c:pt>
                <c:pt idx="2">
                  <c:v>一组</c:v>
                </c:pt>
                <c:pt idx="3">
                  <c:v>三组</c:v>
                </c:pt>
                <c:pt idx="4">
                  <c:v>二组</c:v>
                </c:pt>
                <c:pt idx="5">
                  <c:v>俄语组</c:v>
                </c:pt>
              </c:strCache>
            </c:strRef>
          </c:cat>
          <c:val>
            <c:numRef>
              <c:f>完成比!$I$3:$I$8</c:f>
              <c:numCache>
                <c:formatCode>0.00%</c:formatCode>
                <c:ptCount val="6"/>
                <c:pt idx="0">
                  <c:v>0.367424242424242</c:v>
                </c:pt>
                <c:pt idx="1">
                  <c:v>0.174322727272727</c:v>
                </c:pt>
                <c:pt idx="2">
                  <c:v>0.0101619047619048</c:v>
                </c:pt>
                <c:pt idx="3">
                  <c:v>0.00121454545454545</c:v>
                </c:pt>
                <c:pt idx="4">
                  <c:v>0.000207272727272727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59336227"/>
        <c:axId val="29076596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完成比!$G$2</c15:sqref>
                        </c15:formulaRef>
                      </c:ext>
                    </c:extLst>
                    <c:strCache>
                      <c:ptCount val="1"/>
                      <c:pt idx="0">
                        <c:v>本财年
累计完成销售额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完成比!$F$3:$F$8</c15:sqref>
                        </c15:formulaRef>
                      </c:ext>
                    </c:extLst>
                    <c:strCache>
                      <c:ptCount val="6"/>
                      <c:pt idx="0">
                        <c:v>五组</c:v>
                      </c:pt>
                      <c:pt idx="1">
                        <c:v>六组</c:v>
                      </c:pt>
                      <c:pt idx="2">
                        <c:v>一组</c:v>
                      </c:pt>
                      <c:pt idx="3">
                        <c:v>三组</c:v>
                      </c:pt>
                      <c:pt idx="4">
                        <c:v>二组</c:v>
                      </c:pt>
                      <c:pt idx="5">
                        <c:v>俄语组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完成比!$G$3:$G$8</c15:sqref>
                        </c15:formulaRef>
                      </c:ext>
                    </c:extLst>
                    <c:numCache>
                      <c:formatCode>0.00_ </c:formatCode>
                      <c:ptCount val="6"/>
                      <c:pt idx="0">
                        <c:v>1212.5</c:v>
                      </c:pt>
                      <c:pt idx="1">
                        <c:v>1150.53</c:v>
                      </c:pt>
                      <c:pt idx="2">
                        <c:v>117.37</c:v>
                      </c:pt>
                      <c:pt idx="3">
                        <c:v>6.68</c:v>
                      </c:pt>
                      <c:pt idx="4">
                        <c:v>1.14</c:v>
                      </c:pt>
                      <c:pt idx="5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完成比!$H$2</c15:sqref>
                        </c15:formulaRef>
                      </c:ext>
                    </c:extLst>
                    <c:strCache>
                      <c:ptCount val="1"/>
                      <c:pt idx="0">
                        <c:v>全年目标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完成比!$F$3:$F$8</c15:sqref>
                        </c15:formulaRef>
                      </c:ext>
                    </c:extLst>
                    <c:strCache>
                      <c:ptCount val="6"/>
                      <c:pt idx="0">
                        <c:v>五组</c:v>
                      </c:pt>
                      <c:pt idx="1">
                        <c:v>六组</c:v>
                      </c:pt>
                      <c:pt idx="2">
                        <c:v>一组</c:v>
                      </c:pt>
                      <c:pt idx="3">
                        <c:v>三组</c:v>
                      </c:pt>
                      <c:pt idx="4">
                        <c:v>二组</c:v>
                      </c:pt>
                      <c:pt idx="5">
                        <c:v>俄语组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完成比!$H$3:$H$8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3300</c:v>
                      </c:pt>
                      <c:pt idx="1">
                        <c:v>6600</c:v>
                      </c:pt>
                      <c:pt idx="2">
                        <c:v>11550</c:v>
                      </c:pt>
                      <c:pt idx="3">
                        <c:v>5500</c:v>
                      </c:pt>
                      <c:pt idx="4">
                        <c:v>5500</c:v>
                      </c:pt>
                      <c:pt idx="5">
                        <c:v>7150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9593362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0765969"/>
        <c:crosses val="autoZero"/>
        <c:auto val="1"/>
        <c:lblAlgn val="ctr"/>
        <c:lblOffset val="100"/>
        <c:noMultiLvlLbl val="0"/>
      </c:catAx>
      <c:valAx>
        <c:axId val="2907659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93362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d7a049e-1af2-4741-b257-527f24229c25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204470</xdr:colOff>
      <xdr:row>18</xdr:row>
      <xdr:rowOff>12065</xdr:rowOff>
    </xdr:from>
    <xdr:to>
      <xdr:col>5</xdr:col>
      <xdr:colOff>311150</xdr:colOff>
      <xdr:row>26</xdr:row>
      <xdr:rowOff>139065</xdr:rowOff>
    </xdr:to>
    <xdr:graphicFrame>
      <xdr:nvGraphicFramePr>
        <xdr:cNvPr id="3" name="图表 2"/>
        <xdr:cNvGraphicFramePr/>
      </xdr:nvGraphicFramePr>
      <xdr:xfrm>
        <a:off x="204470" y="6933565"/>
        <a:ext cx="6527165" cy="317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482600</xdr:colOff>
      <xdr:row>18</xdr:row>
      <xdr:rowOff>0</xdr:rowOff>
    </xdr:from>
    <xdr:to>
      <xdr:col>9</xdr:col>
      <xdr:colOff>370840</xdr:colOff>
      <xdr:row>26</xdr:row>
      <xdr:rowOff>139065</xdr:rowOff>
    </xdr:to>
    <xdr:graphicFrame>
      <xdr:nvGraphicFramePr>
        <xdr:cNvPr id="4" name="图表 3"/>
        <xdr:cNvGraphicFramePr/>
      </xdr:nvGraphicFramePr>
      <xdr:xfrm>
        <a:off x="6903085" y="6921500"/>
        <a:ext cx="5511800" cy="3187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107950</xdr:colOff>
      <xdr:row>15</xdr:row>
      <xdr:rowOff>88900</xdr:rowOff>
    </xdr:from>
    <xdr:to>
      <xdr:col>5</xdr:col>
      <xdr:colOff>609600</xdr:colOff>
      <xdr:row>23</xdr:row>
      <xdr:rowOff>285750</xdr:rowOff>
    </xdr:to>
    <xdr:graphicFrame>
      <xdr:nvGraphicFramePr>
        <xdr:cNvPr id="2" name="图表 1"/>
        <xdr:cNvGraphicFramePr/>
      </xdr:nvGraphicFramePr>
      <xdr:xfrm>
        <a:off x="107950" y="6337300"/>
        <a:ext cx="6160135" cy="3244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882650</xdr:colOff>
      <xdr:row>15</xdr:row>
      <xdr:rowOff>69850</xdr:rowOff>
    </xdr:from>
    <xdr:to>
      <xdr:col>9</xdr:col>
      <xdr:colOff>922655</xdr:colOff>
      <xdr:row>23</xdr:row>
      <xdr:rowOff>291465</xdr:rowOff>
    </xdr:to>
    <xdr:graphicFrame>
      <xdr:nvGraphicFramePr>
        <xdr:cNvPr id="3" name="图表 2"/>
        <xdr:cNvGraphicFramePr/>
      </xdr:nvGraphicFramePr>
      <xdr:xfrm>
        <a:off x="6541135" y="6318250"/>
        <a:ext cx="5663565" cy="3269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-2%20&#22269;&#38469;&#19994;&#21153;&#37096;&#26376;&#25253;-&#24635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1组（陈子凡）"/>
      <sheetName val="2组（司斌）"/>
      <sheetName val="3组（王伟乐）"/>
      <sheetName val="5组（陈辉）"/>
      <sheetName val="6组（韩鸿彪）"/>
      <sheetName val="俄语组（崔阳）"/>
      <sheetName val="明细表1-业务完成指标 "/>
      <sheetName val="明细表2-新增客户数量 "/>
      <sheetName val="明细表3-销售成本指标"/>
      <sheetName val="明细表4-回款进度指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销售工程师</v>
          </cell>
          <cell r="C2" t="str">
            <v>年度一级指标</v>
          </cell>
          <cell r="D2" t="str">
            <v>季度一级指标</v>
          </cell>
          <cell r="E2" t="str">
            <v>月份</v>
          </cell>
          <cell r="F2" t="str">
            <v>销售额</v>
          </cell>
          <cell r="G2" t="str">
            <v>当月完成情况
占年度指标完成比</v>
          </cell>
          <cell r="H2" t="str">
            <v>当月完成情况
占季度指标完成比</v>
          </cell>
          <cell r="I2" t="str">
            <v>本财年
累计完成销售额</v>
          </cell>
        </row>
        <row r="3">
          <cell r="B3" t="str">
            <v>陈子凡</v>
          </cell>
          <cell r="C3">
            <v>9900</v>
          </cell>
          <cell r="D3">
            <v>1980</v>
          </cell>
          <cell r="E3" t="str">
            <v>2026-3</v>
          </cell>
          <cell r="F3">
            <v>117.37</v>
          </cell>
          <cell r="G3">
            <v>0.0118555555555556</v>
          </cell>
          <cell r="H3">
            <v>0.0592777777777778</v>
          </cell>
          <cell r="I3">
            <v>117.37</v>
          </cell>
        </row>
        <row r="4">
          <cell r="B4" t="str">
            <v>张硕</v>
          </cell>
          <cell r="C4">
            <v>1650</v>
          </cell>
          <cell r="D4">
            <v>330</v>
          </cell>
          <cell r="E4" t="str">
            <v>2026-3</v>
          </cell>
        </row>
        <row r="4">
          <cell r="G4">
            <v>0</v>
          </cell>
          <cell r="H4">
            <v>0</v>
          </cell>
        </row>
        <row r="5">
          <cell r="B5" t="str">
            <v>司斌</v>
          </cell>
          <cell r="C5">
            <v>3300</v>
          </cell>
          <cell r="D5">
            <v>660</v>
          </cell>
          <cell r="E5" t="str">
            <v>2026-3</v>
          </cell>
        </row>
        <row r="5">
          <cell r="G5">
            <v>0</v>
          </cell>
          <cell r="H5">
            <v>0</v>
          </cell>
          <cell r="I5">
            <v>1.14</v>
          </cell>
        </row>
        <row r="6">
          <cell r="B6" t="str">
            <v>王伟超</v>
          </cell>
          <cell r="C6">
            <v>2200</v>
          </cell>
          <cell r="D6">
            <v>440</v>
          </cell>
          <cell r="E6" t="str">
            <v>2026-3</v>
          </cell>
        </row>
        <row r="6">
          <cell r="G6">
            <v>0</v>
          </cell>
          <cell r="H6">
            <v>0</v>
          </cell>
        </row>
        <row r="7">
          <cell r="B7" t="str">
            <v>王伟乐</v>
          </cell>
          <cell r="C7">
            <v>3300</v>
          </cell>
          <cell r="D7">
            <v>660</v>
          </cell>
          <cell r="E7" t="str">
            <v>2026-3</v>
          </cell>
        </row>
        <row r="7">
          <cell r="G7">
            <v>0</v>
          </cell>
          <cell r="H7">
            <v>0</v>
          </cell>
          <cell r="I7">
            <v>6.68</v>
          </cell>
        </row>
        <row r="8">
          <cell r="B8" t="str">
            <v>马鹏飞</v>
          </cell>
          <cell r="C8">
            <v>2200</v>
          </cell>
          <cell r="D8">
            <v>440</v>
          </cell>
          <cell r="E8" t="str">
            <v>2026-3</v>
          </cell>
        </row>
        <row r="8">
          <cell r="G8">
            <v>0</v>
          </cell>
          <cell r="H8">
            <v>0</v>
          </cell>
        </row>
        <row r="9">
          <cell r="B9" t="str">
            <v>陈辉</v>
          </cell>
          <cell r="C9">
            <v>3300</v>
          </cell>
          <cell r="D9">
            <v>660</v>
          </cell>
          <cell r="E9" t="str">
            <v>2026-3</v>
          </cell>
        </row>
        <row r="9">
          <cell r="G9">
            <v>0</v>
          </cell>
          <cell r="H9">
            <v>0</v>
          </cell>
          <cell r="I9">
            <v>1212.5</v>
          </cell>
        </row>
        <row r="10">
          <cell r="B10" t="str">
            <v>韩鸿彪</v>
          </cell>
          <cell r="C10">
            <v>4400</v>
          </cell>
          <cell r="D10">
            <v>880</v>
          </cell>
          <cell r="E10" t="str">
            <v>2026-3</v>
          </cell>
        </row>
        <row r="10">
          <cell r="G10">
            <v>0</v>
          </cell>
          <cell r="H10">
            <v>0</v>
          </cell>
          <cell r="I10">
            <v>994.18</v>
          </cell>
        </row>
        <row r="11">
          <cell r="B11" t="str">
            <v>苗恒</v>
          </cell>
          <cell r="C11">
            <v>2200</v>
          </cell>
          <cell r="D11">
            <v>440</v>
          </cell>
          <cell r="E11" t="str">
            <v>2026-3</v>
          </cell>
        </row>
        <row r="11">
          <cell r="G11">
            <v>0</v>
          </cell>
          <cell r="H11">
            <v>0</v>
          </cell>
        </row>
        <row r="12">
          <cell r="B12" t="str">
            <v>崔阳</v>
          </cell>
          <cell r="C12">
            <v>5500</v>
          </cell>
          <cell r="D12">
            <v>1100</v>
          </cell>
          <cell r="E12" t="str">
            <v>2026-3</v>
          </cell>
        </row>
        <row r="12">
          <cell r="G12">
            <v>0</v>
          </cell>
          <cell r="H12">
            <v>0</v>
          </cell>
        </row>
        <row r="13">
          <cell r="B13" t="str">
            <v>尹韬越</v>
          </cell>
          <cell r="C13">
            <v>1650</v>
          </cell>
          <cell r="D13">
            <v>330</v>
          </cell>
          <cell r="E13" t="str">
            <v>2026-3</v>
          </cell>
        </row>
        <row r="13">
          <cell r="G13">
            <v>0</v>
          </cell>
          <cell r="H13">
            <v>0</v>
          </cell>
        </row>
        <row r="14">
          <cell r="C14">
            <v>39600</v>
          </cell>
          <cell r="D14">
            <v>7920</v>
          </cell>
          <cell r="E14" t="str">
            <v>2026-3</v>
          </cell>
          <cell r="F14">
            <v>117.37</v>
          </cell>
        </row>
        <row r="14">
          <cell r="I14">
            <v>2331.87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opLeftCell="A14" workbookViewId="0">
      <selection activeCell="C4" sqref="C4"/>
    </sheetView>
  </sheetViews>
  <sheetFormatPr defaultColWidth="20.1272727272727" defaultRowHeight="30" customHeight="1"/>
  <cols>
    <col min="1" max="1" width="10.7545454545455" style="1" customWidth="1"/>
    <col min="2" max="2" width="12.0909090909091" style="1" customWidth="1"/>
    <col min="3" max="3" width="28.8181818181818" style="1" customWidth="1"/>
    <col min="4" max="4" width="20.1272727272727" style="1" customWidth="1"/>
    <col min="5" max="16373" width="20.1272727272727" style="1"/>
    <col min="16374" max="16384" width="20.1272727272727" style="2"/>
  </cols>
  <sheetData>
    <row r="1" s="1" customFormat="1" ht="26" customHeight="1" spans="1:9">
      <c r="A1" s="3" t="s">
        <v>0</v>
      </c>
      <c r="B1" s="3"/>
      <c r="C1" s="3"/>
      <c r="D1" s="3"/>
      <c r="E1" s="3"/>
      <c r="F1" s="4" t="s">
        <v>1</v>
      </c>
      <c r="G1" s="4"/>
      <c r="H1" s="4"/>
      <c r="I1" s="4"/>
    </row>
    <row r="2" s="1" customFormat="1" ht="39" customHeight="1" spans="1:9">
      <c r="A2" s="5" t="s">
        <v>2</v>
      </c>
      <c r="B2" s="5" t="s">
        <v>3</v>
      </c>
      <c r="C2" s="3" t="s">
        <v>4</v>
      </c>
      <c r="D2" s="3" t="s">
        <v>5</v>
      </c>
      <c r="E2" s="3" t="s">
        <v>6</v>
      </c>
      <c r="F2" s="6" t="s">
        <v>2</v>
      </c>
      <c r="G2" s="4" t="s">
        <v>4</v>
      </c>
      <c r="H2" s="4" t="s">
        <v>5</v>
      </c>
      <c r="I2" s="4" t="s">
        <v>6</v>
      </c>
    </row>
    <row r="3" s="1" customFormat="1" customHeight="1" spans="1:9">
      <c r="A3" s="7" t="s">
        <v>7</v>
      </c>
      <c r="B3" s="7" t="s">
        <v>8</v>
      </c>
      <c r="C3" s="8">
        <f>VLOOKUP(B3,'[1]明细表1-业务完成指标 '!$B:$I,8,FALSE)</f>
        <v>1212.5</v>
      </c>
      <c r="D3" s="1">
        <f>VLOOKUP(B3,'[1]明细表1-业务完成指标 '!$B:$C,2,FALSE)</f>
        <v>3300</v>
      </c>
      <c r="E3" s="9">
        <f t="shared" ref="E3:E14" si="0">C3/D3</f>
        <v>0.367424242424242</v>
      </c>
      <c r="F3" s="7" t="s">
        <v>7</v>
      </c>
      <c r="G3" s="8">
        <f t="shared" ref="G3:G8" si="1">SUMIFS(C:C,A:A,F3)</f>
        <v>1212.5</v>
      </c>
      <c r="H3" s="1">
        <f t="shared" ref="H3:H8" si="2">SUMIFS(D:D,A:A,F3)</f>
        <v>3300</v>
      </c>
      <c r="I3" s="9">
        <f t="shared" ref="I3:I8" si="3">G3/H3</f>
        <v>0.367424242424242</v>
      </c>
    </row>
    <row r="4" s="1" customFormat="1" customHeight="1" spans="1:9">
      <c r="A4" s="7" t="s">
        <v>9</v>
      </c>
      <c r="B4" s="7" t="s">
        <v>10</v>
      </c>
      <c r="C4" s="8">
        <v>1150.53</v>
      </c>
      <c r="D4" s="1">
        <f>VLOOKUP(B4,'[1]明细表1-业务完成指标 '!$B:$C,2,FALSE)</f>
        <v>4400</v>
      </c>
      <c r="E4" s="9">
        <f t="shared" si="0"/>
        <v>0.261484090909091</v>
      </c>
      <c r="F4" s="7" t="s">
        <v>9</v>
      </c>
      <c r="G4" s="8">
        <f t="shared" si="1"/>
        <v>1150.53</v>
      </c>
      <c r="H4" s="1">
        <f t="shared" si="2"/>
        <v>6600</v>
      </c>
      <c r="I4" s="9">
        <f t="shared" si="3"/>
        <v>0.174322727272727</v>
      </c>
    </row>
    <row r="5" s="1" customFormat="1" customHeight="1" spans="1:9">
      <c r="A5" s="7" t="s">
        <v>11</v>
      </c>
      <c r="B5" s="7" t="s">
        <v>12</v>
      </c>
      <c r="C5" s="8">
        <f>VLOOKUP(B5,'[1]明细表1-业务完成指标 '!$B:$I,8,FALSE)</f>
        <v>117.37</v>
      </c>
      <c r="D5" s="1">
        <f>VLOOKUP(B5,'[1]明细表1-业务完成指标 '!$B:$C,2,FALSE)</f>
        <v>9900</v>
      </c>
      <c r="E5" s="9">
        <f t="shared" si="0"/>
        <v>0.0118555555555556</v>
      </c>
      <c r="F5" s="7" t="s">
        <v>11</v>
      </c>
      <c r="G5" s="8">
        <f t="shared" si="1"/>
        <v>117.37</v>
      </c>
      <c r="H5" s="1">
        <f t="shared" si="2"/>
        <v>11550</v>
      </c>
      <c r="I5" s="9">
        <f t="shared" si="3"/>
        <v>0.0101619047619048</v>
      </c>
    </row>
    <row r="6" s="1" customFormat="1" customHeight="1" spans="1:9">
      <c r="A6" s="7" t="s">
        <v>13</v>
      </c>
      <c r="B6" s="7" t="s">
        <v>14</v>
      </c>
      <c r="C6" s="8">
        <f>VLOOKUP(B6,'[1]明细表1-业务完成指标 '!$B:$I,8,FALSE)</f>
        <v>6.68</v>
      </c>
      <c r="D6" s="1">
        <f>VLOOKUP(B6,'[1]明细表1-业务完成指标 '!$B:$C,2,FALSE)</f>
        <v>3300</v>
      </c>
      <c r="E6" s="9">
        <f t="shared" si="0"/>
        <v>0.00202424242424242</v>
      </c>
      <c r="F6" s="7" t="s">
        <v>13</v>
      </c>
      <c r="G6" s="8">
        <f t="shared" si="1"/>
        <v>6.68</v>
      </c>
      <c r="H6" s="1">
        <f t="shared" si="2"/>
        <v>5500</v>
      </c>
      <c r="I6" s="9">
        <f t="shared" si="3"/>
        <v>0.00121454545454545</v>
      </c>
    </row>
    <row r="7" s="1" customFormat="1" customHeight="1" spans="1:9">
      <c r="A7" s="7" t="s">
        <v>15</v>
      </c>
      <c r="B7" s="7" t="s">
        <v>16</v>
      </c>
      <c r="C7" s="8">
        <f>VLOOKUP(B7,'[1]明细表1-业务完成指标 '!$B:$I,8,FALSE)</f>
        <v>1.14</v>
      </c>
      <c r="D7" s="1">
        <f>VLOOKUP(B7,'[1]明细表1-业务完成指标 '!$B:$C,2,FALSE)</f>
        <v>3300</v>
      </c>
      <c r="E7" s="9">
        <f t="shared" si="0"/>
        <v>0.000345454545454545</v>
      </c>
      <c r="F7" s="7" t="s">
        <v>15</v>
      </c>
      <c r="G7" s="8">
        <f t="shared" si="1"/>
        <v>1.14</v>
      </c>
      <c r="H7" s="1">
        <f t="shared" si="2"/>
        <v>5500</v>
      </c>
      <c r="I7" s="9">
        <f t="shared" si="3"/>
        <v>0.000207272727272727</v>
      </c>
    </row>
    <row r="8" s="1" customFormat="1" customHeight="1" spans="1:9">
      <c r="A8" s="7" t="s">
        <v>15</v>
      </c>
      <c r="B8" s="7" t="s">
        <v>17</v>
      </c>
      <c r="C8" s="8">
        <f>VLOOKUP(B8,'[1]明细表1-业务完成指标 '!$B:$I,8,FALSE)</f>
        <v>0</v>
      </c>
      <c r="D8" s="1">
        <f>VLOOKUP(B8,'[1]明细表1-业务完成指标 '!$B:$C,2,FALSE)</f>
        <v>2200</v>
      </c>
      <c r="E8" s="9">
        <f t="shared" si="0"/>
        <v>0</v>
      </c>
      <c r="F8" s="7" t="s">
        <v>18</v>
      </c>
      <c r="G8" s="8">
        <f t="shared" si="1"/>
        <v>0</v>
      </c>
      <c r="H8" s="1">
        <f t="shared" si="2"/>
        <v>7150</v>
      </c>
      <c r="I8" s="9">
        <f t="shared" si="3"/>
        <v>0</v>
      </c>
    </row>
    <row r="9" s="1" customFormat="1" customHeight="1" spans="1:9">
      <c r="A9" s="7" t="s">
        <v>9</v>
      </c>
      <c r="B9" s="7" t="s">
        <v>19</v>
      </c>
      <c r="C9" s="8">
        <f>VLOOKUP(B9,'[1]明细表1-业务完成指标 '!$B:$I,8,FALSE)</f>
        <v>0</v>
      </c>
      <c r="D9" s="1">
        <f>VLOOKUP(B9,'[1]明细表1-业务完成指标 '!$B:$C,2,FALSE)</f>
        <v>2200</v>
      </c>
      <c r="E9" s="9">
        <f t="shared" si="0"/>
        <v>0</v>
      </c>
      <c r="F9" s="7"/>
      <c r="G9" s="8">
        <f>SUM(G3:G8)</f>
        <v>2488.22</v>
      </c>
    </row>
    <row r="10" s="1" customFormat="1" customHeight="1" spans="1:9">
      <c r="A10" s="7" t="s">
        <v>18</v>
      </c>
      <c r="B10" s="7" t="s">
        <v>20</v>
      </c>
      <c r="C10" s="8">
        <f>VLOOKUP(B10,'[1]明细表1-业务完成指标 '!$B:$I,8,FALSE)</f>
        <v>0</v>
      </c>
      <c r="D10" s="1">
        <f>VLOOKUP(B10,'[1]明细表1-业务完成指标 '!$B:$C,2,FALSE)</f>
        <v>1650</v>
      </c>
      <c r="E10" s="9">
        <f t="shared" si="0"/>
        <v>0</v>
      </c>
    </row>
    <row r="11" s="1" customFormat="1" customHeight="1" spans="1:9">
      <c r="A11" s="7" t="s">
        <v>13</v>
      </c>
      <c r="B11" s="7" t="s">
        <v>21</v>
      </c>
      <c r="C11" s="8">
        <f>VLOOKUP(B11,'[1]明细表1-业务完成指标 '!$B:$I,8,FALSE)</f>
        <v>0</v>
      </c>
      <c r="D11" s="1">
        <f>VLOOKUP(B11,'[1]明细表1-业务完成指标 '!$B:$C,2,FALSE)</f>
        <v>2200</v>
      </c>
      <c r="E11" s="9">
        <f t="shared" si="0"/>
        <v>0</v>
      </c>
    </row>
    <row r="12" s="1" customFormat="1" customHeight="1" spans="1:9">
      <c r="A12" s="7" t="s">
        <v>11</v>
      </c>
      <c r="B12" s="7" t="s">
        <v>22</v>
      </c>
      <c r="C12" s="8">
        <f>VLOOKUP(B12,'[1]明细表1-业务完成指标 '!$B:$I,8,FALSE)</f>
        <v>0</v>
      </c>
      <c r="D12" s="1">
        <f>VLOOKUP(B12,'[1]明细表1-业务完成指标 '!$B:$C,2,FALSE)</f>
        <v>1650</v>
      </c>
      <c r="E12" s="9">
        <f t="shared" si="0"/>
        <v>0</v>
      </c>
    </row>
    <row r="13" s="1" customFormat="1" customHeight="1" spans="1:9">
      <c r="A13" s="7" t="s">
        <v>18</v>
      </c>
      <c r="B13" s="7" t="s">
        <v>23</v>
      </c>
      <c r="C13" s="8">
        <f>VLOOKUP(B13,'[1]明细表1-业务完成指标 '!$B:$I,8,FALSE)</f>
        <v>0</v>
      </c>
      <c r="D13" s="1">
        <f>VLOOKUP(B13,'[1]明细表1-业务完成指标 '!$B:$C,2,FALSE)</f>
        <v>5500</v>
      </c>
      <c r="E13" s="9">
        <f t="shared" si="0"/>
        <v>0</v>
      </c>
      <c r="F13" s="7"/>
      <c r="G13" s="7"/>
    </row>
    <row r="14" s="1" customFormat="1" customHeight="1" spans="1:9">
      <c r="C14" s="8">
        <f>SUM(C3:C13)</f>
        <v>2488.22</v>
      </c>
      <c r="D14" s="8">
        <f>SUM(D3:D13)</f>
        <v>39600</v>
      </c>
      <c r="E14" s="9">
        <f t="shared" si="0"/>
        <v>0.0628338383838384</v>
      </c>
      <c r="F14" s="7"/>
      <c r="G14" s="7"/>
      <c r="H14" s="8"/>
    </row>
    <row r="15" s="1" customFormat="1" customHeight="1" spans="1:9">
      <c r="F15" s="7"/>
      <c r="G15" s="7"/>
    </row>
    <row r="16" s="1" customFormat="1" customHeight="1" spans="1:9">
      <c r="F16" s="7"/>
      <c r="G16" s="7"/>
      <c r="H16" s="8"/>
    </row>
    <row r="19" s="1" customFormat="1" customHeight="1" spans="3:3">
      <c r="C19" s="10"/>
    </row>
  </sheetData>
  <sortState ref="F3:H16">
    <sortCondition ref="G3" descending="1"/>
  </sortState>
  <mergeCells count="2">
    <mergeCell ref="A1:E1"/>
    <mergeCell ref="F1:I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3"/>
  <sheetViews>
    <sheetView tabSelected="1" topLeftCell="A10" workbookViewId="0">
      <selection activeCell="G4" sqref="G4"/>
    </sheetView>
  </sheetViews>
  <sheetFormatPr defaultColWidth="20.1272727272727" defaultRowHeight="30" customHeight="1"/>
  <cols>
    <col min="1" max="1" width="10.7545454545455" style="1" customWidth="1"/>
    <col min="2" max="2" width="12.0909090909091" style="1" customWidth="1"/>
    <col min="3" max="3" width="17.9090909090909" style="1" customWidth="1"/>
    <col min="4" max="4" width="20.1272727272727" style="1" customWidth="1"/>
    <col min="5" max="16372" width="20.1272727272727" style="1"/>
    <col min="16373" max="16384" width="20.1272727272727" style="2"/>
  </cols>
  <sheetData>
    <row r="1" s="1" customFormat="1" ht="27" customHeight="1" spans="1:9">
      <c r="A1" s="3" t="s">
        <v>0</v>
      </c>
      <c r="B1" s="3"/>
      <c r="C1" s="3"/>
      <c r="D1" s="3"/>
      <c r="E1" s="3"/>
      <c r="F1" s="4" t="s">
        <v>1</v>
      </c>
      <c r="G1" s="4"/>
      <c r="H1" s="4"/>
      <c r="I1" s="4"/>
    </row>
    <row r="2" s="1" customFormat="1" ht="27" customHeight="1" spans="1:9">
      <c r="A2" s="5" t="s">
        <v>2</v>
      </c>
      <c r="B2" s="5" t="s">
        <v>3</v>
      </c>
      <c r="C2" s="3" t="s">
        <v>4</v>
      </c>
      <c r="D2" s="3" t="s">
        <v>5</v>
      </c>
      <c r="E2" s="3" t="s">
        <v>6</v>
      </c>
      <c r="F2" s="6" t="s">
        <v>2</v>
      </c>
      <c r="G2" s="4" t="s">
        <v>4</v>
      </c>
      <c r="H2" s="4" t="s">
        <v>5</v>
      </c>
      <c r="I2" s="4" t="s">
        <v>6</v>
      </c>
    </row>
    <row r="3" s="1" customFormat="1" ht="42" customHeight="1" spans="1:9">
      <c r="A3" s="7" t="s">
        <v>7</v>
      </c>
      <c r="B3" s="7" t="s">
        <v>8</v>
      </c>
      <c r="C3" s="8">
        <f>VLOOKUP(B3,'[1]明细表1-业务完成指标 '!$B:$I,8,FALSE)</f>
        <v>1212.5</v>
      </c>
      <c r="D3" s="1">
        <f>VLOOKUP(B3,'[1]明细表1-业务完成指标 '!$B:$C,2,FALSE)</f>
        <v>3300</v>
      </c>
      <c r="E3" s="9">
        <f>C3/D3</f>
        <v>0.367424242424242</v>
      </c>
      <c r="F3" s="7" t="s">
        <v>7</v>
      </c>
      <c r="G3" s="8">
        <f t="shared" ref="G3:G8" si="0">SUMIFS(C:C,A:A,F3)</f>
        <v>1212.5</v>
      </c>
      <c r="H3" s="1">
        <f t="shared" ref="H3:H8" si="1">SUMIFS(D:D,A:A,F3)</f>
        <v>3300</v>
      </c>
      <c r="I3" s="9">
        <f t="shared" ref="I3:I8" si="2">G3/H3</f>
        <v>0.367424242424242</v>
      </c>
    </row>
    <row r="4" s="1" customFormat="1" ht="42" customHeight="1" spans="1:9">
      <c r="A4" s="7" t="s">
        <v>9</v>
      </c>
      <c r="B4" s="7" t="s">
        <v>10</v>
      </c>
      <c r="C4" s="8">
        <v>1150.53</v>
      </c>
      <c r="D4" s="1">
        <f>VLOOKUP(B4,'[1]明细表1-业务完成指标 '!$B:$C,2,FALSE)</f>
        <v>4400</v>
      </c>
      <c r="E4" s="9">
        <f>C4/D4</f>
        <v>0.261484090909091</v>
      </c>
      <c r="F4" s="7" t="s">
        <v>9</v>
      </c>
      <c r="G4" s="8">
        <f t="shared" si="0"/>
        <v>1150.53</v>
      </c>
      <c r="H4" s="1">
        <f t="shared" si="1"/>
        <v>6600</v>
      </c>
      <c r="I4" s="9">
        <f t="shared" si="2"/>
        <v>0.174322727272727</v>
      </c>
    </row>
    <row r="5" s="1" customFormat="1" ht="42" customHeight="1" spans="1:9">
      <c r="A5" s="7" t="s">
        <v>11</v>
      </c>
      <c r="B5" s="7" t="s">
        <v>12</v>
      </c>
      <c r="C5" s="8">
        <f>VLOOKUP(B5,'[1]明细表1-业务完成指标 '!$B:$I,8,FALSE)</f>
        <v>117.37</v>
      </c>
      <c r="D5" s="1">
        <f>VLOOKUP(B5,'[1]明细表1-业务完成指标 '!$B:$C,2,FALSE)</f>
        <v>9900</v>
      </c>
      <c r="E5" s="9">
        <f>C5/D5</f>
        <v>0.0118555555555556</v>
      </c>
      <c r="F5" s="7" t="s">
        <v>11</v>
      </c>
      <c r="G5" s="8">
        <f t="shared" si="0"/>
        <v>117.37</v>
      </c>
      <c r="H5" s="1">
        <f t="shared" si="1"/>
        <v>11550</v>
      </c>
      <c r="I5" s="9">
        <f t="shared" si="2"/>
        <v>0.0101619047619048</v>
      </c>
    </row>
    <row r="6" s="1" customFormat="1" ht="42" customHeight="1" spans="1:9">
      <c r="A6" s="7" t="s">
        <v>13</v>
      </c>
      <c r="B6" s="7" t="s">
        <v>14</v>
      </c>
      <c r="C6" s="8">
        <f>VLOOKUP(B6,'[1]明细表1-业务完成指标 '!$B:$I,8,FALSE)</f>
        <v>6.68</v>
      </c>
      <c r="D6" s="1">
        <f>VLOOKUP(B6,'[1]明细表1-业务完成指标 '!$B:$C,2,FALSE)</f>
        <v>3300</v>
      </c>
      <c r="E6" s="9">
        <f>C6/D6</f>
        <v>0.00202424242424242</v>
      </c>
      <c r="F6" s="7" t="s">
        <v>13</v>
      </c>
      <c r="G6" s="8">
        <f t="shared" si="0"/>
        <v>6.68</v>
      </c>
      <c r="H6" s="1">
        <f t="shared" si="1"/>
        <v>5500</v>
      </c>
      <c r="I6" s="9">
        <f t="shared" si="2"/>
        <v>0.00121454545454545</v>
      </c>
    </row>
    <row r="7" s="1" customFormat="1" customHeight="1" spans="1:9">
      <c r="A7" s="7" t="s">
        <v>15</v>
      </c>
      <c r="B7" s="7" t="s">
        <v>16</v>
      </c>
      <c r="C7" s="8">
        <f>VLOOKUP(B7,'[1]明细表1-业务完成指标 '!$B:$I,8,FALSE)</f>
        <v>1.14</v>
      </c>
      <c r="D7" s="1">
        <f>VLOOKUP(B7,'[1]明细表1-业务完成指标 '!$B:$C,2,FALSE)</f>
        <v>3300</v>
      </c>
      <c r="E7" s="9">
        <f>C7/D7</f>
        <v>0.000345454545454545</v>
      </c>
      <c r="F7" s="7" t="s">
        <v>15</v>
      </c>
      <c r="G7" s="8">
        <f t="shared" si="0"/>
        <v>1.14</v>
      </c>
      <c r="H7" s="1">
        <f t="shared" si="1"/>
        <v>5500</v>
      </c>
      <c r="I7" s="9">
        <f t="shared" si="2"/>
        <v>0.000207272727272727</v>
      </c>
    </row>
    <row r="8" s="1" customFormat="1" customHeight="1" spans="1:9">
      <c r="A8" s="7" t="s">
        <v>15</v>
      </c>
      <c r="B8" s="7" t="s">
        <v>17</v>
      </c>
      <c r="C8" s="8">
        <f>VLOOKUP(B8,'[1]明细表1-业务完成指标 '!$B:$I,8,FALSE)</f>
        <v>0</v>
      </c>
      <c r="D8" s="1">
        <f>VLOOKUP(B8,'[1]明细表1-业务完成指标 '!$B:$C,2,FALSE)</f>
        <v>2200</v>
      </c>
      <c r="E8" s="9">
        <f t="shared" ref="E8:E14" si="3">C8/D8</f>
        <v>0</v>
      </c>
      <c r="F8" s="7" t="s">
        <v>18</v>
      </c>
      <c r="G8" s="8">
        <f t="shared" si="0"/>
        <v>0</v>
      </c>
      <c r="H8" s="1">
        <f t="shared" si="1"/>
        <v>7150</v>
      </c>
      <c r="I8" s="9">
        <f t="shared" si="2"/>
        <v>0</v>
      </c>
    </row>
    <row r="9" s="1" customFormat="1" customHeight="1" spans="1:9">
      <c r="A9" s="7" t="s">
        <v>9</v>
      </c>
      <c r="B9" s="7" t="s">
        <v>19</v>
      </c>
      <c r="C9" s="8">
        <f>VLOOKUP(B9,'[1]明细表1-业务完成指标 '!$B:$I,8,FALSE)</f>
        <v>0</v>
      </c>
      <c r="D9" s="1">
        <f>VLOOKUP(B9,'[1]明细表1-业务完成指标 '!$B:$C,2,FALSE)</f>
        <v>2200</v>
      </c>
      <c r="E9" s="9">
        <f t="shared" si="3"/>
        <v>0</v>
      </c>
      <c r="F9" s="7"/>
      <c r="G9" s="8">
        <f>SUM(G3:G8)</f>
        <v>2488.22</v>
      </c>
    </row>
    <row r="10" s="1" customFormat="1" customHeight="1" spans="1:9">
      <c r="A10" s="7" t="s">
        <v>18</v>
      </c>
      <c r="B10" s="7" t="s">
        <v>20</v>
      </c>
      <c r="C10" s="8">
        <f>VLOOKUP(B10,'[1]明细表1-业务完成指标 '!$B:$I,8,FALSE)</f>
        <v>0</v>
      </c>
      <c r="D10" s="1">
        <f>VLOOKUP(B10,'[1]明细表1-业务完成指标 '!$B:$C,2,FALSE)</f>
        <v>1650</v>
      </c>
      <c r="E10" s="9">
        <f t="shared" si="3"/>
        <v>0</v>
      </c>
    </row>
    <row r="11" s="1" customFormat="1" customHeight="1" spans="1:9">
      <c r="A11" s="7" t="s">
        <v>13</v>
      </c>
      <c r="B11" s="7" t="s">
        <v>21</v>
      </c>
      <c r="C11" s="8">
        <f>VLOOKUP(B11,'[1]明细表1-业务完成指标 '!$B:$I,8,FALSE)</f>
        <v>0</v>
      </c>
      <c r="D11" s="1">
        <f>VLOOKUP(B11,'[1]明细表1-业务完成指标 '!$B:$C,2,FALSE)</f>
        <v>2200</v>
      </c>
      <c r="E11" s="9">
        <f t="shared" si="3"/>
        <v>0</v>
      </c>
    </row>
    <row r="12" s="1" customFormat="1" customHeight="1" spans="1:9">
      <c r="A12" s="7" t="s">
        <v>11</v>
      </c>
      <c r="B12" s="7" t="s">
        <v>22</v>
      </c>
      <c r="C12" s="8">
        <f>VLOOKUP(B12,'[1]明细表1-业务完成指标 '!$B:$I,8,FALSE)</f>
        <v>0</v>
      </c>
      <c r="D12" s="1">
        <f>VLOOKUP(B12,'[1]明细表1-业务完成指标 '!$B:$C,2,FALSE)</f>
        <v>1650</v>
      </c>
      <c r="E12" s="9">
        <f t="shared" si="3"/>
        <v>0</v>
      </c>
    </row>
    <row r="13" s="1" customFormat="1" customHeight="1" spans="1:9">
      <c r="A13" s="7" t="s">
        <v>18</v>
      </c>
      <c r="B13" s="7" t="s">
        <v>23</v>
      </c>
      <c r="C13" s="8">
        <f>VLOOKUP(B13,'[1]明细表1-业务完成指标 '!$B:$I,8,FALSE)</f>
        <v>0</v>
      </c>
      <c r="D13" s="1">
        <f>VLOOKUP(B13,'[1]明细表1-业务完成指标 '!$B:$C,2,FALSE)</f>
        <v>5500</v>
      </c>
      <c r="E13" s="9">
        <f t="shared" si="3"/>
        <v>0</v>
      </c>
    </row>
    <row r="14" s="1" customFormat="1" customHeight="1" spans="1:9">
      <c r="C14" s="8">
        <f>SUM(C3:C13)</f>
        <v>2488.22</v>
      </c>
      <c r="D14" s="8">
        <f>SUM(D3:D13)</f>
        <v>39600</v>
      </c>
      <c r="E14" s="9">
        <f t="shared" si="3"/>
        <v>0.0628338383838384</v>
      </c>
    </row>
    <row r="15" s="1" customFormat="1" customHeight="1"/>
    <row r="16" s="1" customFormat="1" customHeight="1"/>
    <row r="17" s="1" customFormat="1" customHeight="1" spans="3:8 16374:16384">
      <c r="F17" s="7"/>
      <c r="G17" s="7"/>
    </row>
    <row r="18" s="1" customFormat="1" customHeight="1" spans="3:8 16374:16384">
      <c r="F18" s="7"/>
      <c r="G18" s="7"/>
      <c r="H18" s="8"/>
    </row>
    <row r="19" s="1" customFormat="1" customHeight="1" spans="3:8 16374:16384">
      <c r="F19" s="7"/>
      <c r="G19" s="7"/>
    </row>
    <row r="20" s="1" customFormat="1" customHeight="1" spans="3:8 16374:16384">
      <c r="F20" s="7"/>
      <c r="G20" s="7"/>
      <c r="H20" s="8"/>
    </row>
    <row r="21" s="1" customFormat="1" customHeight="1" spans="3:8 16374:16384">
      <c r="XET21" s="2"/>
      <c r="XEU21" s="2"/>
      <c r="XEV21" s="2"/>
      <c r="XEW21" s="2"/>
      <c r="XEX21" s="2"/>
      <c r="XEY21" s="2"/>
      <c r="XEZ21" s="2"/>
      <c r="XFA21" s="2"/>
      <c r="XFB21" s="2"/>
      <c r="XFC21" s="2"/>
      <c r="XFD21" s="2"/>
    </row>
    <row r="23" s="1" customFormat="1" customHeight="1" spans="3:8 16374:16384">
      <c r="C23" s="10"/>
    </row>
  </sheetData>
  <sortState ref="A3:C13">
    <sortCondition ref="C3" descending="1"/>
  </sortState>
  <mergeCells count="2">
    <mergeCell ref="A1:E1"/>
    <mergeCell ref="F1:I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销售额</vt:lpstr>
      <vt:lpstr>完成比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杨超</cp:lastModifiedBy>
  <dcterms:created xsi:type="dcterms:W3CDTF">2023-05-12T11:15:00Z</dcterms:created>
  <dcterms:modified xsi:type="dcterms:W3CDTF">2026-06-08T11:23:07Z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3D88499E77E44408A056E2B6848A6644_12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