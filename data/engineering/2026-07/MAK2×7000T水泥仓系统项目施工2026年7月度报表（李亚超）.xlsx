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项目施工月度报表" sheetId="1" r:id="rId1"/>
    <sheet name="施工进度计划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<sst xmlns="http://schemas.openxmlformats.org/spreadsheetml/2006/main" count="203" uniqueCount="139">
  <si>
    <r>
      <rPr>
        <b/>
        <sz val="20"/>
        <rFont val="宋体"/>
        <charset val="134"/>
      </rPr>
      <t>项目业财融合施工2026年</t>
    </r>
    <r>
      <rPr>
        <b/>
        <sz val="20"/>
        <color rgb="FFFF0000"/>
        <rFont val="宋体"/>
        <charset val="134"/>
      </rPr>
      <t>（7）</t>
    </r>
    <r>
      <rPr>
        <b/>
        <sz val="20"/>
        <rFont val="宋体"/>
        <charset val="134"/>
      </rPr>
      <t>月度报表</t>
    </r>
  </si>
  <si>
    <t>项目名称：MAK2×7000T水泥仓系统项目</t>
  </si>
  <si>
    <t>项目地址：蒙古国南戈壁省朝格特车其县</t>
  </si>
  <si>
    <t>项目经理：李亚超</t>
  </si>
  <si>
    <t>计划开工日期：2025年9月20日
实际开工日期：2025年10月1日</t>
  </si>
  <si>
    <t>计划完工时间：2026年10月3日</t>
  </si>
  <si>
    <t>报表截止时间: 2026年7月31日</t>
  </si>
  <si>
    <t>一、项目施工目标</t>
  </si>
  <si>
    <t>目标分项名称</t>
  </si>
  <si>
    <t>目标值</t>
  </si>
  <si>
    <t>备注</t>
  </si>
  <si>
    <t>施工总成本目标（万元）</t>
  </si>
  <si>
    <t>606.7万元</t>
  </si>
  <si>
    <t>分项成本目标见附表1安装施工成本预算</t>
  </si>
  <si>
    <t>施工总进度目标</t>
  </si>
  <si>
    <t>土建工程165天、卷边仓110天、总工期225天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</si>
  <si>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</si>
  <si>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</si>
  <si>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</si>
  <si>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</si>
  <si>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</si>
  <si>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</si>
  <si>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</si>
  <si>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</si>
  <si>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</si>
  <si>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</si>
  <si>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</si>
  <si>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</si>
  <si>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</si>
  <si>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</si>
  <si>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</si>
  <si>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</si>
  <si>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</si>
  <si>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</si>
  <si>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土建部分</t>
  </si>
  <si>
    <t>钢板仓、钢结构、设备、电控系统部分</t>
  </si>
  <si>
    <t>其他部分</t>
  </si>
  <si>
    <t>合计</t>
  </si>
  <si>
    <t>三、施工成本</t>
  </si>
  <si>
    <t>预算分项成本
（万元）</t>
  </si>
  <si>
    <t>当月实际支出金额
（万元）</t>
  </si>
  <si>
    <t>当月实际支出/当月完成产值
(%)</t>
  </si>
  <si>
    <t>累计实际支出金额
（万元）</t>
  </si>
  <si>
    <t>累计实际支出/累计实际完成产值
（%）</t>
  </si>
  <si>
    <t>累计实际支出/预算分项成本
（%）</t>
  </si>
  <si>
    <t>土建部分费用合计</t>
  </si>
  <si>
    <t>钢板仓、钢结构、设备、电控系统部分费用合计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</si>
  <si>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</si>
  <si>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</si>
  <si>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</si>
  <si>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</si>
  <si>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</si>
  <si>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</si>
  <si>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</si>
  <si>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材料现场存放</t>
  </si>
  <si>
    <t>与施工同步</t>
  </si>
  <si>
    <t>火车坑外墙防水卷材施工过程中，存在搭接宽度不足问题，已要求整改，汽车衡筏板基础钢筋绑扎过程中间距不符合要求，已整改</t>
  </si>
  <si>
    <t>钢结构安装过程中存在生产加工质量问题，高强螺栓质量瑕疵，已联系公司相关部门处理、整改，除尘器平台栏杆安装，栏杆位置与除尘器安装位置存在冲突，生产加工问题</t>
  </si>
  <si>
    <t>设备调试及验收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</si>
  <si>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</si>
  <si>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</si>
  <si>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</si>
  <si>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</si>
  <si>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</si>
  <si>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</si>
  <si>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</si>
  <si>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</si>
  <si>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</si>
  <si>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</si>
  <si>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r>
      <rPr>
        <sz val="10"/>
        <color theme="1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微软雅黑"/>
        <charset val="134"/>
      </rPr>
      <t xml:space="preserve">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项目经理：李亚超                                                                                                                                                                                                                                                                      
                                                                                                                                                                                                                                                                                                                                2026/7/31</t>
    </r>
  </si>
  <si>
    <t>2025蒙古2×7000吨水泥仓系统项目施工进度计划</t>
  </si>
  <si>
    <t>Phase
工程阶段</t>
  </si>
  <si>
    <t xml:space="preserve">                    时间     Time
Item name 分项名称</t>
  </si>
  <si>
    <t>Start time
开始时间</t>
  </si>
  <si>
    <t>Finished time
完成时间</t>
  </si>
  <si>
    <t>2025年</t>
  </si>
  <si>
    <t>冬歇期</t>
  </si>
  <si>
    <t>2026年</t>
  </si>
  <si>
    <t>9月份</t>
  </si>
  <si>
    <t>10月份</t>
  </si>
  <si>
    <t>11月份</t>
  </si>
  <si>
    <t>2025年12月份-2026年4月20日</t>
  </si>
  <si>
    <t>4月份</t>
  </si>
  <si>
    <t>5月份</t>
  </si>
  <si>
    <t>6月份</t>
  </si>
  <si>
    <t>7月份</t>
  </si>
  <si>
    <t>8月份</t>
  </si>
  <si>
    <t>筒仓部分</t>
  </si>
  <si>
    <t>土方开挖</t>
  </si>
  <si>
    <t>计划</t>
  </si>
  <si>
    <t>备注：按计划完成。</t>
  </si>
  <si>
    <t>冬天休息4个月20天，冬歇后进度与计划进度相比整体推迟35天；计划2026年3月16日日复工，因签证办理原因，实际复工日期为2026年4月21日，后续进度计划按照实际开工日期安排.
，</t>
  </si>
  <si>
    <t>实际</t>
  </si>
  <si>
    <t>筏板基础施工（含垫层）</t>
  </si>
  <si>
    <t>1#2#筒仓一层结构施工</t>
  </si>
  <si>
    <t>备注：因业主混凝土供应延误，本项
工作完成时间延误5天。</t>
  </si>
  <si>
    <t>1#筒仓二层结构施工</t>
  </si>
  <si>
    <t>备注：4月26日下午因8-10级大风沙尘暴天气影响停工0.5天，体检停工0.5天，业主混凝土供应及时预计5月15日完成本项目，工作实际完成日期5月11日</t>
  </si>
  <si>
    <t>1#筒仓减压锥施工</t>
  </si>
  <si>
    <t>备注：5月14日降雨停止施工1天，5月21日因强风（8级）停止施工1天，5月26日强风降雨停工0.5天，5月27日强风停工0.5天，本工作已于5月28日完成</t>
  </si>
  <si>
    <t>2#筒仓二层结构施工</t>
  </si>
  <si>
    <t>备注：5月14日降雨停止施工1天，5月21日因强风（8级）停止施工1天，5月26日强风降雨停工0.5天，5月27日强风停工0.5天，本工作实际6月19日完成，因业主混凝土未供应停工8天</t>
  </si>
  <si>
    <t>2#筒仓减压锥施工</t>
  </si>
  <si>
    <t>备注：6月19日强风停工1天，6月25日降雨停工0.5天</t>
  </si>
  <si>
    <t>汽车衡基础施工</t>
  </si>
  <si>
    <t>备注：本项工作预计8月10日完成</t>
  </si>
  <si>
    <t>塔架+火车坑
部分</t>
  </si>
  <si>
    <t>塔架+火车坑地下室土方挖土</t>
  </si>
  <si>
    <t>塔架+火车坑地下室筏板基础
（含垫层）</t>
  </si>
  <si>
    <t>2025/11/31</t>
  </si>
  <si>
    <t>备注：业主混凝土时间5月20日，20日完成浇筑</t>
  </si>
  <si>
    <t>塔架+火车坑地下室结构</t>
  </si>
  <si>
    <t>备注：6月14日因大风停工0.5天，业主钢筋、止水螺栓未采购完成，钢筋先行使用配电房钢筋进行代换施工，6月19日强风停工1天，6月25日降雨停工0.5天，业主钢筋、止水螺栓等材料未供应，缓慢施工中，业主材料预计7月6日可到场，本工作预计7月16日完成</t>
  </si>
  <si>
    <t>塔架+火车坑地下室外墙防水</t>
  </si>
  <si>
    <t>备注：本项工作已完成，因业主混凝土钢筋、火车坑预埋件等供应不及时推迟</t>
  </si>
  <si>
    <t>塔架+火车坑地下室外墙回填土</t>
  </si>
  <si>
    <t>备注：火车坑地下室防水施工完成后，开始本工作，预计施工周期5天，7月31日完成</t>
  </si>
  <si>
    <t>筒仓工程</t>
  </si>
  <si>
    <t>1#筒仓结构施工</t>
  </si>
  <si>
    <t>备注：6月14日因大风停工1天，6月19日强风停工1天，6月25日降雨停工0.5天，本工作6月30日已完成</t>
  </si>
  <si>
    <t>2#筒仓结构施工</t>
  </si>
  <si>
    <t>备注：7月17日下午、18日下午因强风停止施工，7月19日下午因降雨停止施工，7月24日施工完成</t>
  </si>
  <si>
    <t>1#仓内填坡</t>
  </si>
  <si>
    <t>备注：业主方混凝土地泵未到场，暂未开始施工，预计8月3日开始</t>
  </si>
  <si>
    <t>2#仓内填坡</t>
  </si>
  <si>
    <t>备注：业主方混凝土地泵未到场，暂未开始施工，预计8月5日开始</t>
  </si>
  <si>
    <t>钢结构机电安装工程</t>
  </si>
  <si>
    <t>钢结构安装工程</t>
  </si>
  <si>
    <t>7月19日下午因降雨停止施工，预计8月20日完成</t>
  </si>
  <si>
    <t>工艺管道设备安装工程</t>
  </si>
  <si>
    <t>预计8月20开始</t>
  </si>
  <si>
    <t>电气安装工程</t>
  </si>
  <si>
    <t>预计8月30开始</t>
  </si>
  <si>
    <t>设备调试</t>
  </si>
  <si>
    <t>设备单机调试</t>
  </si>
  <si>
    <t>设备联动调试、负荷试运行</t>
  </si>
  <si>
    <t>竣工移交</t>
  </si>
  <si>
    <t>竣工验收移交</t>
  </si>
  <si>
    <t>河南实荣筒仓工程有限公司工程部：李亚超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</si>
</sst>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sz val="14"/>
      <name val="等线"/>
      <charset val="134"/>
    </font>
    <font>
      <sz val="11"/>
      <color rgb="FFFF0000"/>
      <name val="宋体"/>
      <charset val="134"/>
      <scheme val="minor"/>
    </font>
    <font>
      <sz val="10"/>
      <color theme="0"/>
      <name val="等线"/>
      <charset val="134"/>
    </font>
    <font>
      <b/>
      <sz val="2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  <font>
      <b/>
      <sz val="20"/>
      <color rgb="FFFF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3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38" applyNumberFormat="0" applyAlignment="0" applyProtection="0">
      <alignment vertical="center"/>
    </xf>
    <xf numFmtId="0" fontId="30" fillId="16" borderId="39" applyNumberFormat="0" applyAlignment="0" applyProtection="0">
      <alignment vertical="center"/>
    </xf>
    <xf numFmtId="0" fontId="31" fillId="16" borderId="38" applyNumberFormat="0" applyAlignment="0" applyProtection="0">
      <alignment vertical="center"/>
    </xf>
    <xf numFmtId="0" fontId="32" fillId="17" borderId="40" applyNumberFormat="0" applyAlignment="0" applyProtection="0">
      <alignment vertical="center"/>
    </xf>
    <xf numFmtId="0" fontId="33" fillId="0" borderId="41" applyNumberFormat="0" applyFill="0" applyAlignment="0" applyProtection="0">
      <alignment vertical="center"/>
    </xf>
    <xf numFmtId="0" fontId="34" fillId="0" borderId="42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</cellStyleXfs>
  <cellXfs count="253">
    <xf numFmtId="0" fontId="0" fillId="0" borderId="0" xfId="0"/>
    <xf numFmtId="0" fontId="0" fillId="0" borderId="0" xfId="0" applyFill="1"/>
    <xf numFmtId="0" fontId="0" fillId="0" borderId="0" xfId="0" applyFill="1" applyProtection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57" fontId="2" fillId="0" borderId="6" xfId="0" applyNumberFormat="1" applyFont="1" applyFill="1" applyBorder="1" applyAlignment="1">
      <alignment horizontal="center" vertical="center" wrapText="1"/>
    </xf>
    <xf numFmtId="57" fontId="2" fillId="0" borderId="6" xfId="0" applyNumberFormat="1" applyFont="1" applyFill="1" applyBorder="1" applyAlignment="1">
      <alignment horizontal="center" vertical="center"/>
    </xf>
    <xf numFmtId="57" fontId="2" fillId="0" borderId="7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left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vertical="center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4" fontId="5" fillId="0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0" fillId="0" borderId="6" xfId="0" applyFill="1" applyBorder="1"/>
    <xf numFmtId="0" fontId="0" fillId="0" borderId="7" xfId="0" applyFill="1" applyBorder="1"/>
    <xf numFmtId="0" fontId="5" fillId="2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8" fillId="3" borderId="0" xfId="0" applyFont="1" applyFill="1"/>
    <xf numFmtId="0" fontId="6" fillId="3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0" fillId="0" borderId="16" xfId="0" applyFill="1" applyBorder="1"/>
    <xf numFmtId="0" fontId="0" fillId="0" borderId="17" xfId="0" applyFill="1" applyBorder="1"/>
    <xf numFmtId="0" fontId="6" fillId="0" borderId="6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2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/>
    </xf>
    <xf numFmtId="0" fontId="6" fillId="6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0" fillId="3" borderId="6" xfId="0" applyFill="1" applyBorder="1"/>
    <xf numFmtId="0" fontId="0" fillId="5" borderId="6" xfId="0" applyFill="1" applyBorder="1"/>
    <xf numFmtId="0" fontId="0" fillId="0" borderId="21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22" xfId="0" applyFill="1" applyBorder="1" applyAlignment="1">
      <alignment horizontal="center" wrapText="1"/>
    </xf>
    <xf numFmtId="0" fontId="0" fillId="0" borderId="23" xfId="0" applyFill="1" applyBorder="1" applyAlignment="1">
      <alignment horizontal="center" wrapText="1"/>
    </xf>
    <xf numFmtId="0" fontId="0" fillId="0" borderId="24" xfId="0" applyFill="1" applyBorder="1" applyAlignment="1">
      <alignment horizontal="center" wrapText="1"/>
    </xf>
    <xf numFmtId="31" fontId="0" fillId="0" borderId="25" xfId="0" applyNumberFormat="1" applyFill="1" applyBorder="1" applyAlignment="1">
      <alignment horizontal="center" wrapText="1"/>
    </xf>
    <xf numFmtId="31" fontId="0" fillId="0" borderId="26" xfId="0" applyNumberForma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28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/>
    </xf>
    <xf numFmtId="0" fontId="15" fillId="8" borderId="28" xfId="0" applyFont="1" applyFill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8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176" fontId="16" fillId="9" borderId="6" xfId="0" applyNumberFormat="1" applyFont="1" applyFill="1" applyBorder="1" applyAlignment="1">
      <alignment horizontal="center" vertical="center" wrapText="1"/>
    </xf>
    <xf numFmtId="10" fontId="17" fillId="9" borderId="6" xfId="0" applyNumberFormat="1" applyFont="1" applyFill="1" applyBorder="1" applyAlignment="1" applyProtection="1">
      <alignment horizontal="center" vertical="center"/>
    </xf>
    <xf numFmtId="4" fontId="16" fillId="9" borderId="6" xfId="0" applyNumberFormat="1" applyFont="1" applyFill="1" applyBorder="1" applyAlignment="1">
      <alignment horizontal="center" vertical="center"/>
    </xf>
    <xf numFmtId="10" fontId="17" fillId="9" borderId="6" xfId="0" applyNumberFormat="1" applyFont="1" applyFill="1" applyBorder="1" applyAlignment="1">
      <alignment horizontal="center" vertical="center"/>
    </xf>
    <xf numFmtId="4" fontId="17" fillId="9" borderId="6" xfId="0" applyNumberFormat="1" applyFont="1" applyFill="1" applyBorder="1" applyAlignment="1">
      <alignment horizontal="center" vertical="center"/>
    </xf>
    <xf numFmtId="10" fontId="16" fillId="2" borderId="6" xfId="0" applyNumberFormat="1" applyFont="1" applyFill="1" applyBorder="1" applyAlignment="1">
      <alignment horizontal="center" vertical="center"/>
    </xf>
    <xf numFmtId="176" fontId="17" fillId="9" borderId="28" xfId="0" applyNumberFormat="1" applyFont="1" applyFill="1" applyBorder="1" applyAlignment="1">
      <alignment horizontal="center"/>
    </xf>
    <xf numFmtId="9" fontId="16" fillId="2" borderId="28" xfId="3" applyFont="1" applyFill="1" applyBorder="1" applyAlignment="1">
      <alignment horizontal="center"/>
    </xf>
    <xf numFmtId="0" fontId="17" fillId="9" borderId="7" xfId="0" applyFont="1" applyFill="1" applyBorder="1" applyAlignment="1">
      <alignment horizontal="center" vertical="center"/>
    </xf>
    <xf numFmtId="10" fontId="17" fillId="9" borderId="6" xfId="3" applyNumberFormat="1" applyFont="1" applyFill="1" applyBorder="1" applyAlignment="1" applyProtection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176" fontId="14" fillId="9" borderId="6" xfId="0" applyNumberFormat="1" applyFont="1" applyFill="1" applyBorder="1" applyAlignment="1">
      <alignment horizontal="center" vertical="center"/>
    </xf>
    <xf numFmtId="10" fontId="14" fillId="9" borderId="6" xfId="3" applyNumberFormat="1" applyFont="1" applyFill="1" applyBorder="1" applyAlignment="1">
      <alignment horizontal="center" vertical="center"/>
    </xf>
    <xf numFmtId="10" fontId="16" fillId="9" borderId="6" xfId="0" applyNumberFormat="1" applyFont="1" applyFill="1" applyBorder="1" applyAlignment="1" applyProtection="1">
      <alignment horizontal="center" vertical="center"/>
    </xf>
    <xf numFmtId="176" fontId="15" fillId="9" borderId="28" xfId="0" applyNumberFormat="1" applyFont="1" applyFill="1" applyBorder="1" applyAlignment="1">
      <alignment horizontal="center"/>
    </xf>
    <xf numFmtId="0" fontId="13" fillId="10" borderId="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/>
    </xf>
    <xf numFmtId="0" fontId="16" fillId="10" borderId="28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 wrapText="1"/>
    </xf>
    <xf numFmtId="176" fontId="16" fillId="10" borderId="6" xfId="0" applyNumberFormat="1" applyFont="1" applyFill="1" applyBorder="1" applyAlignment="1">
      <alignment horizontal="center" vertical="center" wrapText="1"/>
    </xf>
    <xf numFmtId="4" fontId="17" fillId="10" borderId="6" xfId="0" applyNumberFormat="1" applyFont="1" applyFill="1" applyBorder="1" applyAlignment="1">
      <alignment horizontal="center" vertical="center"/>
    </xf>
    <xf numFmtId="10" fontId="16" fillId="11" borderId="6" xfId="0" applyNumberFormat="1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19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 wrapText="1"/>
    </xf>
    <xf numFmtId="176" fontId="16" fillId="10" borderId="28" xfId="0" applyNumberFormat="1" applyFont="1" applyFill="1" applyBorder="1" applyAlignment="1">
      <alignment horizontal="center" vertical="center" wrapText="1"/>
    </xf>
    <xf numFmtId="176" fontId="16" fillId="10" borderId="29" xfId="0" applyNumberFormat="1" applyFont="1" applyFill="1" applyBorder="1" applyAlignment="1">
      <alignment horizontal="center" vertical="center" wrapText="1"/>
    </xf>
    <xf numFmtId="4" fontId="16" fillId="10" borderId="6" xfId="0" applyNumberFormat="1" applyFont="1" applyFill="1" applyBorder="1" applyAlignment="1">
      <alignment horizontal="center" vertical="center"/>
    </xf>
    <xf numFmtId="0" fontId="16" fillId="10" borderId="6" xfId="0" applyNumberFormat="1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3" fillId="12" borderId="28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28" xfId="0" applyFont="1" applyFill="1" applyBorder="1" applyAlignment="1">
      <alignment horizontal="center" vertical="center"/>
    </xf>
    <xf numFmtId="0" fontId="14" fillId="12" borderId="29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/>
    </xf>
    <xf numFmtId="0" fontId="16" fillId="12" borderId="29" xfId="0" applyFont="1" applyFill="1" applyBorder="1" applyAlignment="1">
      <alignment horizontal="center" vertical="center"/>
    </xf>
    <xf numFmtId="0" fontId="16" fillId="12" borderId="30" xfId="0" applyFont="1" applyFill="1" applyBorder="1" applyAlignment="1">
      <alignment horizontal="center" vertical="center"/>
    </xf>
    <xf numFmtId="0" fontId="16" fillId="12" borderId="31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 wrapText="1"/>
    </xf>
    <xf numFmtId="9" fontId="14" fillId="12" borderId="28" xfId="0" applyNumberFormat="1" applyFont="1" applyFill="1" applyBorder="1" applyAlignment="1">
      <alignment horizontal="center" vertical="center"/>
    </xf>
    <xf numFmtId="9" fontId="16" fillId="12" borderId="28" xfId="0" applyNumberFormat="1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 wrapText="1"/>
    </xf>
    <xf numFmtId="0" fontId="16" fillId="12" borderId="30" xfId="0" applyFont="1" applyFill="1" applyBorder="1" applyAlignment="1">
      <alignment horizontal="center" vertical="center" wrapText="1"/>
    </xf>
    <xf numFmtId="0" fontId="16" fillId="12" borderId="31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center" vertical="center"/>
    </xf>
    <xf numFmtId="0" fontId="13" fillId="13" borderId="28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0" fontId="20" fillId="13" borderId="28" xfId="0" applyFont="1" applyFill="1" applyBorder="1" applyAlignment="1">
      <alignment horizontal="center"/>
    </xf>
    <xf numFmtId="0" fontId="20" fillId="13" borderId="29" xfId="0" applyFont="1" applyFill="1" applyBorder="1" applyAlignment="1">
      <alignment horizontal="center"/>
    </xf>
    <xf numFmtId="0" fontId="20" fillId="13" borderId="30" xfId="0" applyFont="1" applyFill="1" applyBorder="1" applyAlignment="1">
      <alignment horizontal="center"/>
    </xf>
    <xf numFmtId="0" fontId="20" fillId="13" borderId="31" xfId="0" applyFont="1" applyFill="1" applyBorder="1" applyAlignment="1">
      <alignment horizontal="center"/>
    </xf>
    <xf numFmtId="0" fontId="16" fillId="13" borderId="4" xfId="0" applyFont="1" applyFill="1" applyBorder="1" applyAlignment="1">
      <alignment horizontal="center" vertical="center" wrapText="1"/>
    </xf>
    <xf numFmtId="9" fontId="20" fillId="13" borderId="28" xfId="0" applyNumberFormat="1" applyFont="1" applyFill="1" applyBorder="1" applyAlignment="1">
      <alignment horizontal="center"/>
    </xf>
    <xf numFmtId="31" fontId="20" fillId="0" borderId="32" xfId="0" applyNumberFormat="1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80" zoomScaleNormal="80" workbookViewId="0">
      <selection activeCell="I18" sqref="I18:L21"/>
    </sheetView>
  </sheetViews>
  <sheetFormatPr defaultColWidth="9.12962962962963" defaultRowHeight="15" customHeight="1"/>
  <cols>
    <col min="1" max="1" width="36.6666666666667" customWidth="1"/>
    <col min="2" max="2" width="16.3888888888889" customWidth="1"/>
    <col min="3" max="3" width="15.6944444444444" customWidth="1"/>
    <col min="4" max="4" width="16.6666666666667" customWidth="1"/>
    <col min="5" max="5" width="23.6111111111111" customWidth="1"/>
    <col min="6" max="6" width="18.3333333333333" customWidth="1"/>
    <col min="7" max="7" width="27.2222222222222" customWidth="1"/>
    <col min="8" max="8" width="25" customWidth="1"/>
    <col min="9" max="10" width="15.7777777777778" customWidth="1"/>
    <col min="11" max="11" width="18.4722222222222" customWidth="1"/>
    <col min="12" max="12" width="17.7777777777778" customWidth="1"/>
    <col min="14" max="14" width="12.8888888888889"/>
  </cols>
  <sheetData>
    <row r="1" ht="30" customHeight="1" spans="1:12">
      <c r="A1" s="138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40"/>
      <c r="L1" s="141"/>
    </row>
    <row r="2" ht="22" customHeight="1" spans="1:12">
      <c r="A2" s="142" t="s">
        <v>1</v>
      </c>
      <c r="B2" s="143"/>
      <c r="C2" s="143"/>
      <c r="D2" s="143"/>
      <c r="E2" s="143" t="s">
        <v>2</v>
      </c>
      <c r="F2" s="143"/>
      <c r="G2" s="143"/>
      <c r="H2" s="143" t="s">
        <v>3</v>
      </c>
      <c r="I2" s="143"/>
      <c r="J2" s="143"/>
      <c r="K2" s="144"/>
      <c r="L2" s="145"/>
    </row>
    <row r="3" ht="31" customHeight="1" spans="1:12">
      <c r="A3" s="146" t="s">
        <v>4</v>
      </c>
      <c r="B3" s="143"/>
      <c r="C3" s="143"/>
      <c r="D3" s="143"/>
      <c r="E3" s="147" t="s">
        <v>5</v>
      </c>
      <c r="F3" s="148"/>
      <c r="G3" s="148"/>
      <c r="H3" s="149" t="s">
        <v>6</v>
      </c>
      <c r="I3" s="150"/>
      <c r="J3" s="150"/>
      <c r="K3" s="150"/>
      <c r="L3" s="151"/>
    </row>
    <row r="4" ht="18" customHeight="1" spans="1:12">
      <c r="A4" s="152" t="s">
        <v>7</v>
      </c>
      <c r="B4" s="153"/>
      <c r="C4" s="153"/>
      <c r="D4" s="153"/>
      <c r="E4" s="153"/>
      <c r="F4" s="153"/>
      <c r="G4" s="153"/>
      <c r="H4" s="153"/>
      <c r="I4" s="153"/>
      <c r="J4" s="153"/>
      <c r="K4" s="154"/>
      <c r="L4" s="155"/>
    </row>
    <row r="5" ht="18" customHeight="1" spans="1:12">
      <c r="A5" s="156" t="s">
        <v>8</v>
      </c>
      <c r="B5" s="157"/>
      <c r="C5" s="157"/>
      <c r="D5" s="157"/>
      <c r="E5" s="158" t="s">
        <v>9</v>
      </c>
      <c r="F5" s="158"/>
      <c r="G5" s="158"/>
      <c r="H5" s="158" t="s">
        <v>10</v>
      </c>
      <c r="I5" s="158"/>
      <c r="J5" s="158"/>
      <c r="K5" s="159"/>
      <c r="L5" s="160"/>
    </row>
    <row r="6" ht="18" customHeight="1" spans="1:12">
      <c r="A6" s="161" t="s">
        <v>11</v>
      </c>
      <c r="B6" s="162"/>
      <c r="C6" s="162"/>
      <c r="D6" s="162"/>
      <c r="E6" s="163" t="s">
        <v>12</v>
      </c>
      <c r="F6" s="163"/>
      <c r="G6" s="163"/>
      <c r="H6" s="158" t="s">
        <v>13</v>
      </c>
      <c r="I6" s="158"/>
      <c r="J6" s="158"/>
      <c r="K6" s="159"/>
      <c r="L6" s="160"/>
    </row>
    <row r="7" ht="18" customHeight="1" spans="1:12">
      <c r="A7" s="161" t="s">
        <v>14</v>
      </c>
      <c r="B7" s="162"/>
      <c r="C7" s="162"/>
      <c r="D7" s="162"/>
      <c r="E7" s="163" t="s">
        <v>15</v>
      </c>
      <c r="F7" s="163"/>
      <c r="G7" s="163"/>
      <c r="H7" s="158" t="s">
        <v>16</v>
      </c>
      <c r="I7" s="158"/>
      <c r="J7" s="158"/>
      <c r="K7" s="159"/>
      <c r="L7" s="160"/>
    </row>
    <row r="8" ht="18" customHeight="1" spans="1:12">
      <c r="A8" s="161" t="s">
        <v>17</v>
      </c>
      <c r="B8" s="162"/>
      <c r="C8" s="162"/>
      <c r="D8" s="162"/>
      <c r="E8" s="163" t="s">
        <v>18</v>
      </c>
      <c r="F8" s="163"/>
      <c r="G8" s="163"/>
      <c r="H8" s="158"/>
      <c r="I8" s="158"/>
      <c r="J8" s="158"/>
      <c r="K8" s="159"/>
      <c r="L8" s="160"/>
    </row>
    <row r="9" ht="18" customHeight="1" spans="1:12">
      <c r="A9" s="161" t="s">
        <v>19</v>
      </c>
      <c r="B9" s="162"/>
      <c r="C9" s="162"/>
      <c r="D9" s="162"/>
      <c r="E9" s="163" t="s">
        <v>20</v>
      </c>
      <c r="F9" s="163"/>
      <c r="G9" s="163"/>
      <c r="H9" s="158"/>
      <c r="I9" s="158"/>
      <c r="J9" s="158"/>
      <c r="K9" s="159"/>
      <c r="L9" s="160"/>
    </row>
    <row r="10" ht="18" customHeight="1" spans="1:12">
      <c r="A10" s="164" t="s">
        <v>21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6"/>
      <c r="L10" s="167"/>
    </row>
    <row r="11" ht="30" customHeight="1" spans="1:12">
      <c r="A11" s="168" t="s">
        <v>22</v>
      </c>
      <c r="B11" s="169" t="s">
        <v>23</v>
      </c>
      <c r="C11" s="169" t="s">
        <v>24</v>
      </c>
      <c r="D11" s="169" t="s">
        <v>25</v>
      </c>
      <c r="E11" s="169" t="s">
        <v>26</v>
      </c>
      <c r="F11" s="169" t="s">
        <v>27</v>
      </c>
      <c r="G11" s="169" t="s">
        <v>28</v>
      </c>
      <c r="H11" s="169" t="s">
        <v>29</v>
      </c>
      <c r="I11" s="170" t="s">
        <v>30</v>
      </c>
      <c r="J11" s="171" t="s">
        <v>31</v>
      </c>
      <c r="K11" s="172" t="s">
        <v>32</v>
      </c>
      <c r="L11" s="173" t="s">
        <v>33</v>
      </c>
    </row>
    <row r="12" ht="18" customHeight="1" spans="1:12">
      <c r="A12" s="174" t="s">
        <v>34</v>
      </c>
      <c r="B12" s="175">
        <v>165</v>
      </c>
      <c r="C12" s="176">
        <v>328</v>
      </c>
      <c r="D12" s="177">
        <v>0.167</v>
      </c>
      <c r="E12" s="178">
        <f>C12*D12</f>
        <v>54.776</v>
      </c>
      <c r="F12" s="179">
        <v>0.9</v>
      </c>
      <c r="G12" s="178">
        <f>C12*F12</f>
        <v>295.2</v>
      </c>
      <c r="H12" s="180">
        <f>C12/B12*31</f>
        <v>61.6242424242424</v>
      </c>
      <c r="I12" s="181">
        <f>E12/H12</f>
        <v>0.888870967741935</v>
      </c>
      <c r="J12" s="182">
        <f>C12/B12*162</f>
        <v>322.036363636364</v>
      </c>
      <c r="K12" s="183">
        <f>G12/J12</f>
        <v>0.916666666666667</v>
      </c>
      <c r="L12" s="184">
        <v>3</v>
      </c>
    </row>
    <row r="13" ht="18" customHeight="1" spans="1:12">
      <c r="A13" s="174" t="s">
        <v>35</v>
      </c>
      <c r="B13" s="175">
        <v>110</v>
      </c>
      <c r="C13" s="176">
        <v>183</v>
      </c>
      <c r="D13" s="179">
        <v>0.228</v>
      </c>
      <c r="E13" s="178">
        <f>C13*D13</f>
        <v>41.724</v>
      </c>
      <c r="F13" s="179">
        <v>0.381</v>
      </c>
      <c r="G13" s="178">
        <f>C13*F13</f>
        <v>69.723</v>
      </c>
      <c r="H13" s="180">
        <f>C13/B13*31</f>
        <v>51.5727272727273</v>
      </c>
      <c r="I13" s="181">
        <f>E13/H13</f>
        <v>0.809032258064516</v>
      </c>
      <c r="J13" s="182">
        <f>C13/B13*59</f>
        <v>98.1545454545455</v>
      </c>
      <c r="K13" s="183">
        <f>G13/J13</f>
        <v>0.710338983050847</v>
      </c>
      <c r="L13" s="184">
        <v>51</v>
      </c>
    </row>
    <row r="14" ht="18" customHeight="1" spans="1:12">
      <c r="A14" s="174" t="s">
        <v>36</v>
      </c>
      <c r="B14" s="175">
        <v>225</v>
      </c>
      <c r="C14" s="176">
        <v>95.7</v>
      </c>
      <c r="D14" s="185">
        <v>0.218</v>
      </c>
      <c r="E14" s="178">
        <f>C14*D14</f>
        <v>20.8626</v>
      </c>
      <c r="F14" s="177">
        <v>0.635</v>
      </c>
      <c r="G14" s="178">
        <f>C14*F14</f>
        <v>60.7695</v>
      </c>
      <c r="H14" s="180">
        <f>C14/B14*31</f>
        <v>13.1853333333333</v>
      </c>
      <c r="I14" s="181">
        <f>E14/H14</f>
        <v>1.58225806451613</v>
      </c>
      <c r="J14" s="182">
        <f>C14/B14*162</f>
        <v>68.904</v>
      </c>
      <c r="K14" s="183">
        <f>G14/J14</f>
        <v>0.881944444444445</v>
      </c>
      <c r="L14" s="184">
        <v>62</v>
      </c>
    </row>
    <row r="15" ht="18" customHeight="1" spans="1:12">
      <c r="A15" s="168" t="s">
        <v>37</v>
      </c>
      <c r="B15" s="186">
        <v>225</v>
      </c>
      <c r="C15" s="187">
        <f>SUM(C12:C14)</f>
        <v>606.7</v>
      </c>
      <c r="D15" s="188">
        <f>E15/C15</f>
        <v>0.193444206362288</v>
      </c>
      <c r="E15" s="178">
        <f>SUM(E12:E14)</f>
        <v>117.3626</v>
      </c>
      <c r="F15" s="189">
        <f>G15/C15</f>
        <v>0.701652381737267</v>
      </c>
      <c r="G15" s="178">
        <f>SUM(G12:G14)</f>
        <v>425.6925</v>
      </c>
      <c r="H15" s="178">
        <f>SUM(H12:H14)</f>
        <v>126.382303030303</v>
      </c>
      <c r="I15" s="181">
        <f>E15/H15</f>
        <v>0.928631597826317</v>
      </c>
      <c r="J15" s="190">
        <f>SUM(J12:J14)</f>
        <v>489.094909090909</v>
      </c>
      <c r="K15" s="183">
        <f>G15/J15</f>
        <v>0.870367881749666</v>
      </c>
      <c r="L15" s="184">
        <v>62</v>
      </c>
    </row>
    <row r="16" ht="18" customHeight="1" spans="1:12">
      <c r="A16" s="191" t="s">
        <v>38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3"/>
      <c r="L16" s="194"/>
    </row>
    <row r="17" ht="30" customHeight="1" spans="1:12">
      <c r="A17" s="195" t="s">
        <v>22</v>
      </c>
      <c r="B17" s="196" t="s">
        <v>39</v>
      </c>
      <c r="C17" s="197"/>
      <c r="D17" s="196" t="s">
        <v>40</v>
      </c>
      <c r="E17" s="170" t="s">
        <v>41</v>
      </c>
      <c r="F17" s="196" t="s">
        <v>42</v>
      </c>
      <c r="G17" s="170" t="s">
        <v>43</v>
      </c>
      <c r="H17" s="198" t="s">
        <v>44</v>
      </c>
      <c r="I17" s="199" t="s">
        <v>10</v>
      </c>
      <c r="J17" s="199"/>
      <c r="K17" s="200"/>
      <c r="L17" s="201"/>
    </row>
    <row r="18" ht="18" customHeight="1" spans="1:12">
      <c r="A18" s="202" t="s">
        <v>45</v>
      </c>
      <c r="B18" s="203">
        <v>328</v>
      </c>
      <c r="C18" s="203"/>
      <c r="D18" s="204">
        <v>0</v>
      </c>
      <c r="E18" s="181">
        <f>D18/E12</f>
        <v>0</v>
      </c>
      <c r="F18" s="204">
        <v>225.5</v>
      </c>
      <c r="G18" s="181">
        <f>F18/G12</f>
        <v>0.763888888888889</v>
      </c>
      <c r="H18" s="205">
        <f>F18/B18</f>
        <v>0.6875</v>
      </c>
      <c r="I18" s="206"/>
      <c r="J18" s="207"/>
      <c r="K18" s="207"/>
      <c r="L18" s="208"/>
    </row>
    <row r="19" ht="18" customHeight="1" spans="1:12">
      <c r="A19" s="209" t="s">
        <v>46</v>
      </c>
      <c r="B19" s="203">
        <v>183</v>
      </c>
      <c r="C19" s="203"/>
      <c r="D19" s="204">
        <v>32.6</v>
      </c>
      <c r="E19" s="181">
        <f>E13/D19</f>
        <v>1.2798773006135</v>
      </c>
      <c r="F19" s="204">
        <v>57.05</v>
      </c>
      <c r="G19" s="181">
        <f>F19/G13</f>
        <v>0.818237884198901</v>
      </c>
      <c r="H19" s="205">
        <f>F19/B19</f>
        <v>0.311748633879781</v>
      </c>
      <c r="I19" s="210"/>
      <c r="J19" s="211"/>
      <c r="K19" s="211"/>
      <c r="L19" s="212"/>
    </row>
    <row r="20" ht="18" customHeight="1" spans="1:12">
      <c r="A20" s="213" t="s">
        <v>36</v>
      </c>
      <c r="B20" s="214">
        <v>95.7</v>
      </c>
      <c r="C20" s="215"/>
      <c r="D20" s="204">
        <v>4.59</v>
      </c>
      <c r="E20" s="181">
        <f>D20/E14</f>
        <v>0.220010928647436</v>
      </c>
      <c r="F20" s="204">
        <v>44.5</v>
      </c>
      <c r="G20" s="181">
        <f>F20/G14</f>
        <v>0.73227523675528</v>
      </c>
      <c r="H20" s="205">
        <f>F20/B20</f>
        <v>0.464994775339603</v>
      </c>
      <c r="I20" s="210"/>
      <c r="J20" s="211"/>
      <c r="K20" s="211"/>
      <c r="L20" s="212"/>
    </row>
    <row r="21" ht="18" customHeight="1" spans="1:12">
      <c r="A21" s="213" t="s">
        <v>47</v>
      </c>
      <c r="B21" s="203">
        <f>SUM(B18:C20)</f>
        <v>606.7</v>
      </c>
      <c r="C21" s="203"/>
      <c r="D21" s="216">
        <f>SUM(D18:D19)</f>
        <v>32.6</v>
      </c>
      <c r="E21" s="181">
        <f>D21/E15</f>
        <v>0.277771624009693</v>
      </c>
      <c r="F21" s="217">
        <f>SUM(F18:F20)</f>
        <v>327.05</v>
      </c>
      <c r="G21" s="181">
        <f>F21/G15</f>
        <v>0.768277571251549</v>
      </c>
      <c r="H21" s="205">
        <f>F21/B21</f>
        <v>0.539063787703972</v>
      </c>
      <c r="I21" s="218"/>
      <c r="J21" s="219"/>
      <c r="K21" s="219"/>
      <c r="L21" s="220"/>
    </row>
    <row r="22" ht="18" customHeight="1" spans="1:1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3"/>
      <c r="L22" s="224"/>
    </row>
    <row r="23" ht="18" customHeight="1" spans="1:12">
      <c r="A23" s="225" t="s">
        <v>22</v>
      </c>
      <c r="B23" s="226" t="s">
        <v>49</v>
      </c>
      <c r="C23" s="227"/>
      <c r="D23" s="226" t="s">
        <v>50</v>
      </c>
      <c r="E23" s="227"/>
      <c r="F23" s="228" t="s">
        <v>51</v>
      </c>
      <c r="G23" s="229"/>
      <c r="H23" s="228" t="s">
        <v>52</v>
      </c>
      <c r="I23" s="229"/>
      <c r="J23" s="228" t="s">
        <v>53</v>
      </c>
      <c r="K23" s="230"/>
      <c r="L23" s="231"/>
    </row>
    <row r="24" ht="30" customHeight="1" spans="1:12">
      <c r="A24" s="232" t="s">
        <v>34</v>
      </c>
      <c r="B24" s="233">
        <v>1</v>
      </c>
      <c r="C24" s="227"/>
      <c r="D24" s="226" t="s">
        <v>54</v>
      </c>
      <c r="E24" s="227"/>
      <c r="F24" s="234">
        <v>1</v>
      </c>
      <c r="G24" s="229"/>
      <c r="H24" s="228" t="s">
        <v>55</v>
      </c>
      <c r="I24" s="229"/>
      <c r="J24" s="235" t="s">
        <v>56</v>
      </c>
      <c r="K24" s="236"/>
      <c r="L24" s="237"/>
    </row>
    <row r="25" ht="45" customHeight="1" spans="1:12">
      <c r="A25" s="232" t="s">
        <v>35</v>
      </c>
      <c r="B25" s="233">
        <v>1</v>
      </c>
      <c r="C25" s="227"/>
      <c r="D25" s="226" t="s">
        <v>54</v>
      </c>
      <c r="E25" s="227"/>
      <c r="F25" s="234">
        <v>1</v>
      </c>
      <c r="G25" s="229"/>
      <c r="H25" s="228" t="s">
        <v>55</v>
      </c>
      <c r="I25" s="229"/>
      <c r="J25" s="235" t="s">
        <v>57</v>
      </c>
      <c r="K25" s="236"/>
      <c r="L25" s="237"/>
    </row>
    <row r="26" ht="30" customHeight="1" spans="1:12">
      <c r="A26" s="232" t="s">
        <v>58</v>
      </c>
      <c r="B26" s="226"/>
      <c r="C26" s="227"/>
      <c r="D26" s="226"/>
      <c r="E26" s="227"/>
      <c r="F26" s="228"/>
      <c r="G26" s="229"/>
      <c r="H26" s="228"/>
      <c r="I26" s="229"/>
      <c r="J26" s="228"/>
      <c r="K26" s="230"/>
      <c r="L26" s="231"/>
    </row>
    <row r="27" ht="18" customHeight="1" spans="1:12">
      <c r="A27" s="238" t="s">
        <v>59</v>
      </c>
      <c r="B27" s="239"/>
      <c r="C27" s="239"/>
      <c r="D27" s="239"/>
      <c r="E27" s="239"/>
      <c r="F27" s="239"/>
      <c r="G27" s="239"/>
      <c r="H27" s="239"/>
      <c r="I27" s="239"/>
      <c r="J27" s="239"/>
      <c r="K27" s="240"/>
      <c r="L27" s="241"/>
    </row>
    <row r="28" ht="18" customHeight="1" spans="1:12">
      <c r="A28" s="242" t="s">
        <v>22</v>
      </c>
      <c r="B28" s="243" t="s">
        <v>60</v>
      </c>
      <c r="C28" s="244"/>
      <c r="D28" s="243" t="s">
        <v>61</v>
      </c>
      <c r="E28" s="244"/>
      <c r="F28" s="243" t="s">
        <v>62</v>
      </c>
      <c r="G28" s="244"/>
      <c r="H28" s="243" t="s">
        <v>63</v>
      </c>
      <c r="I28" s="244"/>
      <c r="J28" s="243" t="s">
        <v>64</v>
      </c>
      <c r="K28" s="245"/>
      <c r="L28" s="246"/>
    </row>
    <row r="29" ht="18" customHeight="1" spans="1:12">
      <c r="A29" s="247" t="s">
        <v>34</v>
      </c>
      <c r="B29" s="243" t="s">
        <v>65</v>
      </c>
      <c r="C29" s="244"/>
      <c r="D29" s="243" t="s">
        <v>66</v>
      </c>
      <c r="E29" s="244"/>
      <c r="F29" s="243" t="s">
        <v>67</v>
      </c>
      <c r="G29" s="244"/>
      <c r="H29" s="248">
        <v>1</v>
      </c>
      <c r="I29" s="244"/>
      <c r="J29" s="243" t="s">
        <v>68</v>
      </c>
      <c r="K29" s="245"/>
      <c r="L29" s="246"/>
    </row>
    <row r="30" ht="18" customHeight="1" spans="1:12">
      <c r="A30" s="247" t="s">
        <v>35</v>
      </c>
      <c r="B30" s="243" t="s">
        <v>65</v>
      </c>
      <c r="C30" s="244"/>
      <c r="D30" s="243" t="s">
        <v>66</v>
      </c>
      <c r="E30" s="244"/>
      <c r="F30" s="243" t="s">
        <v>67</v>
      </c>
      <c r="G30" s="244"/>
      <c r="H30" s="248">
        <v>1</v>
      </c>
      <c r="I30" s="244"/>
      <c r="J30" s="243" t="s">
        <v>68</v>
      </c>
      <c r="K30" s="245"/>
      <c r="L30" s="246"/>
    </row>
    <row r="31" ht="18" customHeight="1" spans="1:12">
      <c r="A31" s="247" t="s">
        <v>58</v>
      </c>
      <c r="B31" s="243"/>
      <c r="C31" s="244"/>
      <c r="D31" s="243"/>
      <c r="E31" s="244"/>
      <c r="F31" s="243"/>
      <c r="G31" s="244"/>
      <c r="H31" s="243"/>
      <c r="I31" s="244"/>
      <c r="J31" s="243"/>
      <c r="K31" s="245"/>
      <c r="L31" s="246"/>
    </row>
    <row r="32" ht="45" customHeight="1" spans="1:12">
      <c r="A32" s="249" t="s">
        <v>69</v>
      </c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1"/>
    </row>
    <row r="33" customHeight="1" spans="1:3">
      <c r="A33" s="252"/>
      <c r="B33" s="252"/>
      <c r="C33" s="252"/>
    </row>
  </sheetData>
  <mergeCells count="76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6:L16"/>
    <mergeCell ref="B17:C17"/>
    <mergeCell ref="I17:L17"/>
    <mergeCell ref="B18:C18"/>
    <mergeCell ref="B19:C19"/>
    <mergeCell ref="B20:C20"/>
    <mergeCell ref="B21:C21"/>
    <mergeCell ref="A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A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A32:L32"/>
    <mergeCell ref="A33:J33"/>
    <mergeCell ref="I18:L21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52"/>
  <sheetViews>
    <sheetView tabSelected="1" zoomScale="70" zoomScaleNormal="70" topLeftCell="B1" workbookViewId="0">
      <selection activeCell="BF32" sqref="BF32:BI32"/>
    </sheetView>
  </sheetViews>
  <sheetFormatPr defaultColWidth="8.88888888888889" defaultRowHeight="14.4"/>
  <cols>
    <col min="1" max="1" width="9.86111111111111" style="1" customWidth="1"/>
    <col min="2" max="2" width="27.4074074074074" style="1" customWidth="1"/>
    <col min="3" max="3" width="10.5555555555556" style="1" customWidth="1"/>
    <col min="4" max="4" width="12.5925925925926" style="1" customWidth="1"/>
    <col min="5" max="5" width="14.6296296296296" style="1" customWidth="1"/>
    <col min="6" max="20" width="3.27777777777778" style="1" customWidth="1"/>
    <col min="21" max="26" width="2.37962962962963" style="1" customWidth="1"/>
    <col min="27" max="27" width="1.94444444444444" style="1" customWidth="1"/>
    <col min="28" max="31" width="2.57407407407407" style="1" customWidth="1"/>
    <col min="32" max="32" width="2.36111111111111" style="1" customWidth="1"/>
    <col min="33" max="33" width="2.57407407407407" style="1" hidden="1" customWidth="1"/>
    <col min="34" max="34" width="1.11111111111111" style="1" hidden="1" customWidth="1"/>
    <col min="35" max="41" width="2.57407407407407" style="1" hidden="1" customWidth="1"/>
    <col min="42" max="48" width="2.98148148148148" style="1" customWidth="1"/>
    <col min="49" max="83" width="3.27777777777778" style="1" customWidth="1"/>
    <col min="84" max="16384" width="8.88888888888889" style="1"/>
  </cols>
  <sheetData>
    <row r="1" s="1" customFormat="1" ht="30" customHeight="1" spans="1:83">
      <c r="A1" s="3" t="s">
        <v>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5"/>
    </row>
    <row r="2" s="1" customFormat="1" ht="18" customHeight="1" spans="1:83">
      <c r="A2" s="6" t="s">
        <v>71</v>
      </c>
      <c r="B2" s="7" t="s">
        <v>72</v>
      </c>
      <c r="C2" s="8" t="s">
        <v>10</v>
      </c>
      <c r="D2" s="8" t="s">
        <v>73</v>
      </c>
      <c r="E2" s="8" t="s">
        <v>74</v>
      </c>
      <c r="F2" s="9" t="s">
        <v>75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 t="s">
        <v>76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 t="s">
        <v>77</v>
      </c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1"/>
    </row>
    <row r="3" s="2" customFormat="1" ht="18" customHeight="1" spans="1:83">
      <c r="A3" s="12"/>
      <c r="B3" s="13"/>
      <c r="C3" s="14"/>
      <c r="D3" s="14"/>
      <c r="E3" s="14"/>
      <c r="F3" s="15" t="s">
        <v>78</v>
      </c>
      <c r="G3" s="15"/>
      <c r="H3" s="16"/>
      <c r="I3" s="15" t="s">
        <v>79</v>
      </c>
      <c r="J3" s="15"/>
      <c r="K3" s="15"/>
      <c r="L3" s="15"/>
      <c r="M3" s="15"/>
      <c r="N3" s="15"/>
      <c r="O3" s="15" t="s">
        <v>80</v>
      </c>
      <c r="P3" s="15"/>
      <c r="Q3" s="15"/>
      <c r="R3" s="15"/>
      <c r="S3" s="15"/>
      <c r="T3" s="15"/>
      <c r="U3" s="14" t="s">
        <v>81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5" t="s">
        <v>82</v>
      </c>
      <c r="AX3" s="15"/>
      <c r="AY3" s="15" t="s">
        <v>83</v>
      </c>
      <c r="AZ3" s="15"/>
      <c r="BA3" s="15"/>
      <c r="BB3" s="15"/>
      <c r="BC3" s="15"/>
      <c r="BD3" s="15"/>
      <c r="BE3" s="15" t="s">
        <v>84</v>
      </c>
      <c r="BF3" s="15"/>
      <c r="BG3" s="15"/>
      <c r="BH3" s="15"/>
      <c r="BI3" s="15"/>
      <c r="BJ3" s="15"/>
      <c r="BK3" s="15" t="s">
        <v>85</v>
      </c>
      <c r="BL3" s="15"/>
      <c r="BM3" s="15"/>
      <c r="BN3" s="15"/>
      <c r="BO3" s="15"/>
      <c r="BP3" s="15"/>
      <c r="BQ3" s="15" t="s">
        <v>86</v>
      </c>
      <c r="BR3" s="15"/>
      <c r="BS3" s="15"/>
      <c r="BT3" s="15"/>
      <c r="BU3" s="15"/>
      <c r="BV3" s="15"/>
      <c r="BW3" s="15" t="s">
        <v>78</v>
      </c>
      <c r="BX3" s="15"/>
      <c r="BY3" s="15"/>
      <c r="BZ3" s="15"/>
      <c r="CA3" s="15"/>
      <c r="CB3" s="15"/>
      <c r="CC3" s="17" t="s">
        <v>79</v>
      </c>
      <c r="CD3" s="17"/>
      <c r="CE3" s="18"/>
    </row>
    <row r="4" s="2" customFormat="1" ht="18" customHeight="1" spans="1:83">
      <c r="A4" s="12"/>
      <c r="B4" s="13"/>
      <c r="C4" s="14"/>
      <c r="D4" s="14"/>
      <c r="E4" s="14"/>
      <c r="F4" s="19">
        <v>20</v>
      </c>
      <c r="G4" s="19">
        <v>25</v>
      </c>
      <c r="H4" s="19">
        <v>30</v>
      </c>
      <c r="I4" s="19">
        <v>5</v>
      </c>
      <c r="J4" s="19">
        <v>10</v>
      </c>
      <c r="K4" s="19">
        <v>15</v>
      </c>
      <c r="L4" s="19">
        <v>20</v>
      </c>
      <c r="M4" s="19">
        <v>25</v>
      </c>
      <c r="N4" s="19">
        <v>31</v>
      </c>
      <c r="O4" s="17">
        <v>5</v>
      </c>
      <c r="P4" s="17">
        <v>10</v>
      </c>
      <c r="Q4" s="17">
        <v>15</v>
      </c>
      <c r="R4" s="17">
        <v>20</v>
      </c>
      <c r="S4" s="17">
        <v>25</v>
      </c>
      <c r="T4" s="17">
        <v>31</v>
      </c>
      <c r="U4" s="20">
        <v>5</v>
      </c>
      <c r="V4" s="21">
        <v>10</v>
      </c>
      <c r="W4" s="20">
        <v>15</v>
      </c>
      <c r="X4" s="21">
        <v>20</v>
      </c>
      <c r="Y4" s="20">
        <v>25</v>
      </c>
      <c r="Z4" s="21">
        <v>30</v>
      </c>
      <c r="AA4" s="20">
        <v>35</v>
      </c>
      <c r="AB4" s="21">
        <v>40</v>
      </c>
      <c r="AC4" s="20">
        <v>45</v>
      </c>
      <c r="AD4" s="21">
        <v>50</v>
      </c>
      <c r="AE4" s="20">
        <v>55</v>
      </c>
      <c r="AF4" s="21">
        <v>60</v>
      </c>
      <c r="AG4" s="20">
        <v>65</v>
      </c>
      <c r="AH4" s="21">
        <v>70</v>
      </c>
      <c r="AI4" s="20">
        <v>75</v>
      </c>
      <c r="AJ4" s="21">
        <v>80</v>
      </c>
      <c r="AK4" s="20">
        <v>85</v>
      </c>
      <c r="AL4" s="21">
        <v>90</v>
      </c>
      <c r="AM4" s="20">
        <v>95</v>
      </c>
      <c r="AN4" s="21">
        <v>100</v>
      </c>
      <c r="AO4" s="20">
        <v>105</v>
      </c>
      <c r="AP4" s="21">
        <v>110</v>
      </c>
      <c r="AQ4" s="20">
        <v>115</v>
      </c>
      <c r="AR4" s="21">
        <v>120</v>
      </c>
      <c r="AS4" s="20">
        <v>125</v>
      </c>
      <c r="AT4" s="21">
        <v>130</v>
      </c>
      <c r="AU4" s="20">
        <v>135</v>
      </c>
      <c r="AV4" s="21">
        <v>140</v>
      </c>
      <c r="AW4" s="17">
        <v>25</v>
      </c>
      <c r="AX4" s="17">
        <v>30</v>
      </c>
      <c r="AY4" s="17">
        <v>5</v>
      </c>
      <c r="AZ4" s="17">
        <v>10</v>
      </c>
      <c r="BA4" s="17">
        <v>15</v>
      </c>
      <c r="BB4" s="17">
        <v>20</v>
      </c>
      <c r="BC4" s="17">
        <v>25</v>
      </c>
      <c r="BD4" s="17">
        <v>31</v>
      </c>
      <c r="BE4" s="17">
        <v>5</v>
      </c>
      <c r="BF4" s="17">
        <v>10</v>
      </c>
      <c r="BG4" s="17">
        <v>15</v>
      </c>
      <c r="BH4" s="17">
        <v>20</v>
      </c>
      <c r="BI4" s="17">
        <v>25</v>
      </c>
      <c r="BJ4" s="17">
        <v>30</v>
      </c>
      <c r="BK4" s="17">
        <v>5</v>
      </c>
      <c r="BL4" s="17">
        <v>10</v>
      </c>
      <c r="BM4" s="17">
        <v>15</v>
      </c>
      <c r="BN4" s="17">
        <v>20</v>
      </c>
      <c r="BO4" s="17">
        <v>25</v>
      </c>
      <c r="BP4" s="17">
        <v>31</v>
      </c>
      <c r="BQ4" s="17">
        <v>5</v>
      </c>
      <c r="BR4" s="17">
        <v>10</v>
      </c>
      <c r="BS4" s="17">
        <v>15</v>
      </c>
      <c r="BT4" s="17">
        <v>20</v>
      </c>
      <c r="BU4" s="17">
        <v>25</v>
      </c>
      <c r="BV4" s="17">
        <v>31</v>
      </c>
      <c r="BW4" s="17">
        <v>5</v>
      </c>
      <c r="BX4" s="17">
        <v>10</v>
      </c>
      <c r="BY4" s="17">
        <v>15</v>
      </c>
      <c r="BZ4" s="17">
        <v>20</v>
      </c>
      <c r="CA4" s="17">
        <v>25</v>
      </c>
      <c r="CB4" s="17">
        <v>30</v>
      </c>
      <c r="CC4" s="17">
        <v>5</v>
      </c>
      <c r="CD4" s="17">
        <v>10</v>
      </c>
      <c r="CE4" s="18">
        <v>15</v>
      </c>
    </row>
    <row r="5" s="1" customFormat="1" ht="18" customHeight="1" spans="1:83">
      <c r="A5" s="22" t="s">
        <v>87</v>
      </c>
      <c r="B5" s="23" t="s">
        <v>88</v>
      </c>
      <c r="C5" s="24" t="s">
        <v>89</v>
      </c>
      <c r="D5" s="25">
        <v>45926</v>
      </c>
      <c r="E5" s="25">
        <v>45930</v>
      </c>
      <c r="F5" s="24"/>
      <c r="G5" s="24"/>
      <c r="H5" s="26"/>
      <c r="I5" s="27"/>
      <c r="J5" s="27"/>
      <c r="K5" s="28" t="s">
        <v>90</v>
      </c>
      <c r="L5" s="29"/>
      <c r="M5" s="29"/>
      <c r="N5" s="29"/>
      <c r="O5" s="29"/>
      <c r="P5" s="29"/>
      <c r="Q5" s="29"/>
      <c r="R5" s="27"/>
      <c r="S5" s="27"/>
      <c r="T5" s="27"/>
      <c r="U5" s="30" t="s">
        <v>91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31"/>
      <c r="BV5" s="31"/>
      <c r="BW5" s="32"/>
      <c r="BX5" s="32"/>
      <c r="BY5" s="32"/>
      <c r="BZ5" s="32"/>
      <c r="CA5" s="32"/>
      <c r="CB5" s="32"/>
      <c r="CC5" s="32"/>
      <c r="CD5" s="32"/>
      <c r="CE5" s="33"/>
    </row>
    <row r="6" s="1" customFormat="1" ht="18" customHeight="1" spans="1:83">
      <c r="A6" s="22"/>
      <c r="B6" s="23"/>
      <c r="C6" s="24" t="s">
        <v>92</v>
      </c>
      <c r="D6" s="25">
        <v>45926</v>
      </c>
      <c r="E6" s="25">
        <v>45930</v>
      </c>
      <c r="F6" s="24"/>
      <c r="G6" s="24"/>
      <c r="H6" s="34"/>
      <c r="I6" s="27"/>
      <c r="J6" s="27"/>
      <c r="K6" s="29"/>
      <c r="L6" s="29"/>
      <c r="M6" s="29"/>
      <c r="N6" s="29"/>
      <c r="O6" s="29"/>
      <c r="P6" s="29"/>
      <c r="Q6" s="29"/>
      <c r="R6" s="27"/>
      <c r="S6" s="27"/>
      <c r="T6" s="27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31"/>
      <c r="BV6" s="31"/>
      <c r="BW6" s="32"/>
      <c r="BX6" s="32"/>
      <c r="BY6" s="32"/>
      <c r="BZ6" s="32"/>
      <c r="CA6" s="32"/>
      <c r="CB6" s="32"/>
      <c r="CC6" s="32"/>
      <c r="CD6" s="32"/>
      <c r="CE6" s="33"/>
    </row>
    <row r="7" s="1" customFormat="1" ht="18" customHeight="1" spans="1:83">
      <c r="A7" s="22"/>
      <c r="B7" s="23" t="s">
        <v>93</v>
      </c>
      <c r="C7" s="24" t="s">
        <v>89</v>
      </c>
      <c r="D7" s="25">
        <v>45931</v>
      </c>
      <c r="E7" s="25">
        <v>45955</v>
      </c>
      <c r="F7" s="24"/>
      <c r="G7" s="24"/>
      <c r="H7" s="27"/>
      <c r="I7" s="35"/>
      <c r="J7" s="35"/>
      <c r="K7" s="35"/>
      <c r="L7" s="36"/>
      <c r="M7" s="35"/>
      <c r="N7" s="27"/>
      <c r="O7" s="28" t="s">
        <v>90</v>
      </c>
      <c r="P7" s="29"/>
      <c r="Q7" s="29"/>
      <c r="R7" s="29"/>
      <c r="S7" s="29"/>
      <c r="T7" s="29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31"/>
      <c r="BV7" s="31"/>
      <c r="BW7" s="32"/>
      <c r="BX7" s="32"/>
      <c r="BY7" s="32"/>
      <c r="BZ7" s="32"/>
      <c r="CA7" s="32"/>
      <c r="CB7" s="32"/>
      <c r="CC7" s="32"/>
      <c r="CD7" s="32"/>
      <c r="CE7" s="33"/>
    </row>
    <row r="8" s="1" customFormat="1" ht="18" customHeight="1" spans="1:83">
      <c r="A8" s="22"/>
      <c r="B8" s="23"/>
      <c r="C8" s="24" t="s">
        <v>92</v>
      </c>
      <c r="D8" s="25">
        <v>45931</v>
      </c>
      <c r="E8" s="25">
        <v>45955</v>
      </c>
      <c r="F8" s="24"/>
      <c r="G8" s="24"/>
      <c r="H8" s="27"/>
      <c r="I8" s="34"/>
      <c r="J8" s="34"/>
      <c r="K8" s="23"/>
      <c r="L8" s="23"/>
      <c r="M8" s="34"/>
      <c r="N8" s="27"/>
      <c r="O8" s="29"/>
      <c r="P8" s="29"/>
      <c r="Q8" s="29"/>
      <c r="R8" s="29"/>
      <c r="S8" s="2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31"/>
      <c r="BV8" s="31"/>
      <c r="BW8" s="32"/>
      <c r="BX8" s="32"/>
      <c r="BY8" s="32"/>
      <c r="BZ8" s="32"/>
      <c r="CA8" s="32"/>
      <c r="CB8" s="32"/>
      <c r="CC8" s="32"/>
      <c r="CD8" s="32"/>
      <c r="CE8" s="33"/>
    </row>
    <row r="9" s="1" customFormat="1" ht="18" customHeight="1" spans="1:83">
      <c r="A9" s="22"/>
      <c r="B9" s="23" t="s">
        <v>94</v>
      </c>
      <c r="C9" s="24" t="s">
        <v>89</v>
      </c>
      <c r="D9" s="25">
        <v>45956</v>
      </c>
      <c r="E9" s="25">
        <v>45981</v>
      </c>
      <c r="F9" s="24"/>
      <c r="G9" s="24"/>
      <c r="H9" s="27"/>
      <c r="I9" s="27"/>
      <c r="J9" s="27"/>
      <c r="K9" s="24"/>
      <c r="L9" s="24"/>
      <c r="M9" s="27"/>
      <c r="N9" s="35"/>
      <c r="O9" s="35"/>
      <c r="P9" s="35"/>
      <c r="Q9" s="35"/>
      <c r="R9" s="35"/>
      <c r="S9" s="27"/>
      <c r="T9" s="27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7" t="s">
        <v>95</v>
      </c>
      <c r="AX9" s="28"/>
      <c r="AY9" s="28"/>
      <c r="AZ9" s="28"/>
      <c r="BA9" s="28"/>
      <c r="BB9" s="28"/>
      <c r="BC9" s="28"/>
      <c r="BD9" s="28"/>
      <c r="BE9" s="28"/>
      <c r="BF9" s="28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1"/>
      <c r="BV9" s="31"/>
      <c r="BW9" s="32"/>
      <c r="BX9" s="32"/>
      <c r="BY9" s="32"/>
      <c r="BZ9" s="32"/>
      <c r="CA9" s="32"/>
      <c r="CB9" s="32"/>
      <c r="CC9" s="32"/>
      <c r="CD9" s="32"/>
      <c r="CE9" s="33"/>
    </row>
    <row r="10" s="1" customFormat="1" ht="18" customHeight="1" spans="1:83">
      <c r="A10" s="22"/>
      <c r="B10" s="23"/>
      <c r="C10" s="24" t="s">
        <v>92</v>
      </c>
      <c r="D10" s="25">
        <v>45956</v>
      </c>
      <c r="E10" s="25">
        <v>45986</v>
      </c>
      <c r="F10" s="24"/>
      <c r="G10" s="24"/>
      <c r="H10" s="27"/>
      <c r="I10" s="27"/>
      <c r="J10" s="27"/>
      <c r="K10" s="24"/>
      <c r="L10" s="24"/>
      <c r="M10" s="27"/>
      <c r="N10" s="34"/>
      <c r="O10" s="34"/>
      <c r="P10" s="34"/>
      <c r="Q10" s="34"/>
      <c r="R10" s="34"/>
      <c r="S10" s="34"/>
      <c r="T10" s="27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1"/>
      <c r="BV10" s="31"/>
      <c r="BW10" s="32"/>
      <c r="BX10" s="32"/>
      <c r="BY10" s="32"/>
      <c r="BZ10" s="32"/>
      <c r="CA10" s="32"/>
      <c r="CB10" s="32"/>
      <c r="CC10" s="32"/>
      <c r="CD10" s="32"/>
      <c r="CE10" s="33"/>
    </row>
    <row r="11" s="1" customFormat="1" ht="18" customHeight="1" spans="1:83">
      <c r="A11" s="22"/>
      <c r="B11" s="23" t="s">
        <v>96</v>
      </c>
      <c r="C11" s="24" t="s">
        <v>89</v>
      </c>
      <c r="D11" s="25">
        <v>46133</v>
      </c>
      <c r="E11" s="25">
        <v>46152</v>
      </c>
      <c r="F11" s="24"/>
      <c r="G11" s="24"/>
      <c r="H11" s="27"/>
      <c r="I11" s="27"/>
      <c r="J11" s="27"/>
      <c r="K11" s="24"/>
      <c r="L11" s="24"/>
      <c r="M11" s="27"/>
      <c r="N11" s="27"/>
      <c r="O11" s="27"/>
      <c r="P11" s="27"/>
      <c r="Q11" s="27"/>
      <c r="R11" s="27"/>
      <c r="S11" s="27"/>
      <c r="T11" s="27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5"/>
      <c r="AX11" s="35"/>
      <c r="AY11" s="35"/>
      <c r="AZ11" s="35"/>
      <c r="BA11" s="27"/>
      <c r="BB11" s="27"/>
      <c r="BC11" s="27"/>
      <c r="BD11" s="38" t="s">
        <v>97</v>
      </c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40"/>
      <c r="BY11" s="32"/>
      <c r="BZ11" s="32"/>
      <c r="CA11" s="32"/>
      <c r="CB11" s="32"/>
      <c r="CC11" s="32"/>
      <c r="CD11" s="32"/>
      <c r="CE11" s="33"/>
    </row>
    <row r="12" s="1" customFormat="1" ht="18" customHeight="1" spans="1:83">
      <c r="A12" s="22"/>
      <c r="B12" s="23"/>
      <c r="C12" s="24" t="s">
        <v>92</v>
      </c>
      <c r="D12" s="25">
        <v>46133</v>
      </c>
      <c r="E12" s="25">
        <v>46153</v>
      </c>
      <c r="F12" s="24"/>
      <c r="G12" s="24"/>
      <c r="H12" s="27"/>
      <c r="I12" s="27"/>
      <c r="J12" s="27"/>
      <c r="K12" s="24"/>
      <c r="L12" s="24"/>
      <c r="M12" s="27"/>
      <c r="N12" s="27"/>
      <c r="O12" s="27"/>
      <c r="P12" s="27"/>
      <c r="Q12" s="27"/>
      <c r="R12" s="27"/>
      <c r="S12" s="27"/>
      <c r="T12" s="27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4"/>
      <c r="AX12" s="34"/>
      <c r="AY12" s="34"/>
      <c r="AZ12" s="34"/>
      <c r="BA12" s="41"/>
      <c r="BB12" s="42"/>
      <c r="BC12" s="42"/>
      <c r="BD12" s="43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5"/>
      <c r="BY12" s="42"/>
      <c r="BZ12" s="42"/>
      <c r="CA12" s="32"/>
      <c r="CB12" s="32"/>
      <c r="CC12" s="32"/>
      <c r="CD12" s="32"/>
      <c r="CE12" s="33"/>
    </row>
    <row r="13" s="1" customFormat="1" ht="18" customHeight="1" spans="1:83">
      <c r="A13" s="22"/>
      <c r="B13" s="23" t="s">
        <v>98</v>
      </c>
      <c r="C13" s="24" t="s">
        <v>89</v>
      </c>
      <c r="D13" s="25">
        <v>46153</v>
      </c>
      <c r="E13" s="25">
        <v>46162</v>
      </c>
      <c r="F13" s="24"/>
      <c r="G13" s="24"/>
      <c r="H13" s="27"/>
      <c r="I13" s="27"/>
      <c r="J13" s="27"/>
      <c r="K13" s="24"/>
      <c r="L13" s="24"/>
      <c r="M13" s="27"/>
      <c r="N13" s="27"/>
      <c r="O13" s="27"/>
      <c r="P13" s="27"/>
      <c r="Q13" s="27"/>
      <c r="R13" s="27"/>
      <c r="S13" s="27"/>
      <c r="T13" s="27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27"/>
      <c r="AX13" s="27"/>
      <c r="AY13" s="27"/>
      <c r="AZ13" s="27"/>
      <c r="BA13" s="46"/>
      <c r="BB13" s="47"/>
      <c r="BC13" s="27"/>
      <c r="BD13" s="27"/>
      <c r="BE13" s="38" t="s">
        <v>99</v>
      </c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40"/>
      <c r="BZ13" s="32"/>
      <c r="CA13" s="32"/>
      <c r="CB13" s="32"/>
      <c r="CC13" s="32"/>
      <c r="CD13" s="32"/>
      <c r="CE13" s="33"/>
    </row>
    <row r="14" s="1" customFormat="1" ht="18" customHeight="1" spans="1:83">
      <c r="A14" s="22"/>
      <c r="B14" s="23"/>
      <c r="C14" s="24" t="s">
        <v>92</v>
      </c>
      <c r="D14" s="25">
        <v>46154</v>
      </c>
      <c r="E14" s="25">
        <v>46170</v>
      </c>
      <c r="F14" s="24"/>
      <c r="G14" s="24"/>
      <c r="H14" s="27"/>
      <c r="I14" s="27"/>
      <c r="J14" s="27"/>
      <c r="K14" s="24"/>
      <c r="L14" s="24"/>
      <c r="M14" s="27"/>
      <c r="N14" s="27"/>
      <c r="O14" s="27"/>
      <c r="P14" s="27"/>
      <c r="Q14" s="27"/>
      <c r="R14" s="27"/>
      <c r="S14" s="27"/>
      <c r="T14" s="27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27"/>
      <c r="AX14" s="27"/>
      <c r="AY14" s="27"/>
      <c r="AZ14" s="27"/>
      <c r="BA14" s="34"/>
      <c r="BB14" s="34"/>
      <c r="BC14" s="34"/>
      <c r="BD14" s="34"/>
      <c r="BE14" s="43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5"/>
      <c r="BZ14" s="32"/>
      <c r="CA14" s="32"/>
      <c r="CB14" s="32"/>
      <c r="CC14" s="32"/>
      <c r="CD14" s="32"/>
      <c r="CE14" s="33"/>
    </row>
    <row r="15" s="1" customFormat="1" ht="18" customHeight="1" spans="1:83">
      <c r="A15" s="22"/>
      <c r="B15" s="23" t="s">
        <v>100</v>
      </c>
      <c r="C15" s="24" t="s">
        <v>89</v>
      </c>
      <c r="D15" s="25">
        <v>46153</v>
      </c>
      <c r="E15" s="25">
        <v>46173</v>
      </c>
      <c r="F15" s="24"/>
      <c r="G15" s="24"/>
      <c r="H15" s="27"/>
      <c r="I15" s="27"/>
      <c r="J15" s="27"/>
      <c r="K15" s="24"/>
      <c r="L15" s="24"/>
      <c r="M15" s="27"/>
      <c r="N15" s="27"/>
      <c r="O15" s="27"/>
      <c r="P15" s="27"/>
      <c r="Q15" s="27"/>
      <c r="R15" s="27"/>
      <c r="S15" s="27"/>
      <c r="T15" s="27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27"/>
      <c r="AX15" s="27"/>
      <c r="AY15" s="27"/>
      <c r="AZ15" s="27"/>
      <c r="BA15" s="35"/>
      <c r="BB15" s="35"/>
      <c r="BC15" s="35"/>
      <c r="BD15" s="35"/>
      <c r="BE15" s="48"/>
      <c r="BF15" s="27"/>
      <c r="BG15" s="38" t="s">
        <v>101</v>
      </c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49"/>
    </row>
    <row r="16" s="1" customFormat="1" ht="18" customHeight="1" spans="1:83">
      <c r="A16" s="22"/>
      <c r="B16" s="23"/>
      <c r="C16" s="24" t="s">
        <v>92</v>
      </c>
      <c r="D16" s="25">
        <v>46155</v>
      </c>
      <c r="E16" s="25">
        <v>46160</v>
      </c>
      <c r="F16" s="24"/>
      <c r="G16" s="24"/>
      <c r="H16" s="27"/>
      <c r="I16" s="27"/>
      <c r="J16" s="27"/>
      <c r="K16" s="24"/>
      <c r="L16" s="24"/>
      <c r="M16" s="27"/>
      <c r="N16" s="27"/>
      <c r="O16" s="27"/>
      <c r="P16" s="27"/>
      <c r="Q16" s="27"/>
      <c r="R16" s="27"/>
      <c r="S16" s="27"/>
      <c r="T16" s="27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27"/>
      <c r="AX16" s="27"/>
      <c r="AY16" s="27"/>
      <c r="AZ16" s="27"/>
      <c r="BA16" s="34"/>
      <c r="BB16" s="34"/>
      <c r="BC16" s="34"/>
      <c r="BD16" s="34"/>
      <c r="BE16" s="34"/>
      <c r="BF16" s="34"/>
      <c r="BG16" s="43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50"/>
    </row>
    <row r="17" s="1" customFormat="1" ht="18" customHeight="1" spans="1:96">
      <c r="A17" s="22"/>
      <c r="B17" s="23" t="s">
        <v>102</v>
      </c>
      <c r="C17" s="24" t="s">
        <v>89</v>
      </c>
      <c r="D17" s="25">
        <v>46174</v>
      </c>
      <c r="E17" s="25">
        <v>46183</v>
      </c>
      <c r="F17" s="24"/>
      <c r="G17" s="24"/>
      <c r="H17" s="27"/>
      <c r="I17" s="27"/>
      <c r="J17" s="27"/>
      <c r="K17" s="24"/>
      <c r="L17" s="24"/>
      <c r="M17" s="27"/>
      <c r="N17" s="27"/>
      <c r="O17" s="27"/>
      <c r="P17" s="27"/>
      <c r="Q17" s="27"/>
      <c r="R17" s="27"/>
      <c r="S17" s="27"/>
      <c r="T17" s="27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27"/>
      <c r="AX17" s="27"/>
      <c r="AY17" s="27"/>
      <c r="AZ17" s="27"/>
      <c r="BA17" s="27"/>
      <c r="BB17" s="27"/>
      <c r="BC17" s="27"/>
      <c r="BD17" s="27"/>
      <c r="BE17" s="35"/>
      <c r="BF17" s="35"/>
      <c r="BG17" s="42"/>
      <c r="BH17" s="42"/>
      <c r="BI17" s="42"/>
      <c r="BJ17" s="42"/>
      <c r="BK17" s="51" t="s">
        <v>103</v>
      </c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3"/>
      <c r="BX17" s="32"/>
      <c r="BY17" s="32"/>
      <c r="BZ17" s="32"/>
      <c r="CA17" s="32"/>
      <c r="CB17" s="32"/>
      <c r="CC17" s="32"/>
      <c r="CD17" s="32"/>
      <c r="CE17" s="33"/>
    </row>
    <row r="18" s="1" customFormat="1" ht="18" customHeight="1" spans="1:96">
      <c r="A18" s="22"/>
      <c r="B18" s="23"/>
      <c r="C18" s="24" t="s">
        <v>92</v>
      </c>
      <c r="D18" s="25">
        <v>46192</v>
      </c>
      <c r="E18" s="25">
        <v>46203</v>
      </c>
      <c r="F18" s="24"/>
      <c r="G18" s="24"/>
      <c r="H18" s="27"/>
      <c r="I18" s="27"/>
      <c r="J18" s="27"/>
      <c r="K18" s="27"/>
      <c r="L18" s="54"/>
      <c r="M18" s="27"/>
      <c r="N18" s="27"/>
      <c r="O18" s="27"/>
      <c r="P18" s="27"/>
      <c r="Q18" s="27"/>
      <c r="R18" s="27"/>
      <c r="S18" s="27"/>
      <c r="T18" s="27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42"/>
      <c r="BH18" s="42"/>
      <c r="BI18" s="41"/>
      <c r="BJ18" s="41"/>
      <c r="BK18" s="55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7"/>
      <c r="BX18" s="32"/>
      <c r="BY18" s="32"/>
      <c r="BZ18" s="32"/>
      <c r="CA18" s="32"/>
      <c r="CB18" s="32"/>
      <c r="CC18" s="32"/>
      <c r="CD18" s="32"/>
      <c r="CE18" s="33"/>
    </row>
    <row r="19" s="1" customFormat="1" ht="18" customHeight="1" spans="1:96">
      <c r="A19" s="22"/>
      <c r="B19" s="24" t="s">
        <v>104</v>
      </c>
      <c r="C19" s="24" t="s">
        <v>89</v>
      </c>
      <c r="D19" s="25">
        <v>46184</v>
      </c>
      <c r="E19" s="25">
        <v>46203</v>
      </c>
      <c r="F19" s="24"/>
      <c r="G19" s="24"/>
      <c r="H19" s="27"/>
      <c r="I19" s="27"/>
      <c r="J19" s="27"/>
      <c r="K19" s="27"/>
      <c r="L19" s="54"/>
      <c r="M19" s="27"/>
      <c r="N19" s="27"/>
      <c r="O19" s="27"/>
      <c r="P19" s="27"/>
      <c r="Q19" s="27"/>
      <c r="R19" s="27"/>
      <c r="S19" s="27"/>
      <c r="T19" s="27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35"/>
      <c r="BH19" s="35"/>
      <c r="BI19" s="35"/>
      <c r="BJ19" s="35"/>
      <c r="BK19" s="58"/>
      <c r="BL19" s="58"/>
      <c r="BM19" s="58"/>
      <c r="BN19" s="58"/>
      <c r="BO19" s="58"/>
      <c r="BP19" s="58"/>
      <c r="BQ19" s="59"/>
      <c r="BR19" s="59"/>
      <c r="BS19" s="59"/>
      <c r="BT19" s="59"/>
      <c r="BU19" s="59"/>
      <c r="BV19" s="59"/>
      <c r="BW19" s="60" t="s">
        <v>105</v>
      </c>
      <c r="BX19" s="61"/>
      <c r="BY19" s="61"/>
      <c r="BZ19" s="61"/>
      <c r="CA19" s="61"/>
      <c r="CB19" s="61"/>
      <c r="CC19" s="61"/>
      <c r="CD19" s="61"/>
      <c r="CE19" s="62"/>
    </row>
    <row r="20" s="1" customFormat="1" ht="18" customHeight="1" spans="1:96">
      <c r="A20" s="22"/>
      <c r="B20" s="24"/>
      <c r="C20" s="24" t="s">
        <v>92</v>
      </c>
      <c r="D20" s="25">
        <v>46214</v>
      </c>
      <c r="E20" s="25">
        <v>46244</v>
      </c>
      <c r="F20" s="24"/>
      <c r="G20" s="24"/>
      <c r="H20" s="27"/>
      <c r="I20" s="27"/>
      <c r="J20" s="27"/>
      <c r="K20" s="27"/>
      <c r="L20" s="54"/>
      <c r="M20" s="27"/>
      <c r="N20" s="27"/>
      <c r="O20" s="54"/>
      <c r="P20" s="27"/>
      <c r="Q20" s="27"/>
      <c r="R20" s="27"/>
      <c r="S20" s="31"/>
      <c r="T20" s="31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58"/>
      <c r="BL20" s="58"/>
      <c r="BM20" s="63"/>
      <c r="BN20" s="63"/>
      <c r="BO20" s="63"/>
      <c r="BP20" s="63"/>
      <c r="BQ20" s="64"/>
      <c r="BR20" s="64"/>
      <c r="BS20" s="42"/>
      <c r="BT20" s="59"/>
      <c r="BU20" s="59"/>
      <c r="BV20" s="59"/>
      <c r="BW20" s="65"/>
      <c r="BX20" s="66"/>
      <c r="BY20" s="66"/>
      <c r="BZ20" s="66"/>
      <c r="CA20" s="66"/>
      <c r="CB20" s="66"/>
      <c r="CC20" s="66"/>
      <c r="CD20" s="66"/>
      <c r="CE20" s="67"/>
    </row>
    <row r="21" s="1" customFormat="1" ht="18" customHeight="1" spans="1:96">
      <c r="A21" s="6" t="s">
        <v>106</v>
      </c>
      <c r="B21" s="68" t="s">
        <v>107</v>
      </c>
      <c r="C21" s="24" t="s">
        <v>89</v>
      </c>
      <c r="D21" s="25">
        <v>45962</v>
      </c>
      <c r="E21" s="25">
        <v>45971</v>
      </c>
      <c r="F21" s="24"/>
      <c r="G21" s="24"/>
      <c r="H21" s="27"/>
      <c r="I21" s="27"/>
      <c r="J21" s="27"/>
      <c r="K21" s="27"/>
      <c r="L21" s="54"/>
      <c r="M21" s="27"/>
      <c r="N21" s="27"/>
      <c r="O21" s="36"/>
      <c r="P21" s="35"/>
      <c r="Q21" s="27"/>
      <c r="R21" s="27"/>
      <c r="S21" s="31"/>
      <c r="T21" s="31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2"/>
      <c r="BX21" s="32"/>
      <c r="BY21" s="32"/>
      <c r="BZ21" s="32"/>
      <c r="CA21" s="32"/>
      <c r="CB21" s="32"/>
      <c r="CC21" s="32"/>
      <c r="CD21" s="32"/>
      <c r="CE21" s="33"/>
    </row>
    <row r="22" s="1" customFormat="1" ht="18" customHeight="1" spans="1:96">
      <c r="A22" s="6"/>
      <c r="B22" s="68"/>
      <c r="C22" s="24" t="s">
        <v>92</v>
      </c>
      <c r="D22" s="25">
        <v>45962</v>
      </c>
      <c r="E22" s="25">
        <v>45971</v>
      </c>
      <c r="F22" s="24"/>
      <c r="G22" s="24"/>
      <c r="H22" s="27"/>
      <c r="I22" s="27"/>
      <c r="J22" s="27"/>
      <c r="K22" s="27"/>
      <c r="L22" s="54"/>
      <c r="M22" s="27"/>
      <c r="N22" s="27"/>
      <c r="O22" s="69"/>
      <c r="P22" s="34"/>
      <c r="Q22" s="27"/>
      <c r="R22" s="27"/>
      <c r="S22" s="31"/>
      <c r="T22" s="31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2"/>
      <c r="BX22" s="32"/>
      <c r="BY22" s="32"/>
      <c r="BZ22" s="32"/>
      <c r="CA22" s="32"/>
      <c r="CB22" s="32"/>
      <c r="CC22" s="32"/>
      <c r="CD22" s="32"/>
      <c r="CE22" s="33"/>
    </row>
    <row r="23" s="1" customFormat="1" ht="18" customHeight="1" spans="1:96">
      <c r="A23" s="6"/>
      <c r="B23" s="68" t="s">
        <v>108</v>
      </c>
      <c r="C23" s="24" t="s">
        <v>89</v>
      </c>
      <c r="D23" s="25">
        <v>45972</v>
      </c>
      <c r="E23" s="25" t="s">
        <v>109</v>
      </c>
      <c r="F23" s="24"/>
      <c r="G23" s="24"/>
      <c r="H23" s="27"/>
      <c r="I23" s="27"/>
      <c r="J23" s="27"/>
      <c r="K23" s="27"/>
      <c r="L23" s="54"/>
      <c r="M23" s="27"/>
      <c r="N23" s="27"/>
      <c r="O23" s="54"/>
      <c r="P23" s="27"/>
      <c r="Q23" s="35"/>
      <c r="R23" s="35"/>
      <c r="S23" s="70"/>
      <c r="T23" s="7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1"/>
      <c r="AX23" s="31"/>
      <c r="AY23" s="31"/>
      <c r="AZ23" s="31"/>
      <c r="BA23" s="31"/>
      <c r="BB23" s="31"/>
      <c r="BC23" s="37" t="s">
        <v>110</v>
      </c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31"/>
      <c r="BU23" s="31"/>
      <c r="BV23" s="31"/>
      <c r="BW23" s="32"/>
      <c r="BX23" s="32"/>
      <c r="BY23" s="32"/>
      <c r="BZ23" s="32"/>
      <c r="CA23" s="32"/>
      <c r="CB23" s="32"/>
      <c r="CC23" s="32"/>
      <c r="CD23" s="32"/>
      <c r="CE23" s="33"/>
    </row>
    <row r="24" s="1" customFormat="1" ht="18" customHeight="1" spans="1:96">
      <c r="A24" s="6"/>
      <c r="B24" s="68"/>
      <c r="C24" s="24" t="s">
        <v>92</v>
      </c>
      <c r="D24" s="25">
        <v>45972</v>
      </c>
      <c r="E24" s="25">
        <v>46162</v>
      </c>
      <c r="F24" s="24"/>
      <c r="G24" s="24"/>
      <c r="H24" s="27"/>
      <c r="I24" s="27"/>
      <c r="J24" s="27"/>
      <c r="K24" s="27"/>
      <c r="L24" s="54"/>
      <c r="M24" s="27"/>
      <c r="N24" s="27"/>
      <c r="O24" s="54"/>
      <c r="P24" s="27"/>
      <c r="Q24" s="34"/>
      <c r="R24" s="34"/>
      <c r="S24" s="71"/>
      <c r="T24" s="71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72"/>
      <c r="AX24" s="72"/>
      <c r="AY24" s="41"/>
      <c r="AZ24" s="41"/>
      <c r="BA24" s="41"/>
      <c r="BB24" s="41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73"/>
      <c r="BP24" s="73"/>
      <c r="BQ24" s="73"/>
      <c r="BR24" s="73"/>
      <c r="BS24" s="73"/>
      <c r="BT24" s="74"/>
      <c r="BU24" s="75"/>
      <c r="BV24" s="75"/>
      <c r="BW24" s="76"/>
      <c r="BX24" s="76"/>
      <c r="BY24" s="76"/>
      <c r="BZ24" s="76"/>
      <c r="CA24" s="76"/>
      <c r="CB24" s="76"/>
      <c r="CC24" s="76"/>
      <c r="CD24" s="76"/>
      <c r="CE24" s="77"/>
    </row>
    <row r="25" s="1" customFormat="1" ht="18" customHeight="1" spans="1:96">
      <c r="A25" s="6"/>
      <c r="B25" s="68" t="s">
        <v>111</v>
      </c>
      <c r="C25" s="24" t="s">
        <v>89</v>
      </c>
      <c r="D25" s="25">
        <v>46133</v>
      </c>
      <c r="E25" s="25">
        <v>46157</v>
      </c>
      <c r="F25" s="24"/>
      <c r="G25" s="24"/>
      <c r="H25" s="27"/>
      <c r="I25" s="27"/>
      <c r="J25" s="27"/>
      <c r="K25" s="27"/>
      <c r="L25" s="54"/>
      <c r="M25" s="27"/>
      <c r="N25" s="27"/>
      <c r="O25" s="54"/>
      <c r="P25" s="27"/>
      <c r="Q25" s="27"/>
      <c r="R25" s="27"/>
      <c r="S25" s="31"/>
      <c r="T25" s="31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70"/>
      <c r="AX25" s="70"/>
      <c r="AY25" s="70"/>
      <c r="AZ25" s="70"/>
      <c r="BA25" s="70"/>
      <c r="BB25" s="31"/>
      <c r="BC25" s="31"/>
      <c r="BD25" s="31"/>
      <c r="BE25" s="31"/>
      <c r="BF25" s="31"/>
      <c r="BG25" s="31"/>
      <c r="BH25" s="78"/>
      <c r="BI25" s="78"/>
      <c r="BJ25" s="78"/>
      <c r="BK25" s="78"/>
      <c r="BL25" s="78"/>
      <c r="BM25" s="78"/>
      <c r="BN25" s="78"/>
      <c r="BO25" s="79" t="s">
        <v>112</v>
      </c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1"/>
      <c r="CM25" s="82"/>
      <c r="CN25" s="82"/>
      <c r="CO25" s="82"/>
      <c r="CP25" s="82"/>
      <c r="CQ25" s="82"/>
      <c r="CR25" s="82"/>
    </row>
    <row r="26" s="1" customFormat="1" ht="18" customHeight="1" spans="1:96">
      <c r="A26" s="6"/>
      <c r="B26" s="68"/>
      <c r="C26" s="24" t="s">
        <v>92</v>
      </c>
      <c r="D26" s="25">
        <v>46186</v>
      </c>
      <c r="E26" s="25">
        <v>46221</v>
      </c>
      <c r="F26" s="24"/>
      <c r="G26" s="24"/>
      <c r="H26" s="27"/>
      <c r="I26" s="27"/>
      <c r="J26" s="27"/>
      <c r="K26" s="27"/>
      <c r="L26" s="54"/>
      <c r="M26" s="27"/>
      <c r="N26" s="27"/>
      <c r="O26" s="54"/>
      <c r="P26" s="27"/>
      <c r="Q26" s="27"/>
      <c r="R26" s="27"/>
      <c r="S26" s="31"/>
      <c r="T26" s="31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1"/>
      <c r="AX26" s="31"/>
      <c r="AY26" s="31"/>
      <c r="AZ26" s="31"/>
      <c r="BA26" s="31"/>
      <c r="BB26" s="31"/>
      <c r="BC26" s="31"/>
      <c r="BD26" s="75"/>
      <c r="BE26" s="75"/>
      <c r="BF26" s="75"/>
      <c r="BG26" s="83"/>
      <c r="BH26" s="84"/>
      <c r="BI26" s="84"/>
      <c r="BJ26" s="84"/>
      <c r="BK26" s="84"/>
      <c r="BL26" s="84"/>
      <c r="BM26" s="84"/>
      <c r="BN26" s="84"/>
      <c r="BO26" s="85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7"/>
      <c r="CM26" s="82"/>
      <c r="CN26" s="82"/>
      <c r="CO26" s="82"/>
      <c r="CP26" s="82"/>
      <c r="CQ26" s="82"/>
      <c r="CR26" s="82"/>
    </row>
    <row r="27" s="1" customFormat="1" ht="18" customHeight="1" spans="1:96">
      <c r="A27" s="6"/>
      <c r="B27" s="68" t="s">
        <v>113</v>
      </c>
      <c r="C27" s="24" t="s">
        <v>89</v>
      </c>
      <c r="D27" s="25">
        <v>46158</v>
      </c>
      <c r="E27" s="25">
        <v>46167</v>
      </c>
      <c r="F27" s="24"/>
      <c r="G27" s="24"/>
      <c r="H27" s="27"/>
      <c r="I27" s="27"/>
      <c r="J27" s="27"/>
      <c r="K27" s="27"/>
      <c r="L27" s="54"/>
      <c r="M27" s="27"/>
      <c r="N27" s="27"/>
      <c r="O27" s="54"/>
      <c r="P27" s="27"/>
      <c r="Q27" s="27"/>
      <c r="R27" s="27"/>
      <c r="S27" s="31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1"/>
      <c r="AX27" s="31"/>
      <c r="AY27" s="31"/>
      <c r="AZ27" s="31"/>
      <c r="BA27" s="31"/>
      <c r="BB27" s="70"/>
      <c r="BC27" s="70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88" t="s">
        <v>114</v>
      </c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90"/>
    </row>
    <row r="28" s="1" customFormat="1" ht="18" customHeight="1" spans="1:96">
      <c r="A28" s="6"/>
      <c r="B28" s="68"/>
      <c r="C28" s="24" t="s">
        <v>92</v>
      </c>
      <c r="D28" s="25">
        <v>46224</v>
      </c>
      <c r="E28" s="25">
        <v>46228</v>
      </c>
      <c r="F28" s="24"/>
      <c r="G28" s="24"/>
      <c r="H28" s="27"/>
      <c r="I28" s="27"/>
      <c r="J28" s="27"/>
      <c r="K28" s="27"/>
      <c r="L28" s="54"/>
      <c r="M28" s="27"/>
      <c r="N28" s="27"/>
      <c r="O28" s="54"/>
      <c r="P28" s="27"/>
      <c r="Q28" s="27"/>
      <c r="R28" s="27"/>
      <c r="S28" s="31"/>
      <c r="T28" s="31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1"/>
      <c r="AX28" s="31"/>
      <c r="AY28" s="31"/>
      <c r="AZ28" s="31"/>
      <c r="BA28" s="31"/>
      <c r="BB28" s="31"/>
      <c r="BC28" s="31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2"/>
      <c r="BO28" s="72"/>
      <c r="BP28" s="85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91"/>
    </row>
    <row r="29" s="1" customFormat="1" ht="18" customHeight="1" spans="1:96">
      <c r="A29" s="6"/>
      <c r="B29" s="68" t="s">
        <v>115</v>
      </c>
      <c r="C29" s="24" t="s">
        <v>89</v>
      </c>
      <c r="D29" s="25">
        <v>46168</v>
      </c>
      <c r="E29" s="25">
        <v>46173</v>
      </c>
      <c r="F29" s="24"/>
      <c r="G29" s="24"/>
      <c r="H29" s="27"/>
      <c r="I29" s="27"/>
      <c r="J29" s="27"/>
      <c r="K29" s="27"/>
      <c r="L29" s="54"/>
      <c r="M29" s="27"/>
      <c r="N29" s="27"/>
      <c r="O29" s="54"/>
      <c r="P29" s="27"/>
      <c r="Q29" s="27"/>
      <c r="R29" s="27"/>
      <c r="S29" s="31"/>
      <c r="T29" s="31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1"/>
      <c r="AX29" s="31"/>
      <c r="AY29" s="31"/>
      <c r="AZ29" s="31"/>
      <c r="BA29" s="31"/>
      <c r="BB29" s="31"/>
      <c r="BC29" s="92"/>
      <c r="BD29" s="47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93" t="s">
        <v>116</v>
      </c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</row>
    <row r="30" s="1" customFormat="1" ht="18" customHeight="1" spans="1:96">
      <c r="A30" s="6"/>
      <c r="B30" s="68"/>
      <c r="C30" s="24" t="s">
        <v>92</v>
      </c>
      <c r="D30" s="25">
        <v>46229</v>
      </c>
      <c r="E30" s="25">
        <v>46234</v>
      </c>
      <c r="F30" s="24"/>
      <c r="G30" s="24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1"/>
      <c r="AX30" s="31"/>
      <c r="AY30" s="31"/>
      <c r="AZ30" s="31"/>
      <c r="BA30" s="31"/>
      <c r="BB30" s="31"/>
      <c r="BC30" s="31"/>
      <c r="BD30" s="31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94"/>
      <c r="BQ30" s="78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93"/>
      <c r="CE30" s="93"/>
    </row>
    <row r="31" s="1" customFormat="1" ht="18" customHeight="1" spans="1:96">
      <c r="A31" s="95" t="s">
        <v>117</v>
      </c>
      <c r="B31" s="96" t="s">
        <v>118</v>
      </c>
      <c r="C31" s="24" t="s">
        <v>89</v>
      </c>
      <c r="D31" s="25">
        <v>46163</v>
      </c>
      <c r="E31" s="25">
        <v>46188</v>
      </c>
      <c r="F31" s="24"/>
      <c r="G31" s="24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1"/>
      <c r="AX31" s="31"/>
      <c r="AY31" s="31"/>
      <c r="AZ31" s="31"/>
      <c r="BA31" s="31"/>
      <c r="BB31" s="31"/>
      <c r="BC31" s="70"/>
      <c r="BD31" s="70"/>
      <c r="BE31" s="70"/>
      <c r="BF31" s="70"/>
      <c r="BG31" s="70"/>
      <c r="BH31" s="92"/>
      <c r="BI31" s="31"/>
      <c r="BJ31" s="31"/>
      <c r="BK31" s="31"/>
      <c r="BL31" s="31"/>
      <c r="BM31" s="31"/>
      <c r="BN31" s="38" t="s">
        <v>119</v>
      </c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49"/>
    </row>
    <row r="32" s="1" customFormat="1" ht="18" customHeight="1" spans="1:96">
      <c r="A32" s="95"/>
      <c r="B32" s="97"/>
      <c r="C32" s="24" t="s">
        <v>92</v>
      </c>
      <c r="D32" s="25">
        <v>46177</v>
      </c>
      <c r="E32" s="25">
        <v>46203</v>
      </c>
      <c r="F32" s="24"/>
      <c r="G32" s="24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1"/>
      <c r="AX32" s="31"/>
      <c r="AY32" s="31"/>
      <c r="AZ32" s="31"/>
      <c r="BA32" s="31"/>
      <c r="BB32" s="31"/>
      <c r="BC32" s="31"/>
      <c r="BD32" s="31"/>
      <c r="BE32" s="31"/>
      <c r="BF32" s="71"/>
      <c r="BG32" s="71"/>
      <c r="BH32" s="71"/>
      <c r="BI32" s="71"/>
      <c r="BJ32" s="71"/>
      <c r="BK32" s="31"/>
      <c r="BL32" s="31"/>
      <c r="BM32" s="31"/>
      <c r="BN32" s="43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50"/>
    </row>
    <row r="33" s="1" customFormat="1" ht="18" customHeight="1" spans="1:88">
      <c r="A33" s="95"/>
      <c r="B33" s="96" t="s">
        <v>120</v>
      </c>
      <c r="C33" s="24" t="s">
        <v>89</v>
      </c>
      <c r="D33" s="25">
        <v>46189</v>
      </c>
      <c r="E33" s="25">
        <v>46213</v>
      </c>
      <c r="F33" s="24"/>
      <c r="G33" s="24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70"/>
      <c r="BI33" s="70"/>
      <c r="BJ33" s="70"/>
      <c r="BK33" s="70"/>
      <c r="BL33" s="70"/>
      <c r="BM33" s="92"/>
      <c r="BN33" s="31"/>
      <c r="BO33" s="31"/>
      <c r="BP33" s="31"/>
      <c r="BQ33" s="79" t="s">
        <v>121</v>
      </c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98"/>
    </row>
    <row r="34" s="1" customFormat="1" ht="18" customHeight="1" spans="1:88">
      <c r="A34" s="95"/>
      <c r="B34" s="97"/>
      <c r="C34" s="24" t="s">
        <v>92</v>
      </c>
      <c r="D34" s="25">
        <v>46204</v>
      </c>
      <c r="E34" s="25">
        <v>46227</v>
      </c>
      <c r="F34" s="24"/>
      <c r="G34" s="2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71"/>
      <c r="BL34" s="71"/>
      <c r="BM34" s="71"/>
      <c r="BN34" s="71"/>
      <c r="BO34" s="71"/>
      <c r="BP34" s="31"/>
      <c r="BQ34" s="85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91"/>
    </row>
    <row r="35" s="1" customFormat="1" ht="18" customHeight="1" spans="1:88">
      <c r="A35" s="95"/>
      <c r="B35" s="99" t="s">
        <v>122</v>
      </c>
      <c r="C35" s="24" t="s">
        <v>89</v>
      </c>
      <c r="D35" s="25">
        <v>46189</v>
      </c>
      <c r="E35" s="25">
        <v>46213</v>
      </c>
      <c r="F35" s="24"/>
      <c r="G35" s="2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70"/>
      <c r="BI35" s="70"/>
      <c r="BJ35" s="70"/>
      <c r="BK35" s="70"/>
      <c r="BL35" s="70"/>
      <c r="BM35" s="59"/>
      <c r="BN35" s="59"/>
      <c r="BO35" s="59"/>
      <c r="BP35" s="59"/>
      <c r="BQ35" s="59"/>
      <c r="BR35" s="59"/>
      <c r="BS35" s="59"/>
      <c r="BT35" s="59"/>
      <c r="BU35" s="59"/>
      <c r="BV35" s="100" t="s">
        <v>123</v>
      </c>
      <c r="BW35" s="101"/>
      <c r="BX35" s="101"/>
      <c r="BY35" s="101"/>
      <c r="BZ35" s="101"/>
      <c r="CA35" s="101"/>
      <c r="CB35" s="101"/>
      <c r="CC35" s="101"/>
      <c r="CD35" s="101"/>
      <c r="CE35" s="102"/>
    </row>
    <row r="36" s="1" customFormat="1" ht="18" customHeight="1" spans="1:88">
      <c r="A36" s="95"/>
      <c r="B36" s="103"/>
      <c r="C36" s="24" t="s">
        <v>92</v>
      </c>
      <c r="D36" s="25"/>
      <c r="E36" s="25"/>
      <c r="F36" s="24"/>
      <c r="G36" s="2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59"/>
      <c r="BN36" s="59"/>
      <c r="BO36" s="59"/>
      <c r="BP36" s="59"/>
      <c r="BQ36" s="59"/>
      <c r="BR36" s="59"/>
      <c r="BS36" s="59"/>
      <c r="BT36" s="59"/>
      <c r="BU36" s="59"/>
      <c r="BV36" s="104"/>
      <c r="BW36" s="105"/>
      <c r="BX36" s="105"/>
      <c r="BY36" s="105"/>
      <c r="BZ36" s="105"/>
      <c r="CA36" s="105"/>
      <c r="CB36" s="105"/>
      <c r="CC36" s="105"/>
      <c r="CD36" s="105"/>
      <c r="CE36" s="106"/>
    </row>
    <row r="37" s="1" customFormat="1" ht="18" customHeight="1" spans="1:88">
      <c r="A37" s="95"/>
      <c r="B37" s="99" t="s">
        <v>124</v>
      </c>
      <c r="C37" s="24" t="s">
        <v>89</v>
      </c>
      <c r="D37" s="25">
        <v>46214</v>
      </c>
      <c r="E37" s="25">
        <v>46239</v>
      </c>
      <c r="F37" s="24"/>
      <c r="G37" s="24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70"/>
      <c r="BN37" s="70"/>
      <c r="BO37" s="70"/>
      <c r="BP37" s="70"/>
      <c r="BQ37" s="70"/>
      <c r="BR37" s="92"/>
      <c r="BS37" s="92"/>
      <c r="BT37" s="92"/>
      <c r="BU37" s="92"/>
      <c r="BV37" s="100" t="s">
        <v>125</v>
      </c>
      <c r="BW37" s="101"/>
      <c r="BX37" s="101"/>
      <c r="BY37" s="101"/>
      <c r="BZ37" s="101"/>
      <c r="CA37" s="101"/>
      <c r="CB37" s="101"/>
      <c r="CC37" s="101"/>
      <c r="CD37" s="101"/>
      <c r="CE37" s="102"/>
    </row>
    <row r="38" s="1" customFormat="1" ht="18" customHeight="1" spans="1:88">
      <c r="A38" s="95"/>
      <c r="B38" s="103"/>
      <c r="C38" s="24" t="s">
        <v>92</v>
      </c>
      <c r="D38" s="25"/>
      <c r="E38" s="25"/>
      <c r="F38" s="24"/>
      <c r="G38" s="24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92"/>
      <c r="BS38" s="92"/>
      <c r="BT38" s="92"/>
      <c r="BU38" s="92"/>
      <c r="BV38" s="104"/>
      <c r="BW38" s="105"/>
      <c r="BX38" s="105"/>
      <c r="BY38" s="105"/>
      <c r="BZ38" s="105"/>
      <c r="CA38" s="105"/>
      <c r="CB38" s="105"/>
      <c r="CC38" s="105"/>
      <c r="CD38" s="105"/>
      <c r="CE38" s="106"/>
    </row>
    <row r="39" s="1" customFormat="1" ht="18" customHeight="1" spans="1:88">
      <c r="A39" s="6" t="s">
        <v>126</v>
      </c>
      <c r="B39" s="99" t="s">
        <v>127</v>
      </c>
      <c r="C39" s="24" t="s">
        <v>89</v>
      </c>
      <c r="D39" s="25">
        <v>46174</v>
      </c>
      <c r="E39" s="25">
        <v>46208</v>
      </c>
      <c r="F39" s="24"/>
      <c r="G39" s="24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1"/>
      <c r="AX39" s="31"/>
      <c r="AY39" s="31"/>
      <c r="AZ39" s="31"/>
      <c r="BA39" s="31"/>
      <c r="BB39" s="31"/>
      <c r="BC39" s="31"/>
      <c r="BD39" s="92"/>
      <c r="BE39" s="70"/>
      <c r="BF39" s="70"/>
      <c r="BG39" s="70"/>
      <c r="BH39" s="70"/>
      <c r="BI39" s="70"/>
      <c r="BJ39" s="70"/>
      <c r="BK39" s="70"/>
      <c r="BL39" s="31"/>
      <c r="BM39" s="31"/>
      <c r="BN39" s="31"/>
      <c r="BO39" s="31"/>
      <c r="BP39" s="31"/>
      <c r="BQ39" s="42"/>
      <c r="BR39" s="42"/>
      <c r="BS39" s="42"/>
      <c r="BT39" s="42"/>
      <c r="BU39" s="107" t="s">
        <v>128</v>
      </c>
      <c r="BV39" s="108"/>
      <c r="BW39" s="108"/>
      <c r="BX39" s="108"/>
      <c r="BY39" s="108"/>
      <c r="BZ39" s="108"/>
      <c r="CA39" s="108"/>
      <c r="CB39" s="108"/>
      <c r="CC39" s="108"/>
      <c r="CD39" s="108"/>
      <c r="CE39" s="109"/>
      <c r="CF39" s="110"/>
      <c r="CG39" s="110"/>
      <c r="CH39" s="110"/>
      <c r="CI39" s="110"/>
      <c r="CJ39" s="110"/>
    </row>
    <row r="40" s="1" customFormat="1" ht="18" customHeight="1" spans="1:88">
      <c r="A40" s="6"/>
      <c r="B40" s="103"/>
      <c r="C40" s="24" t="s">
        <v>92</v>
      </c>
      <c r="D40" s="25">
        <v>46218</v>
      </c>
      <c r="E40" s="25"/>
      <c r="F40" s="24"/>
      <c r="G40" s="24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71"/>
      <c r="BN40" s="71"/>
      <c r="BO40" s="71"/>
      <c r="BP40" s="71"/>
      <c r="BQ40" s="64"/>
      <c r="BR40" s="64"/>
      <c r="BS40" s="64"/>
      <c r="BT40" s="64"/>
      <c r="BU40" s="111"/>
      <c r="BV40" s="112"/>
      <c r="BW40" s="112"/>
      <c r="BX40" s="112"/>
      <c r="BY40" s="112"/>
      <c r="BZ40" s="112"/>
      <c r="CA40" s="112"/>
      <c r="CB40" s="112"/>
      <c r="CC40" s="112"/>
      <c r="CD40" s="112"/>
      <c r="CE40" s="113"/>
      <c r="CF40" s="110"/>
      <c r="CG40" s="110"/>
      <c r="CH40" s="110"/>
      <c r="CI40" s="110"/>
      <c r="CJ40" s="110"/>
    </row>
    <row r="41" s="1" customFormat="1" ht="18" customHeight="1" spans="1:88">
      <c r="A41" s="6"/>
      <c r="B41" s="99" t="s">
        <v>129</v>
      </c>
      <c r="C41" s="24" t="s">
        <v>89</v>
      </c>
      <c r="D41" s="25">
        <v>46209</v>
      </c>
      <c r="E41" s="25">
        <v>46234</v>
      </c>
      <c r="F41" s="24"/>
      <c r="G41" s="24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70"/>
      <c r="BM41" s="70"/>
      <c r="BN41" s="70"/>
      <c r="BO41" s="70"/>
      <c r="BP41" s="70"/>
      <c r="BQ41" s="92"/>
      <c r="BR41" s="31"/>
      <c r="BS41" s="31"/>
      <c r="BT41" s="31"/>
      <c r="BU41" s="114" t="s">
        <v>130</v>
      </c>
      <c r="BV41" s="115"/>
      <c r="BW41" s="115"/>
      <c r="BX41" s="115"/>
      <c r="BY41" s="115"/>
      <c r="BZ41" s="115"/>
      <c r="CA41" s="115"/>
      <c r="CB41" s="115"/>
      <c r="CC41" s="115"/>
      <c r="CD41" s="115"/>
      <c r="CE41" s="116"/>
    </row>
    <row r="42" s="1" customFormat="1" ht="18" customHeight="1" spans="1:88">
      <c r="A42" s="6"/>
      <c r="B42" s="103"/>
      <c r="C42" s="24" t="s">
        <v>92</v>
      </c>
      <c r="D42" s="25"/>
      <c r="E42" s="25"/>
      <c r="F42" s="24"/>
      <c r="G42" s="24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117"/>
      <c r="BV42" s="118"/>
      <c r="BW42" s="118"/>
      <c r="BX42" s="118"/>
      <c r="BY42" s="118"/>
      <c r="BZ42" s="118"/>
      <c r="CA42" s="118"/>
      <c r="CB42" s="118"/>
      <c r="CC42" s="118"/>
      <c r="CD42" s="118"/>
      <c r="CE42" s="119"/>
    </row>
    <row r="43" s="1" customFormat="1" ht="18" customHeight="1" spans="1:88">
      <c r="A43" s="6"/>
      <c r="B43" s="99" t="s">
        <v>131</v>
      </c>
      <c r="C43" s="24" t="s">
        <v>89</v>
      </c>
      <c r="D43" s="25">
        <v>46235</v>
      </c>
      <c r="E43" s="25">
        <v>46265</v>
      </c>
      <c r="F43" s="24"/>
      <c r="G43" s="24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70"/>
      <c r="BR43" s="70"/>
      <c r="BS43" s="70"/>
      <c r="BT43" s="70"/>
      <c r="BU43" s="70"/>
      <c r="BV43" s="70"/>
      <c r="BW43" s="120" t="s">
        <v>132</v>
      </c>
      <c r="BX43" s="121"/>
      <c r="BY43" s="121"/>
      <c r="BZ43" s="121"/>
      <c r="CA43" s="121"/>
      <c r="CB43" s="121"/>
      <c r="CC43" s="121"/>
      <c r="CD43" s="121"/>
      <c r="CE43" s="122"/>
    </row>
    <row r="44" s="1" customFormat="1" ht="18" customHeight="1" spans="1:88">
      <c r="A44" s="6"/>
      <c r="B44" s="103"/>
      <c r="C44" s="24" t="s">
        <v>92</v>
      </c>
      <c r="D44" s="25"/>
      <c r="E44" s="25"/>
      <c r="F44" s="24"/>
      <c r="G44" s="24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123"/>
      <c r="BX44" s="124"/>
      <c r="BY44" s="124"/>
      <c r="BZ44" s="124"/>
      <c r="CA44" s="124"/>
      <c r="CB44" s="124"/>
      <c r="CC44" s="124"/>
      <c r="CD44" s="124"/>
      <c r="CE44" s="125"/>
    </row>
    <row r="45" s="1" customFormat="1" ht="18" customHeight="1" spans="1:88">
      <c r="A45" s="95" t="s">
        <v>133</v>
      </c>
      <c r="B45" s="99" t="s">
        <v>134</v>
      </c>
      <c r="C45" s="24" t="s">
        <v>89</v>
      </c>
      <c r="D45" s="25">
        <v>46266</v>
      </c>
      <c r="E45" s="25">
        <v>46275</v>
      </c>
      <c r="F45" s="24"/>
      <c r="G45" s="24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126"/>
      <c r="BX45" s="126"/>
      <c r="BY45" s="32"/>
      <c r="BZ45" s="32"/>
      <c r="CA45" s="32"/>
      <c r="CB45" s="32"/>
      <c r="CC45" s="32"/>
      <c r="CD45" s="32"/>
      <c r="CE45" s="33"/>
    </row>
    <row r="46" s="1" customFormat="1" ht="18" customHeight="1" spans="1:88">
      <c r="A46" s="95"/>
      <c r="B46" s="103"/>
      <c r="C46" s="24" t="s">
        <v>92</v>
      </c>
      <c r="D46" s="25"/>
      <c r="E46" s="25"/>
      <c r="F46" s="24"/>
      <c r="G46" s="24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2"/>
      <c r="BX46" s="32"/>
      <c r="BY46" s="32"/>
      <c r="BZ46" s="32"/>
      <c r="CA46" s="32"/>
      <c r="CB46" s="32"/>
      <c r="CC46" s="32"/>
      <c r="CD46" s="32"/>
      <c r="CE46" s="33"/>
    </row>
    <row r="47" s="1" customFormat="1" ht="18" customHeight="1" spans="1:88">
      <c r="A47" s="95"/>
      <c r="B47" s="99" t="s">
        <v>135</v>
      </c>
      <c r="C47" s="24" t="s">
        <v>89</v>
      </c>
      <c r="D47" s="25">
        <v>46276</v>
      </c>
      <c r="E47" s="25">
        <v>46285</v>
      </c>
      <c r="F47" s="24"/>
      <c r="G47" s="24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2"/>
      <c r="BX47" s="32"/>
      <c r="BY47" s="126"/>
      <c r="BZ47" s="126"/>
      <c r="CA47" s="32"/>
      <c r="CB47" s="32"/>
      <c r="CC47" s="32"/>
      <c r="CD47" s="32"/>
      <c r="CE47" s="33"/>
    </row>
    <row r="48" s="1" customFormat="1" ht="18" customHeight="1" spans="1:88">
      <c r="A48" s="95"/>
      <c r="B48" s="103"/>
      <c r="C48" s="24" t="s">
        <v>92</v>
      </c>
      <c r="D48" s="25"/>
      <c r="E48" s="25"/>
      <c r="F48" s="24"/>
      <c r="G48" s="24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2"/>
      <c r="BX48" s="32"/>
      <c r="BY48" s="32"/>
      <c r="BZ48" s="32"/>
      <c r="CA48" s="32"/>
      <c r="CB48" s="32"/>
      <c r="CC48" s="32"/>
      <c r="CD48" s="32"/>
      <c r="CE48" s="33"/>
    </row>
    <row r="49" s="1" customFormat="1" ht="18" customHeight="1" spans="1:83">
      <c r="A49" s="95" t="s">
        <v>136</v>
      </c>
      <c r="B49" s="99" t="s">
        <v>137</v>
      </c>
      <c r="C49" s="24" t="s">
        <v>89</v>
      </c>
      <c r="D49" s="25">
        <v>46286</v>
      </c>
      <c r="E49" s="25">
        <v>46295</v>
      </c>
      <c r="F49" s="24"/>
      <c r="G49" s="24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2"/>
      <c r="BX49" s="32"/>
      <c r="BY49" s="32"/>
      <c r="BZ49" s="32"/>
      <c r="CA49" s="126"/>
      <c r="CB49" s="126"/>
      <c r="CC49" s="127"/>
      <c r="CD49" s="32"/>
      <c r="CE49" s="33"/>
    </row>
    <row r="50" s="1" customFormat="1" ht="18" customHeight="1" spans="1:83">
      <c r="A50" s="95"/>
      <c r="B50" s="103"/>
      <c r="C50" s="24" t="s">
        <v>92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3"/>
    </row>
    <row r="51" spans="1:83">
      <c r="A51" s="128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30"/>
      <c r="BN51" s="131" t="s">
        <v>138</v>
      </c>
      <c r="BO51" s="131"/>
      <c r="BP51" s="131"/>
      <c r="BQ51" s="131"/>
      <c r="BR51" s="131"/>
      <c r="BS51" s="131"/>
      <c r="BT51" s="131"/>
      <c r="BU51" s="131"/>
      <c r="BV51" s="131"/>
      <c r="BW51" s="131"/>
      <c r="BX51" s="131"/>
      <c r="BY51" s="131"/>
      <c r="BZ51" s="131"/>
      <c r="CA51" s="131"/>
      <c r="CB51" s="131"/>
      <c r="CC51" s="131"/>
      <c r="CD51" s="131"/>
      <c r="CE51" s="132"/>
    </row>
    <row r="52" ht="15.15" spans="1:83">
      <c r="A52" s="133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5"/>
      <c r="BN52" s="136">
        <v>46234</v>
      </c>
      <c r="BO52" s="136"/>
      <c r="BP52" s="136"/>
      <c r="BQ52" s="136"/>
      <c r="BR52" s="136"/>
      <c r="BS52" s="136"/>
      <c r="BT52" s="136"/>
      <c r="BU52" s="136"/>
      <c r="BV52" s="136"/>
      <c r="BW52" s="136"/>
      <c r="BX52" s="136"/>
      <c r="BY52" s="136"/>
      <c r="BZ52" s="136"/>
      <c r="CA52" s="136"/>
      <c r="CB52" s="136"/>
      <c r="CC52" s="136"/>
      <c r="CD52" s="136"/>
      <c r="CE52" s="137"/>
    </row>
  </sheetData>
  <mergeCells count="72">
    <mergeCell ref="A1:CE1"/>
    <mergeCell ref="F2:T2"/>
    <mergeCell ref="U2:AV2"/>
    <mergeCell ref="AW2:CE2"/>
    <mergeCell ref="F3:H3"/>
    <mergeCell ref="I3:N3"/>
    <mergeCell ref="O3:T3"/>
    <mergeCell ref="U3:AV3"/>
    <mergeCell ref="AW3:AX3"/>
    <mergeCell ref="AY3:BD3"/>
    <mergeCell ref="BE3:BJ3"/>
    <mergeCell ref="BK3:BP3"/>
    <mergeCell ref="BQ3:BV3"/>
    <mergeCell ref="BW3:CB3"/>
    <mergeCell ref="CC3:CE3"/>
    <mergeCell ref="BN51:CE51"/>
    <mergeCell ref="BN52:CE52"/>
    <mergeCell ref="A2:A4"/>
    <mergeCell ref="A5:A20"/>
    <mergeCell ref="A21:A30"/>
    <mergeCell ref="A31:A38"/>
    <mergeCell ref="A39:A44"/>
    <mergeCell ref="A45:A48"/>
    <mergeCell ref="A49:A50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C2:C4"/>
    <mergeCell ref="D2:D4"/>
    <mergeCell ref="E2:E4"/>
    <mergeCell ref="U5:AV50"/>
    <mergeCell ref="BC23:BS24"/>
    <mergeCell ref="K5:Q6"/>
    <mergeCell ref="O7:T8"/>
    <mergeCell ref="AW9:BF10"/>
    <mergeCell ref="A51:BM52"/>
    <mergeCell ref="BD11:BX12"/>
    <mergeCell ref="BE13:BY14"/>
    <mergeCell ref="BG15:CE16"/>
    <mergeCell ref="BK17:BW18"/>
    <mergeCell ref="BQ33:CE34"/>
    <mergeCell ref="BU39:CE40"/>
    <mergeCell ref="BV35:CE36"/>
    <mergeCell ref="BW19:CE20"/>
    <mergeCell ref="BV37:CE38"/>
    <mergeCell ref="BU41:CE42"/>
    <mergeCell ref="BW43:CE44"/>
    <mergeCell ref="BO25:CL26"/>
    <mergeCell ref="BP27:CE28"/>
    <mergeCell ref="BR29:CE30"/>
    <mergeCell ref="BN31:CE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WPS_1646106785</cp:lastModifiedBy>
  <dcterms:created xsi:type="dcterms:W3CDTF">2025-09-30T02:34:00Z</dcterms:created>
  <dcterms:modified xsi:type="dcterms:W3CDTF">2026-08-03T09:02:28Z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