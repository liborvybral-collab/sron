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项目施工月度报表" sheetId="1" r:id="rId1"/>
    <sheet name="施工进度计划与实际进度对比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H1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<sst xmlns="http://schemas.openxmlformats.org/spreadsheetml/2006/main" count="200" uniqueCount="135">
  <si>
    <t>项目业财融合施工2026年（7）月度报表</t>
  </si>
  <si>
    <t>项目名称：巴基斯坦SECMC铁路装车站项目</t>
  </si>
  <si>
    <t>项目规模：1座装车楼、通廊和皮带机及附属设备</t>
  </si>
  <si>
    <t>项目地址：巴基斯坦信德省塔尔煤田二区块</t>
  </si>
  <si>
    <t>计划开工时间：2026年2月1日</t>
  </si>
  <si>
    <t>计划完工时间：2026年11月27日</t>
  </si>
  <si>
    <t>项目经理：曹明刚</t>
  </si>
  <si>
    <t>一、项目施工目标</t>
  </si>
  <si>
    <t>目标分项名称</t>
  </si>
  <si>
    <t>目标值</t>
  </si>
  <si>
    <t>备注</t>
  </si>
  <si>
    <t>施工总成本目标（万元）</t>
  </si>
  <si>
    <t>1867.3万元（土建1089万元+钢结构机电778.3万元）</t>
  </si>
  <si>
    <t>分项成本目标见附表1安装施工成本预算</t>
  </si>
  <si>
    <t>施工总进度目标</t>
  </si>
  <si>
    <t>300天（土建工期135天+钢结构机电设备安装调试165天）</t>
  </si>
  <si>
    <t>项目节点进度目标见附表2施工总进度计划</t>
  </si>
  <si>
    <t>施工质量目标</t>
  </si>
  <si>
    <t>竣工验收合格、领取竣工验收报告</t>
  </si>
  <si>
    <t>施工安全目标</t>
  </si>
  <si>
    <t>零死亡、零重伤，轻伤事故频率≤1‰</t>
  </si>
  <si>
    <t>二、施工进度</t>
  </si>
  <si>
    <t>分项名称</t>
  </si>
  <si>
    <t>计划分项完成时
 （天）</t>
  </si>
  <si>
    <t>预算分项综合成本
（万元）</t>
  </si>
  <si>
    <t>当月实际形象进度
(%)</t>
  </si>
  <si>
    <t>当月实际完成产值
（万元）</t>
  </si>
  <si>
    <t>累计实际形象进度
(%)</t>
  </si>
  <si>
    <t>累计实际完成产值
（万元）</t>
  </si>
  <si>
    <t>当月计划完成产值
（万元）</t>
  </si>
  <si>
    <t>当月实际完成率
(%)</t>
  </si>
  <si>
    <t>累计计划完成产值
（万元）</t>
  </si>
  <si>
    <t>累计实际完成率
(%)</t>
  </si>
  <si>
    <t>项目交付剩余时间
（天）</t>
  </si>
  <si>
    <t>土建部分施工</t>
  </si>
  <si>
    <t>钢结构机电设备安装调试</t>
  </si>
  <si>
    <t>合计</t>
  </si>
  <si>
    <t>三、施工成本</t>
  </si>
  <si>
    <t>预算分项成本
（万元）</t>
  </si>
  <si>
    <t>当月实际支出金额
（万元）</t>
  </si>
  <si>
    <t>当月实际支出/当月完成产值
(%)</t>
  </si>
  <si>
    <t>累计实际支出金额
（万元）</t>
  </si>
  <si>
    <t>累计实际支出/累计完成产值
（%）</t>
  </si>
  <si>
    <t>累计实际支出/预算分项成本
（%）</t>
  </si>
  <si>
    <t>业主施工安装队伍3月份斋月上班半天工期延误，费用超支；4月份土建第二笔里程碑付款业主审核时间过长（27天），OK公司资金不足，组织材料机械进场不力，导致工期延误，费用超支。5月份OK公司增加人员数量超过200人，于5月9日开始采取两班倒赶工，但目前进度仍滞后。6月份OK公司人数一直保持在230人左右，但是仍不满足计划赶工人数要求，增加缓慢，工作效率低，装车楼重要部位施工进度缓慢。7月份，由于OK公司自身资金原因导致装车楼剩余钢筋进场延迟约12天；鉴于OK公司资金问题，我方已向业主申请拆分土建第三笔里程碑付款，以缓解OK公司资金压力，截止今日业主已初步同意拆分付款，但未明确支付时间。</t>
  </si>
  <si>
    <t>四、施工质量</t>
  </si>
  <si>
    <t>进场材料抽检覆盖率</t>
  </si>
  <si>
    <t>材料构件设备进场保管</t>
  </si>
  <si>
    <t>检验批质量合格率</t>
  </si>
  <si>
    <t>质量检验批验收资料</t>
  </si>
  <si>
    <t>施工质量问题检查和整改</t>
  </si>
  <si>
    <t>现场材料由土建公司下料保管</t>
  </si>
  <si>
    <t>与施工同步</t>
  </si>
  <si>
    <t>施工质量问题已按要求整改</t>
  </si>
  <si>
    <t>钢结构机电设备安装施工</t>
  </si>
  <si>
    <t>五、施工安全</t>
  </si>
  <si>
    <t>人员进场三级安全教育技术交底</t>
  </si>
  <si>
    <t>每月施工安全早班会次数</t>
  </si>
  <si>
    <t>每月施工施工安全检查次数（书面备案）</t>
  </si>
  <si>
    <t>劳动防护用品正确佩戴率</t>
  </si>
  <si>
    <t>安全隐患排查和问题整改</t>
  </si>
  <si>
    <t>已进行安全教育</t>
  </si>
  <si>
    <t>每天一次</t>
  </si>
  <si>
    <t>每周检查一次</t>
  </si>
  <si>
    <t>安全问题已悉数整改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</si>
  <si>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河南实荣筒仓工程有限公司工程部 
                                                                                                                                                                                                                                                                                                                           项目经理：曹明刚                                                                                                                                                                                                                                                                        
                                                                                                                                                                                                                                                                                                                                2026/7/31</t>
  </si>
  <si>
    <t>2026年巴基斯坦SECMC铁路装车站项目施工进度计划与实际进度对比表</t>
  </si>
  <si>
    <t>工程阶段</t>
  </si>
  <si>
    <t xml:space="preserve">                  时间  
 分项名称</t>
  </si>
  <si>
    <t xml:space="preserve">
开始时间</t>
  </si>
  <si>
    <t xml:space="preserve">
完成时间</t>
  </si>
  <si>
    <t>工期：300（天数）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</si>
  <si>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</si>
  <si>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</si>
  <si>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</si>
  <si>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</si>
  <si>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</si>
  <si>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</si>
  <si>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</si>
  <si>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</si>
  <si>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</si>
  <si>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</si>
  <si>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土
建
部
分</t>
  </si>
  <si>
    <t>现场动员工作</t>
  </si>
  <si>
    <t>三通一平（清表修路）</t>
  </si>
  <si>
    <t>计划</t>
  </si>
  <si>
    <t>备注：因OK公司2月9号收到工程款后才开始械动员，实际开始工作为2月13号，机械为陆续进场，造成延误20天。</t>
  </si>
  <si>
    <t>实际</t>
  </si>
  <si>
    <t>场内动员临建</t>
  </si>
  <si>
    <t>备注：因OK公司2月9号收到工程款后才开始动员，实际开始工作为2月19号，机械为陆续进场，前期业主HSE要求苛刻，机械作业时间有限以及斋月影响，造成延误28天。</t>
  </si>
  <si>
    <t>装车楼、配电室及整平框架部分</t>
  </si>
  <si>
    <t>土方开挖</t>
  </si>
  <si>
    <t>备注：因OK公司2月9号收到工程款后才开始机械动员，前期复核坐标，机械陆续进场，实际开始开挖时间为2月25号，进场后HSE管理苛刻，OK公司自身机械组织不力以及斋月因素，造成延误15天。</t>
  </si>
  <si>
    <t>筏板基础及外墙柱插筋施工
（含垫层）</t>
  </si>
  <si>
    <t>备注：截止7月31日BPB01基础筏板钢筋绑扎完成80%，预计8月10日筏板混凝土浇筑完成。</t>
  </si>
  <si>
    <t>BPB01筏板以上梁板柱墙施工</t>
  </si>
  <si>
    <t>备注：预计装车楼主体结构施工至8月31日全部结束</t>
  </si>
  <si>
    <t>回填土</t>
  </si>
  <si>
    <t>备注：实际是边施工边回填，直到主体结构施工完成，回填土完成</t>
  </si>
  <si>
    <t>消防水池、生活水箱、变压器、沉淀池、空压机房、抑尘设备基础</t>
  </si>
  <si>
    <t>备注：装车楼完成并回填后施工</t>
  </si>
  <si>
    <t>基础施工（含垫层）</t>
  </si>
  <si>
    <t>TT4至平直段皮带机部分轴（跨路及水平段支架53个基础）</t>
  </si>
  <si>
    <t>备注：非关键线路，本项工作推迟至5月11日开始，两班倒工作5月31日完成开挖工作。</t>
  </si>
  <si>
    <t>备注：非关键线路，本项工作推迟至5月21日开始，截止今日剩余11个水平段小基础，是位于和C1a，C1b基坑交叉位置，目前C1a，C1b已回填，9个小基础垫层已浇筑混凝土，预计8月15日完成全部工作。</t>
  </si>
  <si>
    <t>T1~T27支架基础（含驱动装置基础）</t>
  </si>
  <si>
    <t>备注：截止今日，除ST1,ST2,ST3基础外已全部开挖完成，预计8月10日全部完成开挖工作。</t>
  </si>
  <si>
    <t>备注：8月底完成全部基础和回填土工作，回填土按照场地控制标高进行平整。</t>
  </si>
  <si>
    <t>高压配电室</t>
  </si>
  <si>
    <t>基础以下施工（含电缆沟）</t>
  </si>
  <si>
    <t>备注：预计完成时间8月15日</t>
  </si>
  <si>
    <t>主体结构施工（含二次结构）</t>
  </si>
  <si>
    <t>备注：预计主体结构和砌体结构8月底完成。</t>
  </si>
  <si>
    <t>装饰装修</t>
  </si>
  <si>
    <t>备注：预计9月底完成</t>
  </si>
  <si>
    <t>永久围蔽</t>
  </si>
  <si>
    <t>永久围蔽基础和栏管</t>
  </si>
  <si>
    <t>硬化地面、柱脚及人行道含亮化</t>
  </si>
  <si>
    <t>地面硬化及柱脚（钢结构施工完成后施工）</t>
  </si>
  <si>
    <t>土建收尾验收</t>
  </si>
  <si>
    <t>钢
结
构
设
备
电
气
安
装
及
调
试</t>
  </si>
  <si>
    <t>钢结构机电安装工程</t>
  </si>
  <si>
    <t>装车楼塔架钢结构及筒仓安装</t>
  </si>
  <si>
    <t>预计装车楼钢结构开始安装时间为8月20日</t>
  </si>
  <si>
    <t>皮带机输送走廊钢结构安装</t>
  </si>
  <si>
    <t>工艺管道设备安装工程</t>
  </si>
  <si>
    <t>电气自控安装工程</t>
  </si>
  <si>
    <t>设备调试</t>
  </si>
  <si>
    <t>设备单机调试</t>
  </si>
  <si>
    <t>设备联动调试、空载调试完成</t>
  </si>
  <si>
    <t>带料调试竣工移交</t>
  </si>
  <si>
    <t>带料调试消缺竣工验收移交</t>
  </si>
  <si>
    <t>不计入工期</t>
  </si>
  <si>
    <t>河南实荣筒仓工程有限公司工程部：曹明刚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</si>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</sst>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7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FF0000"/>
      <name val="宋体"/>
      <charset val="134"/>
    </font>
    <font>
      <sz val="12"/>
      <color theme="0"/>
      <name val="宋体"/>
      <charset val="134"/>
      <scheme val="minor"/>
    </font>
    <font>
      <b/>
      <sz val="20"/>
      <name val="宋体"/>
      <charset val="134"/>
    </font>
    <font>
      <b/>
      <sz val="20"/>
      <name val="微软雅黑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4"/>
      <name val="微软雅黑"/>
      <charset val="134"/>
    </font>
    <font>
      <sz val="11"/>
      <color theme="1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D0101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3" borderId="3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4" borderId="40" applyNumberFormat="0" applyAlignment="0" applyProtection="0">
      <alignment vertical="center"/>
    </xf>
    <xf numFmtId="0" fontId="25" fillId="15" borderId="41" applyNumberFormat="0" applyAlignment="0" applyProtection="0">
      <alignment vertical="center"/>
    </xf>
    <xf numFmtId="0" fontId="26" fillId="15" borderId="40" applyNumberFormat="0" applyAlignment="0" applyProtection="0">
      <alignment vertical="center"/>
    </xf>
    <xf numFmtId="0" fontId="27" fillId="16" borderId="42" applyNumberFormat="0" applyAlignment="0" applyProtection="0">
      <alignment vertical="center"/>
    </xf>
    <xf numFmtId="0" fontId="28" fillId="0" borderId="43" applyNumberFormat="0" applyFill="0" applyAlignment="0" applyProtection="0">
      <alignment vertical="center"/>
    </xf>
    <xf numFmtId="0" fontId="29" fillId="0" borderId="44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</cellStyleXfs>
  <cellXfs count="242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57" fontId="2" fillId="2" borderId="5" xfId="0" applyNumberFormat="1" applyFont="1" applyFill="1" applyBorder="1" applyAlignment="1">
      <alignment horizontal="center" vertical="center"/>
    </xf>
    <xf numFmtId="57" fontId="2" fillId="2" borderId="6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4" fontId="4" fillId="2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vertical="center"/>
    </xf>
    <xf numFmtId="0" fontId="5" fillId="4" borderId="1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vertical="center"/>
    </xf>
    <xf numFmtId="0" fontId="3" fillId="0" borderId="2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center" vertical="center"/>
    </xf>
    <xf numFmtId="14" fontId="4" fillId="2" borderId="11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top" wrapText="1"/>
    </xf>
    <xf numFmtId="14" fontId="4" fillId="2" borderId="12" xfId="0" applyNumberFormat="1" applyFont="1" applyFill="1" applyBorder="1" applyAlignment="1">
      <alignment horizontal="center" vertical="center"/>
    </xf>
    <xf numFmtId="14" fontId="4" fillId="2" borderId="14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top" wrapText="1"/>
    </xf>
    <xf numFmtId="0" fontId="2" fillId="0" borderId="17" xfId="0" applyFont="1" applyFill="1" applyBorder="1" applyAlignment="1">
      <alignment vertical="top" wrapText="1"/>
    </xf>
    <xf numFmtId="0" fontId="2" fillId="0" borderId="17" xfId="0" applyFont="1" applyFill="1" applyBorder="1" applyAlignment="1">
      <alignment horizontal="center" vertical="top" wrapText="1"/>
    </xf>
    <xf numFmtId="0" fontId="2" fillId="0" borderId="23" xfId="0" applyFont="1" applyFill="1" applyBorder="1" applyAlignment="1">
      <alignment horizontal="center" vertical="top" wrapText="1"/>
    </xf>
    <xf numFmtId="0" fontId="3" fillId="0" borderId="24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 wrapText="1"/>
    </xf>
    <xf numFmtId="0" fontId="2" fillId="0" borderId="6" xfId="0" applyFont="1" applyFill="1" applyBorder="1" applyAlignment="1">
      <alignment horizontal="center" vertical="top" wrapText="1"/>
    </xf>
    <xf numFmtId="0" fontId="3" fillId="0" borderId="25" xfId="0" applyFont="1" applyFill="1" applyBorder="1" applyAlignment="1">
      <alignment vertical="center"/>
    </xf>
    <xf numFmtId="0" fontId="3" fillId="0" borderId="26" xfId="0" applyFont="1" applyFill="1" applyBorder="1" applyAlignment="1">
      <alignment vertical="center" wrapText="1"/>
    </xf>
    <xf numFmtId="0" fontId="3" fillId="0" borderId="26" xfId="0" applyFont="1" applyFill="1" applyBorder="1" applyAlignment="1">
      <alignment vertical="center"/>
    </xf>
    <xf numFmtId="14" fontId="3" fillId="0" borderId="27" xfId="0" applyNumberFormat="1" applyFont="1" applyFill="1" applyBorder="1" applyAlignment="1">
      <alignment horizontal="center" vertical="center"/>
    </xf>
    <xf numFmtId="14" fontId="3" fillId="0" borderId="28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29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/>
    </xf>
    <xf numFmtId="0" fontId="13" fillId="8" borderId="29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29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6" borderId="29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176" fontId="11" fillId="6" borderId="5" xfId="0" applyNumberFormat="1" applyFont="1" applyFill="1" applyBorder="1" applyAlignment="1">
      <alignment horizontal="center" vertical="center" wrapText="1"/>
    </xf>
    <xf numFmtId="10" fontId="14" fillId="6" borderId="5" xfId="0" applyNumberFormat="1" applyFont="1" applyFill="1" applyBorder="1" applyAlignment="1">
      <alignment horizontal="center" vertical="center"/>
    </xf>
    <xf numFmtId="4" fontId="11" fillId="6" borderId="5" xfId="0" applyNumberFormat="1" applyFont="1" applyFill="1" applyBorder="1" applyAlignment="1">
      <alignment horizontal="center" vertical="center"/>
    </xf>
    <xf numFmtId="4" fontId="14" fillId="6" borderId="5" xfId="0" applyNumberFormat="1" applyFont="1" applyFill="1" applyBorder="1" applyAlignment="1">
      <alignment horizontal="center" vertical="center"/>
    </xf>
    <xf numFmtId="10" fontId="11" fillId="5" borderId="5" xfId="0" applyNumberFormat="1" applyFont="1" applyFill="1" applyBorder="1" applyAlignment="1">
      <alignment horizontal="center" vertical="center"/>
    </xf>
    <xf numFmtId="176" fontId="14" fillId="6" borderId="29" xfId="0" applyNumberFormat="1" applyFont="1" applyFill="1" applyBorder="1" applyAlignment="1">
      <alignment horizontal="center"/>
    </xf>
    <xf numFmtId="9" fontId="11" fillId="5" borderId="29" xfId="3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 vertical="center"/>
    </xf>
    <xf numFmtId="10" fontId="14" fillId="6" borderId="5" xfId="3" applyNumberFormat="1" applyFont="1" applyFill="1" applyBorder="1" applyAlignment="1" applyProtection="1">
      <alignment horizontal="center" vertical="center"/>
    </xf>
    <xf numFmtId="10" fontId="14" fillId="6" borderId="5" xfId="0" applyNumberFormat="1" applyFont="1" applyFill="1" applyBorder="1" applyAlignment="1" applyProtection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176" fontId="10" fillId="6" borderId="5" xfId="0" applyNumberFormat="1" applyFont="1" applyFill="1" applyBorder="1" applyAlignment="1">
      <alignment horizontal="center" vertical="center"/>
    </xf>
    <xf numFmtId="10" fontId="10" fillId="6" borderId="5" xfId="3" applyNumberFormat="1" applyFont="1" applyFill="1" applyBorder="1" applyAlignment="1">
      <alignment horizontal="center" vertical="center"/>
    </xf>
    <xf numFmtId="10" fontId="10" fillId="6" borderId="5" xfId="0" applyNumberFormat="1" applyFont="1" applyFill="1" applyBorder="1" applyAlignment="1" applyProtection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9" borderId="29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 wrapText="1"/>
    </xf>
    <xf numFmtId="176" fontId="11" fillId="9" borderId="29" xfId="0" applyNumberFormat="1" applyFont="1" applyFill="1" applyBorder="1" applyAlignment="1">
      <alignment horizontal="center" vertical="center" wrapText="1"/>
    </xf>
    <xf numFmtId="176" fontId="11" fillId="9" borderId="30" xfId="0" applyNumberFormat="1" applyFont="1" applyFill="1" applyBorder="1" applyAlignment="1">
      <alignment horizontal="center" vertical="center" wrapText="1"/>
    </xf>
    <xf numFmtId="4" fontId="14" fillId="9" borderId="5" xfId="0" applyNumberFormat="1" applyFont="1" applyFill="1" applyBorder="1" applyAlignment="1">
      <alignment horizontal="center" vertical="center"/>
    </xf>
    <xf numFmtId="10" fontId="11" fillId="10" borderId="5" xfId="0" applyNumberFormat="1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left" vertical="center" wrapText="1"/>
    </xf>
    <xf numFmtId="0" fontId="11" fillId="9" borderId="10" xfId="0" applyFont="1" applyFill="1" applyBorder="1" applyAlignment="1">
      <alignment horizontal="left" vertical="center" wrapText="1"/>
    </xf>
    <xf numFmtId="0" fontId="11" fillId="9" borderId="15" xfId="0" applyFont="1" applyFill="1" applyBorder="1" applyAlignment="1">
      <alignment horizontal="left" vertical="center" wrapText="1"/>
    </xf>
    <xf numFmtId="0" fontId="11" fillId="9" borderId="19" xfId="0" applyFont="1" applyFill="1" applyBorder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11" fillId="9" borderId="31" xfId="0" applyFont="1" applyFill="1" applyBorder="1" applyAlignment="1">
      <alignment horizontal="left" vertical="center" wrapText="1"/>
    </xf>
    <xf numFmtId="176" fontId="11" fillId="9" borderId="5" xfId="0" applyNumberFormat="1" applyFont="1" applyFill="1" applyBorder="1" applyAlignment="1">
      <alignment horizontal="center" vertical="center" wrapText="1"/>
    </xf>
    <xf numFmtId="4" fontId="11" fillId="9" borderId="5" xfId="0" applyNumberFormat="1" applyFont="1" applyFill="1" applyBorder="1" applyAlignment="1">
      <alignment horizontal="center" vertical="center"/>
    </xf>
    <xf numFmtId="176" fontId="11" fillId="9" borderId="5" xfId="0" applyNumberFormat="1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left" vertical="center" wrapText="1"/>
    </xf>
    <xf numFmtId="0" fontId="11" fillId="9" borderId="13" xfId="0" applyFont="1" applyFill="1" applyBorder="1" applyAlignment="1">
      <alignment horizontal="left" vertical="center" wrapText="1"/>
    </xf>
    <xf numFmtId="0" fontId="11" fillId="9" borderId="16" xfId="0" applyFont="1" applyFill="1" applyBorder="1" applyAlignment="1">
      <alignment horizontal="left" vertical="center" wrapText="1"/>
    </xf>
    <xf numFmtId="0" fontId="12" fillId="11" borderId="4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2" fillId="11" borderId="29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11" borderId="29" xfId="0" applyFont="1" applyFill="1" applyBorder="1" applyAlignment="1">
      <alignment horizontal="center" vertical="center"/>
    </xf>
    <xf numFmtId="0" fontId="10" fillId="11" borderId="30" xfId="0" applyFont="1" applyFill="1" applyBorder="1" applyAlignment="1">
      <alignment horizontal="center" vertical="center"/>
    </xf>
    <xf numFmtId="0" fontId="11" fillId="11" borderId="29" xfId="0" applyFont="1" applyFill="1" applyBorder="1" applyAlignment="1">
      <alignment horizontal="center" vertical="center"/>
    </xf>
    <xf numFmtId="0" fontId="11" fillId="11" borderId="30" xfId="0" applyFont="1" applyFill="1" applyBorder="1" applyAlignment="1">
      <alignment horizontal="center" vertical="center"/>
    </xf>
    <xf numFmtId="0" fontId="11" fillId="11" borderId="32" xfId="0" applyFont="1" applyFill="1" applyBorder="1" applyAlignment="1">
      <alignment horizontal="center" vertical="center"/>
    </xf>
    <xf numFmtId="0" fontId="11" fillId="11" borderId="33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 wrapText="1"/>
    </xf>
    <xf numFmtId="9" fontId="10" fillId="11" borderId="29" xfId="0" applyNumberFormat="1" applyFont="1" applyFill="1" applyBorder="1" applyAlignment="1">
      <alignment horizontal="center" vertical="center"/>
    </xf>
    <xf numFmtId="9" fontId="11" fillId="11" borderId="29" xfId="0" applyNumberFormat="1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12" fillId="12" borderId="29" xfId="0" applyFont="1" applyFill="1" applyBorder="1" applyAlignment="1">
      <alignment horizontal="center" vertical="center"/>
    </xf>
    <xf numFmtId="0" fontId="12" fillId="12" borderId="6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15" fillId="12" borderId="29" xfId="0" applyFont="1" applyFill="1" applyBorder="1" applyAlignment="1">
      <alignment horizontal="center"/>
    </xf>
    <xf numFmtId="0" fontId="15" fillId="12" borderId="30" xfId="0" applyFont="1" applyFill="1" applyBorder="1" applyAlignment="1">
      <alignment horizontal="center"/>
    </xf>
    <xf numFmtId="0" fontId="15" fillId="12" borderId="32" xfId="0" applyFont="1" applyFill="1" applyBorder="1" applyAlignment="1">
      <alignment horizontal="center"/>
    </xf>
    <xf numFmtId="0" fontId="15" fillId="12" borderId="33" xfId="0" applyFont="1" applyFill="1" applyBorder="1" applyAlignment="1">
      <alignment horizontal="center"/>
    </xf>
    <xf numFmtId="0" fontId="11" fillId="12" borderId="4" xfId="0" applyFont="1" applyFill="1" applyBorder="1" applyAlignment="1">
      <alignment horizontal="center" vertical="center" wrapText="1"/>
    </xf>
    <xf numFmtId="9" fontId="15" fillId="12" borderId="29" xfId="0" applyNumberFormat="1" applyFont="1" applyFill="1" applyBorder="1" applyAlignment="1">
      <alignment horizontal="center"/>
    </xf>
    <xf numFmtId="31" fontId="15" fillId="0" borderId="34" xfId="0" applyNumberFormat="1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FF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9525</xdr:colOff>
      <xdr:row>1</xdr:row>
      <xdr:rowOff>8890</xdr:rowOff>
    </xdr:from>
    <xdr:to>
      <xdr:col>2</xdr:col>
      <xdr:colOff>1823720</xdr:colOff>
      <xdr:row>3</xdr:row>
      <xdr:rowOff>312420</xdr:rowOff>
    </xdr:to>
    <xdr:cxnSp>
      <xdr:nvCxnSpPr>
        <xdr:cNvPr id="2" name="直接连接符 1"/>
        <xdr:cNvCxnSpPr/>
      </xdr:nvCxnSpPr>
      <xdr:spPr>
        <a:xfrm>
          <a:off x="2295525" y="516890"/>
          <a:ext cx="1814195" cy="7531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zoomScale="80" zoomScaleNormal="80" workbookViewId="0">
      <selection activeCell="A32" sqref="A32:L32"/>
    </sheetView>
  </sheetViews>
  <sheetFormatPr defaultColWidth="9.12962962962963" defaultRowHeight="15" customHeight="1"/>
  <cols>
    <col min="1" max="1" width="30.5555555555556" customWidth="1"/>
    <col min="2" max="2" width="16.3888888888889" customWidth="1"/>
    <col min="3" max="3" width="15.6944444444444" customWidth="1"/>
    <col min="4" max="4" width="16.6666666666667" customWidth="1"/>
    <col min="5" max="5" width="24.5833333333333" customWidth="1"/>
    <col min="6" max="6" width="18.3333333333333" customWidth="1"/>
    <col min="7" max="7" width="25.4166666666667" customWidth="1"/>
    <col min="8" max="8" width="24.5833333333333" customWidth="1"/>
    <col min="9" max="10" width="15.7777777777778" customWidth="1"/>
    <col min="11" max="11" width="18.4722222222222" customWidth="1"/>
    <col min="12" max="12" width="17.7777777777778" customWidth="1"/>
    <col min="14" max="14" width="12.8888888888889"/>
  </cols>
  <sheetData>
    <row r="1" ht="30" customHeight="1" spans="1:12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r="2" ht="25" customHeight="1" spans="1:12">
      <c r="A2" s="145" t="s">
        <v>1</v>
      </c>
      <c r="B2" s="145"/>
      <c r="C2" s="145"/>
      <c r="D2" s="145"/>
      <c r="E2" s="145" t="s">
        <v>2</v>
      </c>
      <c r="F2" s="145"/>
      <c r="G2" s="145"/>
      <c r="H2" s="145"/>
      <c r="I2" s="145" t="s">
        <v>3</v>
      </c>
      <c r="J2" s="145"/>
      <c r="K2" s="145"/>
      <c r="L2" s="145"/>
    </row>
    <row r="3" ht="25" customHeight="1" spans="1:12">
      <c r="A3" s="146" t="s">
        <v>4</v>
      </c>
      <c r="B3" s="146"/>
      <c r="C3" s="146"/>
      <c r="D3" s="146"/>
      <c r="E3" s="146" t="s">
        <v>5</v>
      </c>
      <c r="F3" s="146"/>
      <c r="G3" s="146"/>
      <c r="H3" s="146"/>
      <c r="I3" s="146" t="s">
        <v>6</v>
      </c>
      <c r="J3" s="146"/>
      <c r="K3" s="146"/>
      <c r="L3" s="146"/>
    </row>
    <row r="4" ht="18" customHeight="1" spans="1:12">
      <c r="A4" s="147" t="s">
        <v>7</v>
      </c>
      <c r="B4" s="148"/>
      <c r="C4" s="148"/>
      <c r="D4" s="148"/>
      <c r="E4" s="148"/>
      <c r="F4" s="148"/>
      <c r="G4" s="148"/>
      <c r="H4" s="148"/>
      <c r="I4" s="148"/>
      <c r="J4" s="148"/>
      <c r="K4" s="149"/>
      <c r="L4" s="150"/>
    </row>
    <row r="5" ht="18" customHeight="1" spans="1:12">
      <c r="A5" s="151" t="s">
        <v>8</v>
      </c>
      <c r="B5" s="152"/>
      <c r="C5" s="152"/>
      <c r="D5" s="152"/>
      <c r="E5" s="153" t="s">
        <v>9</v>
      </c>
      <c r="F5" s="153"/>
      <c r="G5" s="153"/>
      <c r="H5" s="153" t="s">
        <v>10</v>
      </c>
      <c r="I5" s="153"/>
      <c r="J5" s="153"/>
      <c r="K5" s="154"/>
      <c r="L5" s="155"/>
    </row>
    <row r="6" ht="18" customHeight="1" spans="1:12">
      <c r="A6" s="156" t="s">
        <v>11</v>
      </c>
      <c r="B6" s="157"/>
      <c r="C6" s="157"/>
      <c r="D6" s="157"/>
      <c r="E6" s="158" t="s">
        <v>12</v>
      </c>
      <c r="F6" s="158"/>
      <c r="G6" s="158"/>
      <c r="H6" s="153" t="s">
        <v>13</v>
      </c>
      <c r="I6" s="153"/>
      <c r="J6" s="153"/>
      <c r="K6" s="154"/>
      <c r="L6" s="155"/>
    </row>
    <row r="7" ht="18" customHeight="1" spans="1:12">
      <c r="A7" s="156" t="s">
        <v>14</v>
      </c>
      <c r="B7" s="157"/>
      <c r="C7" s="157"/>
      <c r="D7" s="157"/>
      <c r="E7" s="158" t="s">
        <v>15</v>
      </c>
      <c r="F7" s="158"/>
      <c r="G7" s="158"/>
      <c r="H7" s="153" t="s">
        <v>16</v>
      </c>
      <c r="I7" s="153"/>
      <c r="J7" s="153"/>
      <c r="K7" s="154"/>
      <c r="L7" s="155"/>
    </row>
    <row r="8" ht="18" customHeight="1" spans="1:12">
      <c r="A8" s="156" t="s">
        <v>17</v>
      </c>
      <c r="B8" s="157"/>
      <c r="C8" s="157"/>
      <c r="D8" s="157"/>
      <c r="E8" s="158" t="s">
        <v>18</v>
      </c>
      <c r="F8" s="158"/>
      <c r="G8" s="158"/>
      <c r="H8" s="153"/>
      <c r="I8" s="153"/>
      <c r="J8" s="153"/>
      <c r="K8" s="154"/>
      <c r="L8" s="155"/>
    </row>
    <row r="9" ht="18" customHeight="1" spans="1:12">
      <c r="A9" s="156" t="s">
        <v>19</v>
      </c>
      <c r="B9" s="157"/>
      <c r="C9" s="157"/>
      <c r="D9" s="157"/>
      <c r="E9" s="158" t="s">
        <v>20</v>
      </c>
      <c r="F9" s="158"/>
      <c r="G9" s="158"/>
      <c r="H9" s="153"/>
      <c r="I9" s="153"/>
      <c r="J9" s="153"/>
      <c r="K9" s="154"/>
      <c r="L9" s="155"/>
    </row>
    <row r="10" ht="18" customHeight="1" spans="1:12">
      <c r="A10" s="159" t="s">
        <v>21</v>
      </c>
      <c r="B10" s="160"/>
      <c r="C10" s="160"/>
      <c r="D10" s="160"/>
      <c r="E10" s="160"/>
      <c r="F10" s="160"/>
      <c r="G10" s="160"/>
      <c r="H10" s="160"/>
      <c r="I10" s="160"/>
      <c r="J10" s="160"/>
      <c r="K10" s="161"/>
      <c r="L10" s="162"/>
    </row>
    <row r="11" ht="30" customHeight="1" spans="1:12">
      <c r="A11" s="163" t="s">
        <v>22</v>
      </c>
      <c r="B11" s="164" t="s">
        <v>23</v>
      </c>
      <c r="C11" s="164" t="s">
        <v>24</v>
      </c>
      <c r="D11" s="164" t="s">
        <v>25</v>
      </c>
      <c r="E11" s="164" t="s">
        <v>26</v>
      </c>
      <c r="F11" s="164" t="s">
        <v>27</v>
      </c>
      <c r="G11" s="164" t="s">
        <v>28</v>
      </c>
      <c r="H11" s="164" t="s">
        <v>29</v>
      </c>
      <c r="I11" s="165" t="s">
        <v>30</v>
      </c>
      <c r="J11" s="166" t="s">
        <v>31</v>
      </c>
      <c r="K11" s="167" t="s">
        <v>32</v>
      </c>
      <c r="L11" s="164" t="s">
        <v>33</v>
      </c>
    </row>
    <row r="12" ht="18" customHeight="1" spans="1:12">
      <c r="A12" s="168" t="s">
        <v>34</v>
      </c>
      <c r="B12" s="169">
        <v>135</v>
      </c>
      <c r="C12" s="170">
        <v>1089</v>
      </c>
      <c r="D12" s="171">
        <v>0.11</v>
      </c>
      <c r="E12" s="172">
        <f>C12*D12</f>
        <v>119.79</v>
      </c>
      <c r="F12" s="171">
        <v>0.85</v>
      </c>
      <c r="G12" s="172">
        <f>C12*F12</f>
        <v>925.65</v>
      </c>
      <c r="H12" s="173">
        <f>C12/B12*30</f>
        <v>242</v>
      </c>
      <c r="I12" s="174">
        <f>E12/H12</f>
        <v>0.495</v>
      </c>
      <c r="J12" s="175">
        <v>1089</v>
      </c>
      <c r="K12" s="176">
        <f>G12/J12</f>
        <v>0.85</v>
      </c>
      <c r="L12" s="177">
        <v>-46</v>
      </c>
    </row>
    <row r="13" ht="18" customHeight="1" spans="1:12">
      <c r="A13" s="168" t="s">
        <v>35</v>
      </c>
      <c r="B13" s="169">
        <v>165</v>
      </c>
      <c r="C13" s="170">
        <v>778.3</v>
      </c>
      <c r="D13" s="178">
        <v>0</v>
      </c>
      <c r="E13" s="172">
        <f>C13*D13</f>
        <v>0</v>
      </c>
      <c r="F13" s="179">
        <v>0</v>
      </c>
      <c r="G13" s="172">
        <f>C13*F13</f>
        <v>0</v>
      </c>
      <c r="H13" s="173">
        <f>C13/B13*0</f>
        <v>0</v>
      </c>
      <c r="I13" s="174" t="e">
        <f>E13/H13</f>
        <v>#DIV/0!</v>
      </c>
      <c r="J13" s="175">
        <f>C13/B13*0</f>
        <v>0</v>
      </c>
      <c r="K13" s="176" t="e">
        <f>G13/J13</f>
        <v>#DIV/0!</v>
      </c>
      <c r="L13" s="177">
        <v>165</v>
      </c>
    </row>
    <row r="14" ht="18" customHeight="1" spans="1:12">
      <c r="A14" s="163" t="s">
        <v>36</v>
      </c>
      <c r="B14" s="180">
        <v>300</v>
      </c>
      <c r="C14" s="181">
        <f>SUM(C12:C13)</f>
        <v>1867.3</v>
      </c>
      <c r="D14" s="182">
        <f>E14/C14</f>
        <v>0.0641514486156483</v>
      </c>
      <c r="E14" s="172">
        <f>SUM(E12:E13)</f>
        <v>119.79</v>
      </c>
      <c r="F14" s="183">
        <f>G14/C14</f>
        <v>0.495715739302737</v>
      </c>
      <c r="G14" s="172">
        <f>SUM(G12:G13)</f>
        <v>925.65</v>
      </c>
      <c r="H14" s="172">
        <f>SUM(H12:H13)</f>
        <v>242</v>
      </c>
      <c r="I14" s="174">
        <f>E14/H14</f>
        <v>0.495</v>
      </c>
      <c r="J14" s="172">
        <f>SUM(J12:J13)</f>
        <v>1089</v>
      </c>
      <c r="K14" s="176">
        <f>G14/J14</f>
        <v>0.85</v>
      </c>
      <c r="L14" s="177">
        <v>119</v>
      </c>
    </row>
    <row r="15" ht="18" customHeight="1" spans="1:12">
      <c r="A15" s="184" t="s">
        <v>37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6"/>
      <c r="L15" s="187"/>
    </row>
    <row r="16" ht="35" customHeight="1" spans="1:12">
      <c r="A16" s="188" t="s">
        <v>22</v>
      </c>
      <c r="B16" s="189" t="s">
        <v>38</v>
      </c>
      <c r="C16" s="190"/>
      <c r="D16" s="189" t="s">
        <v>39</v>
      </c>
      <c r="E16" s="165" t="s">
        <v>40</v>
      </c>
      <c r="F16" s="189" t="s">
        <v>41</v>
      </c>
      <c r="G16" s="165" t="s">
        <v>42</v>
      </c>
      <c r="H16" s="191" t="s">
        <v>43</v>
      </c>
      <c r="I16" s="192" t="s">
        <v>10</v>
      </c>
      <c r="J16" s="192"/>
      <c r="K16" s="193"/>
      <c r="L16" s="194"/>
    </row>
    <row r="17" ht="35" customHeight="1" spans="1:12">
      <c r="A17" s="195" t="s">
        <v>34</v>
      </c>
      <c r="B17" s="196">
        <v>1089</v>
      </c>
      <c r="C17" s="197"/>
      <c r="D17" s="198">
        <v>213.2</v>
      </c>
      <c r="E17" s="174">
        <f>D17/E12</f>
        <v>1.77978128391352</v>
      </c>
      <c r="F17" s="198">
        <v>777</v>
      </c>
      <c r="G17" s="174">
        <f>F17/G12</f>
        <v>0.839410144222978</v>
      </c>
      <c r="H17" s="199">
        <f>F17/B17</f>
        <v>0.713498622589532</v>
      </c>
      <c r="I17" s="200" t="s">
        <v>44</v>
      </c>
      <c r="J17" s="201"/>
      <c r="K17" s="201"/>
      <c r="L17" s="202"/>
    </row>
    <row r="18" ht="35" customHeight="1" spans="1:12">
      <c r="A18" s="195" t="s">
        <v>35</v>
      </c>
      <c r="B18" s="196">
        <v>778.3</v>
      </c>
      <c r="C18" s="197"/>
      <c r="D18" s="198">
        <v>0</v>
      </c>
      <c r="E18" s="174" t="e">
        <f>D18/E13</f>
        <v>#DIV/0!</v>
      </c>
      <c r="F18" s="198">
        <v>0</v>
      </c>
      <c r="G18" s="174" t="e">
        <f>F18/G13</f>
        <v>#DIV/0!</v>
      </c>
      <c r="H18" s="199">
        <f>F18/B18</f>
        <v>0</v>
      </c>
      <c r="I18" s="203"/>
      <c r="J18" s="204"/>
      <c r="K18" s="204"/>
      <c r="L18" s="205"/>
    </row>
    <row r="19" ht="35" customHeight="1" spans="1:12">
      <c r="A19" s="188" t="s">
        <v>36</v>
      </c>
      <c r="B19" s="206">
        <f>SUM(B17:B18)</f>
        <v>1867.3</v>
      </c>
      <c r="C19" s="206"/>
      <c r="D19" s="207">
        <f>SUM(D17:D18)</f>
        <v>213.2</v>
      </c>
      <c r="E19" s="174">
        <f>D19/E14</f>
        <v>1.77978128391352</v>
      </c>
      <c r="F19" s="208">
        <f>SUM(F17:F18)</f>
        <v>777</v>
      </c>
      <c r="G19" s="174">
        <f>F19/G14</f>
        <v>0.839410144222978</v>
      </c>
      <c r="H19" s="199">
        <f>F19/B19</f>
        <v>0.41610882022171</v>
      </c>
      <c r="I19" s="209"/>
      <c r="J19" s="210"/>
      <c r="K19" s="210"/>
      <c r="L19" s="211"/>
    </row>
    <row r="20" ht="18" customHeight="1" spans="1:12">
      <c r="A20" s="212" t="s">
        <v>45</v>
      </c>
      <c r="B20" s="213"/>
      <c r="C20" s="213"/>
      <c r="D20" s="213"/>
      <c r="E20" s="213"/>
      <c r="F20" s="213"/>
      <c r="G20" s="213"/>
      <c r="H20" s="213"/>
      <c r="I20" s="213"/>
      <c r="J20" s="213"/>
      <c r="K20" s="214"/>
      <c r="L20" s="215"/>
    </row>
    <row r="21" ht="18" customHeight="1" spans="1:12">
      <c r="A21" s="216" t="s">
        <v>22</v>
      </c>
      <c r="B21" s="217" t="s">
        <v>46</v>
      </c>
      <c r="C21" s="218"/>
      <c r="D21" s="217" t="s">
        <v>47</v>
      </c>
      <c r="E21" s="218"/>
      <c r="F21" s="219" t="s">
        <v>48</v>
      </c>
      <c r="G21" s="220"/>
      <c r="H21" s="219" t="s">
        <v>49</v>
      </c>
      <c r="I21" s="220"/>
      <c r="J21" s="219" t="s">
        <v>50</v>
      </c>
      <c r="K21" s="221"/>
      <c r="L21" s="222"/>
    </row>
    <row r="22" ht="18" customHeight="1" spans="1:12">
      <c r="A22" s="223" t="s">
        <v>34</v>
      </c>
      <c r="B22" s="224">
        <v>1</v>
      </c>
      <c r="C22" s="218"/>
      <c r="D22" s="217" t="s">
        <v>51</v>
      </c>
      <c r="E22" s="218"/>
      <c r="F22" s="225">
        <v>1</v>
      </c>
      <c r="G22" s="220"/>
      <c r="H22" s="219" t="s">
        <v>52</v>
      </c>
      <c r="I22" s="220"/>
      <c r="J22" s="219" t="s">
        <v>53</v>
      </c>
      <c r="K22" s="221"/>
      <c r="L22" s="222"/>
    </row>
    <row r="23" ht="18" customHeight="1" spans="1:12">
      <c r="A23" s="223" t="s">
        <v>54</v>
      </c>
      <c r="B23" s="217"/>
      <c r="C23" s="218"/>
      <c r="D23" s="217"/>
      <c r="E23" s="218"/>
      <c r="F23" s="219"/>
      <c r="G23" s="220"/>
      <c r="H23" s="219"/>
      <c r="I23" s="220"/>
      <c r="J23" s="219"/>
      <c r="K23" s="221"/>
      <c r="L23" s="222"/>
    </row>
    <row r="24" ht="18" customHeight="1" spans="1:12">
      <c r="A24" s="223"/>
      <c r="B24" s="217"/>
      <c r="C24" s="218"/>
      <c r="D24" s="217"/>
      <c r="E24" s="218"/>
      <c r="F24" s="219"/>
      <c r="G24" s="220"/>
      <c r="H24" s="219"/>
      <c r="I24" s="220"/>
      <c r="J24" s="219"/>
      <c r="K24" s="221"/>
      <c r="L24" s="222"/>
    </row>
    <row r="25" ht="18" customHeight="1" spans="1:12">
      <c r="A25" s="223"/>
      <c r="B25" s="217"/>
      <c r="C25" s="218"/>
      <c r="D25" s="217"/>
      <c r="E25" s="218"/>
      <c r="F25" s="219"/>
      <c r="G25" s="220"/>
      <c r="H25" s="219"/>
      <c r="I25" s="220"/>
      <c r="J25" s="219"/>
      <c r="K25" s="221"/>
      <c r="L25" s="222"/>
    </row>
    <row r="26" ht="18" customHeight="1" spans="1:12">
      <c r="A26" s="226"/>
      <c r="B26" s="217"/>
      <c r="C26" s="218"/>
      <c r="D26" s="217"/>
      <c r="E26" s="218"/>
      <c r="F26" s="219"/>
      <c r="G26" s="220"/>
      <c r="H26" s="219"/>
      <c r="I26" s="220"/>
      <c r="J26" s="219"/>
      <c r="K26" s="221"/>
      <c r="L26" s="222"/>
    </row>
    <row r="27" ht="18" customHeight="1" spans="1:12">
      <c r="A27" s="227" t="s">
        <v>55</v>
      </c>
      <c r="B27" s="228"/>
      <c r="C27" s="228"/>
      <c r="D27" s="228"/>
      <c r="E27" s="228"/>
      <c r="F27" s="228"/>
      <c r="G27" s="228"/>
      <c r="H27" s="228"/>
      <c r="I27" s="228"/>
      <c r="J27" s="228"/>
      <c r="K27" s="229"/>
      <c r="L27" s="230"/>
    </row>
    <row r="28" ht="18" customHeight="1" spans="1:12">
      <c r="A28" s="231" t="s">
        <v>22</v>
      </c>
      <c r="B28" s="232" t="s">
        <v>56</v>
      </c>
      <c r="C28" s="233"/>
      <c r="D28" s="232" t="s">
        <v>57</v>
      </c>
      <c r="E28" s="233"/>
      <c r="F28" s="232" t="s">
        <v>58</v>
      </c>
      <c r="G28" s="233"/>
      <c r="H28" s="232" t="s">
        <v>59</v>
      </c>
      <c r="I28" s="233"/>
      <c r="J28" s="232" t="s">
        <v>60</v>
      </c>
      <c r="K28" s="234"/>
      <c r="L28" s="235"/>
    </row>
    <row r="29" ht="18" customHeight="1" spans="1:12">
      <c r="A29" s="236" t="s">
        <v>34</v>
      </c>
      <c r="B29" s="232" t="s">
        <v>61</v>
      </c>
      <c r="C29" s="233"/>
      <c r="D29" s="232" t="s">
        <v>62</v>
      </c>
      <c r="E29" s="233"/>
      <c r="F29" s="232" t="s">
        <v>63</v>
      </c>
      <c r="G29" s="233"/>
      <c r="H29" s="237">
        <v>1</v>
      </c>
      <c r="I29" s="233"/>
      <c r="J29" s="232" t="s">
        <v>64</v>
      </c>
      <c r="K29" s="234"/>
      <c r="L29" s="235"/>
    </row>
    <row r="30" ht="18" customHeight="1" spans="1:12">
      <c r="A30" s="236" t="s">
        <v>54</v>
      </c>
      <c r="B30" s="232"/>
      <c r="C30" s="233"/>
      <c r="D30" s="232"/>
      <c r="E30" s="233"/>
      <c r="F30" s="232"/>
      <c r="G30" s="233"/>
      <c r="H30" s="237"/>
      <c r="I30" s="233"/>
      <c r="J30" s="232"/>
      <c r="K30" s="234"/>
      <c r="L30" s="235"/>
    </row>
    <row r="31" ht="18" customHeight="1" spans="1:12">
      <c r="A31" s="236"/>
      <c r="B31" s="232"/>
      <c r="C31" s="233"/>
      <c r="D31" s="232"/>
      <c r="E31" s="233"/>
      <c r="F31" s="232"/>
      <c r="G31" s="233"/>
      <c r="H31" s="232"/>
      <c r="I31" s="233"/>
      <c r="J31" s="232"/>
      <c r="K31" s="234"/>
      <c r="L31" s="235"/>
    </row>
    <row r="32" ht="45" customHeight="1" spans="1:12">
      <c r="A32" s="238" t="s">
        <v>65</v>
      </c>
      <c r="B32" s="239"/>
      <c r="C32" s="239"/>
      <c r="D32" s="239"/>
      <c r="E32" s="239"/>
      <c r="F32" s="239"/>
      <c r="G32" s="239"/>
      <c r="H32" s="239"/>
      <c r="I32" s="239"/>
      <c r="J32" s="239"/>
      <c r="K32" s="239"/>
      <c r="L32" s="240"/>
    </row>
    <row r="33" customHeight="1" spans="1:3">
      <c r="A33" s="241"/>
      <c r="B33" s="241"/>
      <c r="C33" s="241"/>
    </row>
  </sheetData>
  <mergeCells count="80">
    <mergeCell ref="A1:L1"/>
    <mergeCell ref="A2:D2"/>
    <mergeCell ref="E2:H2"/>
    <mergeCell ref="I2:L2"/>
    <mergeCell ref="A3:D3"/>
    <mergeCell ref="E3:H3"/>
    <mergeCell ref="I3:L3"/>
    <mergeCell ref="A4:L4"/>
    <mergeCell ref="A5:D5"/>
    <mergeCell ref="E5:G5"/>
    <mergeCell ref="H5:L5"/>
    <mergeCell ref="A6:D6"/>
    <mergeCell ref="E6:G6"/>
    <mergeCell ref="H6:L6"/>
    <mergeCell ref="A7:D7"/>
    <mergeCell ref="E7:G7"/>
    <mergeCell ref="H7:L7"/>
    <mergeCell ref="A8:D8"/>
    <mergeCell ref="E8:G8"/>
    <mergeCell ref="H8:L8"/>
    <mergeCell ref="A9:D9"/>
    <mergeCell ref="E9:G9"/>
    <mergeCell ref="H9:L9"/>
    <mergeCell ref="A10:L10"/>
    <mergeCell ref="A15:L15"/>
    <mergeCell ref="B16:C16"/>
    <mergeCell ref="I16:L16"/>
    <mergeCell ref="B17:C17"/>
    <mergeCell ref="B18:C18"/>
    <mergeCell ref="B19:C19"/>
    <mergeCell ref="A20:L20"/>
    <mergeCell ref="B21:C21"/>
    <mergeCell ref="D21:E21"/>
    <mergeCell ref="F21:G21"/>
    <mergeCell ref="H21:I21"/>
    <mergeCell ref="J21:L21"/>
    <mergeCell ref="B22:C22"/>
    <mergeCell ref="D22:E22"/>
    <mergeCell ref="F22:G22"/>
    <mergeCell ref="H22:I22"/>
    <mergeCell ref="J22:L22"/>
    <mergeCell ref="B23:C23"/>
    <mergeCell ref="D23:E23"/>
    <mergeCell ref="F23:G23"/>
    <mergeCell ref="H23:I23"/>
    <mergeCell ref="J23:L23"/>
    <mergeCell ref="B25:C25"/>
    <mergeCell ref="D25:E25"/>
    <mergeCell ref="F25:G25"/>
    <mergeCell ref="H25:I25"/>
    <mergeCell ref="J25:L25"/>
    <mergeCell ref="B26:C26"/>
    <mergeCell ref="D26:E26"/>
    <mergeCell ref="F26:G26"/>
    <mergeCell ref="H26:I26"/>
    <mergeCell ref="J26:L26"/>
    <mergeCell ref="A27:L27"/>
    <mergeCell ref="B28:C28"/>
    <mergeCell ref="D28:E28"/>
    <mergeCell ref="F28:G28"/>
    <mergeCell ref="H28:I28"/>
    <mergeCell ref="J28:L28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B31:C31"/>
    <mergeCell ref="D31:E31"/>
    <mergeCell ref="F31:G31"/>
    <mergeCell ref="H31:I31"/>
    <mergeCell ref="J31:L31"/>
    <mergeCell ref="A32:L32"/>
    <mergeCell ref="A33:J33"/>
    <mergeCell ref="I17:L19"/>
  </mergeCells>
  <pageMargins left="0.25" right="0.25" top="0.75" bottom="0.75" header="0.298611111111111" footer="0.298611111111111"/>
  <pageSetup paperSize="8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57"/>
  <sheetViews>
    <sheetView tabSelected="1" zoomScale="60" zoomScaleNormal="60" workbookViewId="0">
      <selection activeCell="X43" sqref="X43"/>
    </sheetView>
  </sheetViews>
  <sheetFormatPr defaultColWidth="8.88888888888889" defaultRowHeight="14.4"/>
  <cols>
    <col min="1" max="1" width="5.18518518518519" customWidth="1"/>
    <col min="2" max="2" width="28.1481481481481" customWidth="1"/>
    <col min="3" max="3" width="30.7407407407407" customWidth="1"/>
    <col min="4" max="4" width="10" customWidth="1"/>
    <col min="5" max="5" width="12.7777777777778" customWidth="1"/>
    <col min="6" max="6" width="12.4074074074074" customWidth="1"/>
    <col min="7" max="101" width="3.57407407407407" customWidth="1"/>
  </cols>
  <sheetData>
    <row r="1" ht="40" customHeight="1" spans="1:66">
      <c r="A1" s="1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3"/>
    </row>
    <row r="2" ht="20" customHeight="1" spans="1:66">
      <c r="A2" s="4" t="s">
        <v>67</v>
      </c>
      <c r="B2" s="5"/>
      <c r="C2" s="6" t="s">
        <v>68</v>
      </c>
      <c r="D2" s="5" t="s">
        <v>10</v>
      </c>
      <c r="E2" s="5" t="s">
        <v>69</v>
      </c>
      <c r="F2" s="5" t="s">
        <v>70</v>
      </c>
      <c r="G2" s="7" t="s">
        <v>71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8"/>
    </row>
    <row r="3" ht="20" customHeight="1" spans="1:66">
      <c r="A3" s="4"/>
      <c r="B3" s="5"/>
      <c r="C3" s="6"/>
      <c r="D3" s="5"/>
      <c r="E3" s="5"/>
      <c r="F3" s="5"/>
      <c r="G3" s="9" t="s">
        <v>72</v>
      </c>
      <c r="H3" s="9"/>
      <c r="I3" s="9"/>
      <c r="J3" s="9"/>
      <c r="K3" s="9"/>
      <c r="L3" s="9"/>
      <c r="M3" s="9" t="s">
        <v>73</v>
      </c>
      <c r="N3" s="9"/>
      <c r="O3" s="9"/>
      <c r="P3" s="9"/>
      <c r="Q3" s="9"/>
      <c r="R3" s="9"/>
      <c r="S3" s="9" t="s">
        <v>74</v>
      </c>
      <c r="T3" s="9"/>
      <c r="U3" s="9"/>
      <c r="V3" s="9"/>
      <c r="W3" s="9"/>
      <c r="X3" s="9"/>
      <c r="Y3" s="9" t="s">
        <v>75</v>
      </c>
      <c r="Z3" s="9"/>
      <c r="AA3" s="9"/>
      <c r="AB3" s="9"/>
      <c r="AC3" s="9"/>
      <c r="AD3" s="9"/>
      <c r="AE3" s="9" t="s">
        <v>76</v>
      </c>
      <c r="AF3" s="9"/>
      <c r="AG3" s="9"/>
      <c r="AH3" s="9"/>
      <c r="AI3" s="9"/>
      <c r="AJ3" s="9"/>
      <c r="AK3" s="9" t="s">
        <v>77</v>
      </c>
      <c r="AL3" s="9"/>
      <c r="AM3" s="9"/>
      <c r="AN3" s="9"/>
      <c r="AO3" s="9"/>
      <c r="AP3" s="9"/>
      <c r="AQ3" s="9" t="s">
        <v>78</v>
      </c>
      <c r="AR3" s="9"/>
      <c r="AS3" s="9"/>
      <c r="AT3" s="9"/>
      <c r="AU3" s="9"/>
      <c r="AV3" s="9"/>
      <c r="AW3" s="9" t="s">
        <v>79</v>
      </c>
      <c r="AX3" s="9"/>
      <c r="AY3" s="9"/>
      <c r="AZ3" s="9"/>
      <c r="BA3" s="9"/>
      <c r="BB3" s="9"/>
      <c r="BC3" s="9" t="s">
        <v>80</v>
      </c>
      <c r="BD3" s="9"/>
      <c r="BE3" s="9"/>
      <c r="BF3" s="9"/>
      <c r="BG3" s="9"/>
      <c r="BH3" s="9"/>
      <c r="BI3" s="10" t="s">
        <v>81</v>
      </c>
      <c r="BJ3" s="10"/>
      <c r="BK3" s="10"/>
      <c r="BL3" s="10"/>
      <c r="BM3" s="10"/>
      <c r="BN3" s="11"/>
    </row>
    <row r="4" ht="20" customHeight="1" spans="1:66">
      <c r="A4" s="4"/>
      <c r="B4" s="5"/>
      <c r="C4" s="6"/>
      <c r="D4" s="5"/>
      <c r="E4" s="5"/>
      <c r="F4" s="5"/>
      <c r="G4" s="12">
        <v>5</v>
      </c>
      <c r="H4" s="12">
        <v>10</v>
      </c>
      <c r="I4" s="12">
        <v>15</v>
      </c>
      <c r="J4" s="12">
        <v>20</v>
      </c>
      <c r="K4" s="12">
        <v>25</v>
      </c>
      <c r="L4" s="12">
        <v>28</v>
      </c>
      <c r="M4" s="13">
        <v>5</v>
      </c>
      <c r="N4" s="13">
        <v>10</v>
      </c>
      <c r="O4" s="13">
        <v>15</v>
      </c>
      <c r="P4" s="13">
        <v>20</v>
      </c>
      <c r="Q4" s="13">
        <v>25</v>
      </c>
      <c r="R4" s="13">
        <v>31</v>
      </c>
      <c r="S4" s="13">
        <v>5</v>
      </c>
      <c r="T4" s="13">
        <v>10</v>
      </c>
      <c r="U4" s="13">
        <v>15</v>
      </c>
      <c r="V4" s="13">
        <v>20</v>
      </c>
      <c r="W4" s="13">
        <v>25</v>
      </c>
      <c r="X4" s="13">
        <v>30</v>
      </c>
      <c r="Y4" s="13">
        <v>5</v>
      </c>
      <c r="Z4" s="13">
        <v>10</v>
      </c>
      <c r="AA4" s="9">
        <v>15</v>
      </c>
      <c r="AB4" s="13">
        <v>20</v>
      </c>
      <c r="AC4" s="13">
        <v>25</v>
      </c>
      <c r="AD4" s="9">
        <v>31</v>
      </c>
      <c r="AE4" s="9">
        <v>5</v>
      </c>
      <c r="AF4" s="9">
        <v>10</v>
      </c>
      <c r="AG4" s="13">
        <v>15</v>
      </c>
      <c r="AH4" s="9">
        <v>20</v>
      </c>
      <c r="AI4" s="13">
        <v>25</v>
      </c>
      <c r="AJ4" s="13">
        <v>30</v>
      </c>
      <c r="AK4" s="13">
        <v>5</v>
      </c>
      <c r="AL4" s="13">
        <v>10</v>
      </c>
      <c r="AM4" s="13">
        <v>15</v>
      </c>
      <c r="AN4" s="13">
        <v>20</v>
      </c>
      <c r="AO4" s="13">
        <v>25</v>
      </c>
      <c r="AP4" s="13">
        <v>31</v>
      </c>
      <c r="AQ4" s="13">
        <v>5</v>
      </c>
      <c r="AR4" s="13">
        <v>10</v>
      </c>
      <c r="AS4" s="13">
        <v>15</v>
      </c>
      <c r="AT4" s="13">
        <v>20</v>
      </c>
      <c r="AU4" s="13">
        <v>25</v>
      </c>
      <c r="AV4" s="13">
        <v>31</v>
      </c>
      <c r="AW4" s="13">
        <v>5</v>
      </c>
      <c r="AX4" s="9">
        <v>10</v>
      </c>
      <c r="AY4" s="13">
        <v>15</v>
      </c>
      <c r="AZ4" s="13">
        <v>20</v>
      </c>
      <c r="BA4" s="13">
        <v>25</v>
      </c>
      <c r="BB4" s="13">
        <v>30</v>
      </c>
      <c r="BC4" s="9">
        <v>5</v>
      </c>
      <c r="BD4" s="9">
        <v>10</v>
      </c>
      <c r="BE4" s="13">
        <v>15</v>
      </c>
      <c r="BF4" s="13">
        <v>20</v>
      </c>
      <c r="BG4" s="13">
        <v>25</v>
      </c>
      <c r="BH4" s="13">
        <v>31</v>
      </c>
      <c r="BI4" s="10">
        <v>5</v>
      </c>
      <c r="BJ4" s="10">
        <v>10</v>
      </c>
      <c r="BK4" s="10">
        <v>15</v>
      </c>
      <c r="BL4" s="10">
        <v>20</v>
      </c>
      <c r="BM4" s="10">
        <v>25</v>
      </c>
      <c r="BN4" s="11">
        <v>27</v>
      </c>
    </row>
    <row r="5" ht="20" customHeight="1" spans="1:66">
      <c r="A5" s="14" t="s">
        <v>82</v>
      </c>
      <c r="B5" s="15" t="s">
        <v>83</v>
      </c>
      <c r="C5" s="13" t="s">
        <v>84</v>
      </c>
      <c r="D5" s="9" t="s">
        <v>85</v>
      </c>
      <c r="E5" s="16">
        <v>46054</v>
      </c>
      <c r="F5" s="16">
        <v>46078</v>
      </c>
      <c r="G5" s="17"/>
      <c r="H5" s="18"/>
      <c r="I5" s="17"/>
      <c r="J5" s="17"/>
      <c r="K5" s="19"/>
      <c r="L5" s="20"/>
      <c r="M5" s="9"/>
      <c r="N5" s="9"/>
      <c r="O5" s="9"/>
      <c r="P5" s="21"/>
      <c r="Q5" s="21"/>
      <c r="R5" s="22"/>
      <c r="S5" s="23" t="s">
        <v>86</v>
      </c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24"/>
      <c r="BJ5" s="24"/>
      <c r="BK5" s="24"/>
      <c r="BL5" s="24"/>
      <c r="BM5" s="24"/>
      <c r="BN5" s="25"/>
    </row>
    <row r="6" ht="20" customHeight="1" spans="1:66">
      <c r="A6" s="26"/>
      <c r="B6" s="15"/>
      <c r="C6" s="13"/>
      <c r="D6" s="20" t="s">
        <v>87</v>
      </c>
      <c r="E6" s="16">
        <v>46066</v>
      </c>
      <c r="F6" s="16">
        <v>46096</v>
      </c>
      <c r="G6" s="27"/>
      <c r="H6" s="27"/>
      <c r="I6" s="28"/>
      <c r="J6" s="28"/>
      <c r="K6" s="28"/>
      <c r="L6" s="28"/>
      <c r="M6" s="28"/>
      <c r="N6" s="28"/>
      <c r="O6" s="28"/>
      <c r="P6" s="21"/>
      <c r="Q6" s="21"/>
      <c r="R6" s="22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0"/>
      <c r="AM6" s="20"/>
      <c r="AN6" s="20"/>
      <c r="AO6" s="20"/>
      <c r="AP6" s="20"/>
      <c r="AQ6" s="20"/>
      <c r="AR6" s="20"/>
      <c r="AS6" s="20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4"/>
      <c r="BJ6" s="24"/>
      <c r="BK6" s="24"/>
      <c r="BL6" s="24"/>
      <c r="BM6" s="24"/>
      <c r="BN6" s="25"/>
    </row>
    <row r="7" ht="20" customHeight="1" spans="1:66">
      <c r="A7" s="26"/>
      <c r="B7" s="15"/>
      <c r="C7" s="12" t="s">
        <v>88</v>
      </c>
      <c r="D7" s="20" t="s">
        <v>85</v>
      </c>
      <c r="E7" s="16">
        <v>46054</v>
      </c>
      <c r="F7" s="16">
        <v>46078</v>
      </c>
      <c r="G7" s="30"/>
      <c r="H7" s="30"/>
      <c r="I7" s="18"/>
      <c r="J7" s="18"/>
      <c r="K7" s="18"/>
      <c r="L7" s="29"/>
      <c r="M7" s="29"/>
      <c r="N7" s="29"/>
      <c r="O7" s="29"/>
      <c r="P7" s="29"/>
      <c r="Q7" s="29"/>
      <c r="R7" s="27"/>
      <c r="S7" s="31"/>
      <c r="T7" s="31"/>
      <c r="U7" s="23" t="s">
        <v>89</v>
      </c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0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4"/>
      <c r="BJ7" s="24"/>
      <c r="BK7" s="24"/>
      <c r="BL7" s="24"/>
      <c r="BM7" s="24"/>
      <c r="BN7" s="25"/>
    </row>
    <row r="8" ht="20" customHeight="1" spans="1:66">
      <c r="A8" s="26"/>
      <c r="B8" s="15"/>
      <c r="C8" s="12"/>
      <c r="D8" s="20" t="s">
        <v>87</v>
      </c>
      <c r="E8" s="16">
        <v>46072</v>
      </c>
      <c r="F8" s="16">
        <v>46106</v>
      </c>
      <c r="G8" s="27"/>
      <c r="H8" s="27"/>
      <c r="I8" s="29"/>
      <c r="J8" s="29"/>
      <c r="K8" s="28"/>
      <c r="L8" s="28"/>
      <c r="M8" s="28"/>
      <c r="N8" s="28"/>
      <c r="O8" s="28"/>
      <c r="P8" s="28"/>
      <c r="Q8" s="28"/>
      <c r="R8" s="27"/>
      <c r="S8" s="31"/>
      <c r="T8" s="31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0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4"/>
      <c r="BJ8" s="24"/>
      <c r="BK8" s="24"/>
      <c r="BL8" s="24"/>
      <c r="BM8" s="24"/>
      <c r="BN8" s="25"/>
    </row>
    <row r="9" ht="20" customHeight="1" spans="1:66">
      <c r="A9" s="26"/>
      <c r="B9" s="27" t="s">
        <v>90</v>
      </c>
      <c r="C9" s="12" t="s">
        <v>91</v>
      </c>
      <c r="D9" s="20" t="s">
        <v>85</v>
      </c>
      <c r="E9" s="16">
        <v>46069</v>
      </c>
      <c r="F9" s="16">
        <v>46096</v>
      </c>
      <c r="G9" s="27"/>
      <c r="H9" s="27"/>
      <c r="I9" s="32"/>
      <c r="J9" s="18"/>
      <c r="K9" s="18"/>
      <c r="L9" s="18"/>
      <c r="M9" s="18"/>
      <c r="N9" s="18"/>
      <c r="O9" s="18"/>
      <c r="P9" s="29"/>
      <c r="Q9" s="29"/>
      <c r="R9" s="29"/>
      <c r="S9" s="31"/>
      <c r="T9" s="31"/>
      <c r="U9" s="31"/>
      <c r="V9" s="31"/>
      <c r="W9" s="33" t="s">
        <v>92</v>
      </c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5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4"/>
      <c r="BJ9" s="24"/>
      <c r="BK9" s="24"/>
      <c r="BL9" s="24"/>
      <c r="BM9" s="24"/>
      <c r="BN9" s="25"/>
    </row>
    <row r="10" ht="20" customHeight="1" spans="1:66">
      <c r="A10" s="26"/>
      <c r="B10" s="27"/>
      <c r="C10" s="12"/>
      <c r="D10" s="27" t="s">
        <v>87</v>
      </c>
      <c r="E10" s="16">
        <v>46078</v>
      </c>
      <c r="F10" s="16">
        <v>46112</v>
      </c>
      <c r="G10" s="29"/>
      <c r="H10" s="29"/>
      <c r="I10" s="29"/>
      <c r="J10" s="29"/>
      <c r="K10" s="29"/>
      <c r="L10" s="36"/>
      <c r="M10" s="28"/>
      <c r="N10" s="28"/>
      <c r="O10" s="28"/>
      <c r="P10" s="28"/>
      <c r="Q10" s="28"/>
      <c r="R10" s="28"/>
      <c r="S10" s="31"/>
      <c r="T10" s="31"/>
      <c r="U10" s="31"/>
      <c r="V10" s="31"/>
      <c r="W10" s="37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4"/>
      <c r="BJ10" s="24"/>
      <c r="BK10" s="24"/>
      <c r="BL10" s="24"/>
      <c r="BM10" s="24"/>
      <c r="BN10" s="25"/>
    </row>
    <row r="11" ht="23" customHeight="1" spans="1:66">
      <c r="A11" s="26"/>
      <c r="B11" s="27"/>
      <c r="C11" s="27" t="s">
        <v>93</v>
      </c>
      <c r="D11" s="27" t="s">
        <v>85</v>
      </c>
      <c r="E11" s="16">
        <v>46097</v>
      </c>
      <c r="F11" s="16">
        <v>46162</v>
      </c>
      <c r="G11" s="29"/>
      <c r="H11" s="29"/>
      <c r="I11" s="29"/>
      <c r="J11" s="29"/>
      <c r="K11" s="29"/>
      <c r="L11" s="31"/>
      <c r="M11" s="29"/>
      <c r="N11" s="29"/>
      <c r="O11" s="29"/>
      <c r="P11" s="40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29"/>
      <c r="AD11" s="29"/>
      <c r="AE11" s="29"/>
      <c r="AF11" s="29"/>
      <c r="AG11" s="29"/>
      <c r="AH11" s="29"/>
      <c r="AI11" s="29"/>
      <c r="AJ11" s="22"/>
      <c r="AK11" s="41"/>
      <c r="AL11" s="41"/>
      <c r="AM11" s="41"/>
      <c r="AN11" s="42"/>
      <c r="AO11" s="42"/>
      <c r="AP11" s="42"/>
      <c r="AQ11" s="42"/>
      <c r="AR11" s="42"/>
      <c r="AS11" s="33" t="s">
        <v>94</v>
      </c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5"/>
      <c r="BJ11" s="24"/>
      <c r="BK11" s="24"/>
      <c r="BL11" s="24"/>
      <c r="BM11" s="24"/>
      <c r="BN11" s="25"/>
    </row>
    <row r="12" ht="28" customHeight="1" spans="1:66">
      <c r="A12" s="26"/>
      <c r="B12" s="27"/>
      <c r="C12" s="27"/>
      <c r="D12" s="20" t="s">
        <v>87</v>
      </c>
      <c r="E12" s="16">
        <v>46123</v>
      </c>
      <c r="F12" s="16">
        <v>46244</v>
      </c>
      <c r="G12" s="29"/>
      <c r="H12" s="29"/>
      <c r="I12" s="29"/>
      <c r="J12" s="29"/>
      <c r="K12" s="27"/>
      <c r="L12" s="27"/>
      <c r="M12" s="29"/>
      <c r="N12" s="29"/>
      <c r="O12" s="29"/>
      <c r="P12" s="29"/>
      <c r="Q12" s="29"/>
      <c r="R12" s="29"/>
      <c r="S12" s="29"/>
      <c r="T12" s="29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43"/>
      <c r="AI12" s="28"/>
      <c r="AJ12" s="44"/>
      <c r="AK12" s="45"/>
      <c r="AL12" s="45"/>
      <c r="AM12" s="45"/>
      <c r="AN12" s="46"/>
      <c r="AO12" s="46"/>
      <c r="AP12" s="46"/>
      <c r="AQ12" s="47"/>
      <c r="AR12" s="47"/>
      <c r="AS12" s="37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9"/>
      <c r="BJ12" s="24"/>
      <c r="BK12" s="24"/>
      <c r="BL12" s="24"/>
      <c r="BM12" s="24"/>
      <c r="BN12" s="25"/>
    </row>
    <row r="13" ht="20" customHeight="1" spans="1:66">
      <c r="A13" s="26"/>
      <c r="B13" s="27"/>
      <c r="C13" s="20" t="s">
        <v>95</v>
      </c>
      <c r="D13" s="27" t="s">
        <v>85</v>
      </c>
      <c r="E13" s="16">
        <v>46143</v>
      </c>
      <c r="F13" s="16">
        <v>46162</v>
      </c>
      <c r="G13" s="29"/>
      <c r="H13" s="29"/>
      <c r="I13" s="29"/>
      <c r="J13" s="29"/>
      <c r="K13" s="27"/>
      <c r="L13" s="27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18"/>
      <c r="Z13" s="18"/>
      <c r="AA13" s="18"/>
      <c r="AB13" s="17"/>
      <c r="AC13" s="20"/>
      <c r="AD13" s="20"/>
      <c r="AE13" s="20"/>
      <c r="AF13" s="20"/>
      <c r="AG13" s="20"/>
      <c r="AH13" s="48"/>
      <c r="AI13" s="20"/>
      <c r="AJ13" s="20"/>
      <c r="AK13" s="20"/>
      <c r="AL13" s="20"/>
      <c r="AM13" s="20"/>
      <c r="AN13" s="20"/>
      <c r="AO13" s="41"/>
      <c r="AP13" s="41"/>
      <c r="AQ13" s="41"/>
      <c r="AR13" s="41"/>
      <c r="AS13" s="41"/>
      <c r="AT13" s="42"/>
      <c r="AU13" s="42"/>
      <c r="AV13" s="42"/>
      <c r="AW13" s="33" t="s">
        <v>96</v>
      </c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5"/>
      <c r="BM13" s="24"/>
      <c r="BN13" s="25"/>
    </row>
    <row r="14" ht="20" customHeight="1" spans="1:66">
      <c r="A14" s="26"/>
      <c r="B14" s="27"/>
      <c r="C14" s="20"/>
      <c r="D14" s="20" t="s">
        <v>87</v>
      </c>
      <c r="E14" s="16">
        <v>46224</v>
      </c>
      <c r="F14" s="16">
        <v>46265</v>
      </c>
      <c r="G14" s="29"/>
      <c r="H14" s="29"/>
      <c r="I14" s="29"/>
      <c r="J14" s="29"/>
      <c r="K14" s="27"/>
      <c r="L14" s="27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0"/>
      <c r="AC14" s="20"/>
      <c r="AD14" s="20"/>
      <c r="AE14" s="20"/>
      <c r="AF14" s="20"/>
      <c r="AG14" s="20"/>
      <c r="AH14" s="48"/>
      <c r="AI14" s="20"/>
      <c r="AJ14" s="20"/>
      <c r="AK14" s="20"/>
      <c r="AL14" s="20"/>
      <c r="AM14" s="20"/>
      <c r="AN14" s="20"/>
      <c r="AO14" s="45"/>
      <c r="AP14" s="45"/>
      <c r="AQ14" s="49"/>
      <c r="AR14" s="49"/>
      <c r="AS14" s="49"/>
      <c r="AT14" s="47"/>
      <c r="AU14" s="47"/>
      <c r="AV14" s="47"/>
      <c r="AW14" s="37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9"/>
      <c r="BM14" s="24"/>
      <c r="BN14" s="25"/>
    </row>
    <row r="15" ht="20" customHeight="1" spans="1:66">
      <c r="A15" s="26"/>
      <c r="B15" s="27"/>
      <c r="C15" s="9" t="s">
        <v>97</v>
      </c>
      <c r="D15" s="27" t="s">
        <v>85</v>
      </c>
      <c r="E15" s="16">
        <v>46158</v>
      </c>
      <c r="F15" s="16">
        <v>46167</v>
      </c>
      <c r="G15" s="29"/>
      <c r="H15" s="29"/>
      <c r="I15" s="29"/>
      <c r="J15" s="29"/>
      <c r="K15" s="29"/>
      <c r="L15" s="31"/>
      <c r="M15" s="29"/>
      <c r="N15" s="29"/>
      <c r="O15" s="31"/>
      <c r="P15" s="29"/>
      <c r="Q15" s="29"/>
      <c r="R15" s="29"/>
      <c r="S15" s="50"/>
      <c r="T15" s="50"/>
      <c r="U15" s="50"/>
      <c r="V15" s="50"/>
      <c r="W15" s="50"/>
      <c r="X15" s="50"/>
      <c r="Y15" s="50"/>
      <c r="Z15" s="50"/>
      <c r="AA15" s="50"/>
      <c r="AB15" s="17"/>
      <c r="AC15" s="17"/>
      <c r="AD15" s="20"/>
      <c r="AE15" s="20"/>
      <c r="AF15" s="20"/>
      <c r="AG15" s="20"/>
      <c r="AH15" s="48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41"/>
      <c r="AU15" s="41"/>
      <c r="AV15" s="41"/>
      <c r="AW15" s="41"/>
      <c r="AX15" s="33" t="s">
        <v>98</v>
      </c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51"/>
    </row>
    <row r="16" ht="20" customHeight="1" spans="1:66">
      <c r="A16" s="26"/>
      <c r="B16" s="27"/>
      <c r="C16" s="9"/>
      <c r="D16" s="20" t="s">
        <v>87</v>
      </c>
      <c r="E16" s="16">
        <v>46174</v>
      </c>
      <c r="F16" s="16">
        <v>46270</v>
      </c>
      <c r="G16" s="29"/>
      <c r="H16" s="29"/>
      <c r="I16" s="29"/>
      <c r="J16" s="29"/>
      <c r="K16" s="29"/>
      <c r="L16" s="31"/>
      <c r="M16" s="29"/>
      <c r="N16" s="29"/>
      <c r="O16" s="31"/>
      <c r="P16" s="29"/>
      <c r="Q16" s="29"/>
      <c r="R16" s="29"/>
      <c r="S16" s="50"/>
      <c r="T16" s="50"/>
      <c r="U16" s="50"/>
      <c r="V16" s="50"/>
      <c r="W16" s="50"/>
      <c r="X16" s="50"/>
      <c r="Y16" s="50"/>
      <c r="Z16" s="50"/>
      <c r="AA16" s="50"/>
      <c r="AB16" s="20"/>
      <c r="AC16" s="20"/>
      <c r="AD16" s="20"/>
      <c r="AE16" s="52"/>
      <c r="AF16" s="52"/>
      <c r="AG16" s="52"/>
      <c r="AH16" s="53"/>
      <c r="AI16" s="52"/>
      <c r="AJ16" s="52"/>
      <c r="AK16" s="52"/>
      <c r="AL16" s="52"/>
      <c r="AM16" s="52"/>
      <c r="AN16" s="52"/>
      <c r="AO16" s="52"/>
      <c r="AP16" s="52"/>
      <c r="AQ16" s="54"/>
      <c r="AR16" s="54"/>
      <c r="AS16" s="54"/>
      <c r="AT16" s="49"/>
      <c r="AU16" s="49"/>
      <c r="AV16" s="49"/>
      <c r="AW16" s="49"/>
      <c r="AX16" s="37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55"/>
    </row>
    <row r="17" ht="20" customHeight="1" spans="1:66">
      <c r="A17" s="26"/>
      <c r="B17" s="5" t="s">
        <v>99</v>
      </c>
      <c r="C17" s="56" t="s">
        <v>91</v>
      </c>
      <c r="D17" s="27" t="s">
        <v>85</v>
      </c>
      <c r="E17" s="16">
        <v>46163</v>
      </c>
      <c r="F17" s="16">
        <v>46167</v>
      </c>
      <c r="G17" s="29"/>
      <c r="H17" s="29"/>
      <c r="I17" s="29"/>
      <c r="J17" s="29"/>
      <c r="K17" s="29"/>
      <c r="L17" s="31"/>
      <c r="M17" s="29"/>
      <c r="N17" s="29"/>
      <c r="O17" s="31"/>
      <c r="P17" s="29"/>
      <c r="Q17" s="29"/>
      <c r="R17" s="29"/>
      <c r="S17" s="50"/>
      <c r="T17" s="50"/>
      <c r="U17" s="50"/>
      <c r="V17" s="50"/>
      <c r="W17" s="50"/>
      <c r="X17" s="50"/>
      <c r="Y17" s="50"/>
      <c r="Z17" s="50"/>
      <c r="AA17" s="50"/>
      <c r="AB17" s="20"/>
      <c r="AC17" s="57"/>
      <c r="AD17" s="20"/>
      <c r="AE17" s="20"/>
      <c r="AF17" s="20"/>
      <c r="AG17" s="20"/>
      <c r="AH17" s="48"/>
      <c r="AI17" s="20"/>
      <c r="AJ17" s="20"/>
      <c r="AK17" s="20"/>
      <c r="AL17" s="58" t="s">
        <v>100</v>
      </c>
      <c r="AM17" s="59"/>
      <c r="AN17" s="59"/>
      <c r="AO17" s="59"/>
      <c r="AP17" s="59"/>
      <c r="AQ17" s="59"/>
      <c r="AR17" s="59"/>
      <c r="AS17" s="59"/>
      <c r="AT17" s="59"/>
      <c r="AU17" s="6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24"/>
      <c r="BJ17" s="24"/>
      <c r="BK17" s="24"/>
      <c r="BL17" s="24"/>
      <c r="BM17" s="24"/>
      <c r="BN17" s="25"/>
    </row>
    <row r="18" ht="20" customHeight="1" spans="1:66">
      <c r="A18" s="26"/>
      <c r="B18" s="5"/>
      <c r="C18" s="61"/>
      <c r="D18" s="20" t="s">
        <v>87</v>
      </c>
      <c r="E18" s="16"/>
      <c r="F18" s="16"/>
      <c r="G18" s="29"/>
      <c r="H18" s="29"/>
      <c r="I18" s="29"/>
      <c r="J18" s="29"/>
      <c r="K18" s="29"/>
      <c r="L18" s="31"/>
      <c r="M18" s="29"/>
      <c r="N18" s="29"/>
      <c r="O18" s="31"/>
      <c r="P18" s="29"/>
      <c r="Q18" s="29"/>
      <c r="R18" s="29"/>
      <c r="S18" s="50"/>
      <c r="T18" s="50"/>
      <c r="U18" s="50"/>
      <c r="V18" s="50"/>
      <c r="W18" s="5"/>
      <c r="X18" s="5"/>
      <c r="Y18" s="50"/>
      <c r="Z18" s="50"/>
      <c r="AA18" s="50"/>
      <c r="AB18" s="20"/>
      <c r="AC18" s="20"/>
      <c r="AD18" s="20"/>
      <c r="AE18" s="20"/>
      <c r="AF18" s="20"/>
      <c r="AG18" s="20"/>
      <c r="AH18" s="48"/>
      <c r="AI18" s="20"/>
      <c r="AJ18" s="20"/>
      <c r="AK18" s="20"/>
      <c r="AL18" s="62"/>
      <c r="AM18" s="63"/>
      <c r="AN18" s="63"/>
      <c r="AO18" s="63"/>
      <c r="AP18" s="63"/>
      <c r="AQ18" s="63"/>
      <c r="AR18" s="63"/>
      <c r="AS18" s="63"/>
      <c r="AT18" s="63"/>
      <c r="AU18" s="64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24"/>
      <c r="BJ18" s="24"/>
      <c r="BK18" s="24"/>
      <c r="BL18" s="24"/>
      <c r="BM18" s="24"/>
      <c r="BN18" s="25"/>
    </row>
    <row r="19" ht="20" customHeight="1" spans="1:66">
      <c r="A19" s="26"/>
      <c r="B19" s="5"/>
      <c r="C19" s="56" t="s">
        <v>101</v>
      </c>
      <c r="D19" s="27" t="s">
        <v>85</v>
      </c>
      <c r="E19" s="16">
        <v>46168</v>
      </c>
      <c r="F19" s="16">
        <v>46188</v>
      </c>
      <c r="G19" s="29"/>
      <c r="H19" s="29"/>
      <c r="I19" s="29"/>
      <c r="J19" s="29"/>
      <c r="K19" s="29"/>
      <c r="L19" s="31"/>
      <c r="M19" s="29"/>
      <c r="N19" s="29"/>
      <c r="O19" s="31"/>
      <c r="P19" s="29"/>
      <c r="Q19" s="29"/>
      <c r="R19" s="29"/>
      <c r="S19" s="50"/>
      <c r="T19" s="50"/>
      <c r="U19" s="50"/>
      <c r="V19" s="50"/>
      <c r="W19" s="5"/>
      <c r="X19" s="5"/>
      <c r="Y19" s="50"/>
      <c r="Z19" s="50"/>
      <c r="AA19" s="50"/>
      <c r="AB19" s="20"/>
      <c r="AC19" s="20"/>
      <c r="AD19" s="17"/>
      <c r="AE19" s="17"/>
      <c r="AF19" s="17"/>
      <c r="AG19" s="17"/>
      <c r="AH19" s="48"/>
      <c r="AI19" s="20"/>
      <c r="AJ19" s="20"/>
      <c r="AK19" s="20"/>
      <c r="AL19" s="62"/>
      <c r="AM19" s="63"/>
      <c r="AN19" s="63"/>
      <c r="AO19" s="63"/>
      <c r="AP19" s="63"/>
      <c r="AQ19" s="63"/>
      <c r="AR19" s="63"/>
      <c r="AS19" s="63"/>
      <c r="AT19" s="63"/>
      <c r="AU19" s="64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24"/>
      <c r="BJ19" s="24"/>
      <c r="BK19" s="24"/>
      <c r="BL19" s="24"/>
      <c r="BM19" s="24"/>
      <c r="BN19" s="25"/>
    </row>
    <row r="20" ht="20" customHeight="1" spans="1:66">
      <c r="A20" s="26"/>
      <c r="B20" s="5"/>
      <c r="C20" s="61"/>
      <c r="D20" s="20" t="s">
        <v>87</v>
      </c>
      <c r="E20" s="16"/>
      <c r="F20" s="16"/>
      <c r="G20" s="29"/>
      <c r="H20" s="29"/>
      <c r="I20" s="29"/>
      <c r="J20" s="29"/>
      <c r="K20" s="29"/>
      <c r="L20" s="31"/>
      <c r="M20" s="29"/>
      <c r="N20" s="29"/>
      <c r="O20" s="31"/>
      <c r="P20" s="29"/>
      <c r="Q20" s="29"/>
      <c r="R20" s="29"/>
      <c r="S20" s="50"/>
      <c r="T20" s="50"/>
      <c r="U20" s="50"/>
      <c r="V20" s="50"/>
      <c r="W20" s="9"/>
      <c r="X20" s="9"/>
      <c r="Y20" s="50"/>
      <c r="Z20" s="50"/>
      <c r="AA20" s="50"/>
      <c r="AB20" s="20"/>
      <c r="AC20" s="20"/>
      <c r="AD20" s="20"/>
      <c r="AE20" s="20"/>
      <c r="AF20" s="20"/>
      <c r="AG20" s="20"/>
      <c r="AH20" s="48"/>
      <c r="AI20" s="20"/>
      <c r="AJ20" s="20"/>
      <c r="AK20" s="20"/>
      <c r="AL20" s="65"/>
      <c r="AM20" s="66"/>
      <c r="AN20" s="66"/>
      <c r="AO20" s="66"/>
      <c r="AP20" s="66"/>
      <c r="AQ20" s="66"/>
      <c r="AR20" s="66"/>
      <c r="AS20" s="66"/>
      <c r="AT20" s="66"/>
      <c r="AU20" s="67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24"/>
      <c r="BJ20" s="24"/>
      <c r="BK20" s="24"/>
      <c r="BL20" s="24"/>
      <c r="BM20" s="24"/>
      <c r="BN20" s="25"/>
    </row>
    <row r="21" ht="20" customHeight="1" spans="1:66">
      <c r="A21" s="26"/>
      <c r="B21" s="5" t="s">
        <v>102</v>
      </c>
      <c r="C21" s="56" t="s">
        <v>91</v>
      </c>
      <c r="D21" s="27" t="s">
        <v>85</v>
      </c>
      <c r="E21" s="16">
        <v>46082</v>
      </c>
      <c r="F21" s="16">
        <v>46106</v>
      </c>
      <c r="G21" s="29"/>
      <c r="H21" s="29"/>
      <c r="I21" s="29"/>
      <c r="J21" s="29"/>
      <c r="K21" s="29"/>
      <c r="L21" s="31"/>
      <c r="M21" s="68"/>
      <c r="N21" s="68"/>
      <c r="O21" s="69"/>
      <c r="P21" s="18"/>
      <c r="Q21" s="18"/>
      <c r="R21" s="29"/>
      <c r="S21" s="50"/>
      <c r="T21" s="50"/>
      <c r="U21" s="50"/>
      <c r="V21" s="50"/>
      <c r="W21" s="22"/>
      <c r="X21" s="22"/>
      <c r="Y21" s="22"/>
      <c r="Z21" s="22"/>
      <c r="AA21" s="22"/>
      <c r="AB21" s="22"/>
      <c r="AC21" s="22"/>
      <c r="AD21" s="41"/>
      <c r="AE21" s="70" t="s">
        <v>103</v>
      </c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2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24"/>
      <c r="BJ21" s="24"/>
      <c r="BK21" s="24"/>
      <c r="BL21" s="24"/>
      <c r="BM21" s="24"/>
      <c r="BN21" s="25"/>
    </row>
    <row r="22" ht="20" customHeight="1" spans="1:66">
      <c r="A22" s="26"/>
      <c r="B22" s="5"/>
      <c r="C22" s="61"/>
      <c r="D22" s="20" t="s">
        <v>87</v>
      </c>
      <c r="E22" s="16">
        <v>46097</v>
      </c>
      <c r="F22" s="16">
        <v>46173</v>
      </c>
      <c r="G22" s="29"/>
      <c r="H22" s="29"/>
      <c r="I22" s="29"/>
      <c r="J22" s="29"/>
      <c r="K22" s="29"/>
      <c r="L22" s="31"/>
      <c r="M22" s="29"/>
      <c r="N22" s="29"/>
      <c r="O22" s="31"/>
      <c r="P22" s="29"/>
      <c r="Q22" s="29"/>
      <c r="R22" s="29"/>
      <c r="S22" s="50"/>
      <c r="T22" s="50"/>
      <c r="U22" s="50"/>
      <c r="V22" s="50"/>
      <c r="W22" s="22"/>
      <c r="X22" s="22"/>
      <c r="Y22" s="22"/>
      <c r="Z22" s="22"/>
      <c r="AA22" s="44"/>
      <c r="AB22" s="44"/>
      <c r="AC22" s="44"/>
      <c r="AD22" s="45"/>
      <c r="AE22" s="73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5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24"/>
      <c r="BJ22" s="24"/>
      <c r="BK22" s="24"/>
      <c r="BL22" s="24"/>
      <c r="BM22" s="24"/>
      <c r="BN22" s="25"/>
    </row>
    <row r="23" ht="26" customHeight="1" spans="1:66">
      <c r="A23" s="26"/>
      <c r="B23" s="5"/>
      <c r="C23" s="56" t="s">
        <v>101</v>
      </c>
      <c r="D23" s="27" t="s">
        <v>85</v>
      </c>
      <c r="E23" s="16">
        <v>46107</v>
      </c>
      <c r="F23" s="16">
        <v>46167</v>
      </c>
      <c r="G23" s="29"/>
      <c r="H23" s="29"/>
      <c r="I23" s="29"/>
      <c r="J23" s="29"/>
      <c r="K23" s="29"/>
      <c r="L23" s="31"/>
      <c r="M23" s="29"/>
      <c r="N23" s="29"/>
      <c r="O23" s="31"/>
      <c r="P23" s="29"/>
      <c r="Q23" s="29"/>
      <c r="R23" s="18"/>
      <c r="S23" s="76"/>
      <c r="T23" s="76"/>
      <c r="U23" s="76"/>
      <c r="V23" s="76"/>
      <c r="W23" s="77"/>
      <c r="X23" s="77"/>
      <c r="Y23" s="76"/>
      <c r="Z23" s="76"/>
      <c r="AA23" s="76"/>
      <c r="AB23" s="17"/>
      <c r="AC23" s="17"/>
      <c r="AD23" s="20"/>
      <c r="AE23" s="20"/>
      <c r="AF23" s="20"/>
      <c r="AG23" s="20"/>
      <c r="AH23" s="48"/>
      <c r="AI23" s="20"/>
      <c r="AJ23" s="20"/>
      <c r="AK23" s="20"/>
      <c r="AL23" s="41"/>
      <c r="AM23" s="41"/>
      <c r="AN23" s="41"/>
      <c r="AO23" s="41"/>
      <c r="AP23" s="41"/>
      <c r="AQ23" s="42"/>
      <c r="AR23" s="42"/>
      <c r="AS23" s="42"/>
      <c r="AT23" s="78" t="s">
        <v>104</v>
      </c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79"/>
      <c r="BM23" s="80"/>
      <c r="BN23" s="25"/>
    </row>
    <row r="24" ht="27" customHeight="1" spans="1:66">
      <c r="A24" s="26"/>
      <c r="B24" s="5"/>
      <c r="C24" s="61"/>
      <c r="D24" s="20" t="s">
        <v>87</v>
      </c>
      <c r="E24" s="16">
        <v>46156</v>
      </c>
      <c r="F24" s="16">
        <v>46249</v>
      </c>
      <c r="G24" s="29"/>
      <c r="H24" s="29"/>
      <c r="I24" s="29"/>
      <c r="J24" s="29"/>
      <c r="K24" s="29"/>
      <c r="L24" s="31"/>
      <c r="M24" s="32"/>
      <c r="N24" s="32"/>
      <c r="O24" s="81"/>
      <c r="P24" s="32"/>
      <c r="Q24" s="29"/>
      <c r="R24" s="29"/>
      <c r="S24" s="50"/>
      <c r="T24" s="50"/>
      <c r="U24" s="5"/>
      <c r="V24" s="5"/>
      <c r="W24" s="5"/>
      <c r="X24" s="5"/>
      <c r="Y24" s="5"/>
      <c r="Z24" s="5"/>
      <c r="AA24" s="82"/>
      <c r="AB24" s="82"/>
      <c r="AC24" s="82"/>
      <c r="AD24" s="82"/>
      <c r="AE24" s="82"/>
      <c r="AF24" s="82"/>
      <c r="AG24" s="82"/>
      <c r="AH24" s="53"/>
      <c r="AI24" s="52"/>
      <c r="AJ24" s="52"/>
      <c r="AK24" s="52"/>
      <c r="AL24" s="45"/>
      <c r="AM24" s="45"/>
      <c r="AN24" s="45"/>
      <c r="AO24" s="45"/>
      <c r="AP24" s="45"/>
      <c r="AQ24" s="47"/>
      <c r="AR24" s="47"/>
      <c r="AS24" s="47"/>
      <c r="AT24" s="83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5"/>
      <c r="BN24" s="25"/>
    </row>
    <row r="25" ht="23" customHeight="1" spans="1:66">
      <c r="A25" s="26"/>
      <c r="B25" s="5" t="s">
        <v>105</v>
      </c>
      <c r="C25" s="9" t="s">
        <v>91</v>
      </c>
      <c r="D25" s="9" t="s">
        <v>85</v>
      </c>
      <c r="E25" s="16">
        <v>46082</v>
      </c>
      <c r="F25" s="16">
        <v>46106</v>
      </c>
      <c r="G25" s="29"/>
      <c r="H25" s="29"/>
      <c r="I25" s="29"/>
      <c r="J25" s="29"/>
      <c r="K25" s="29"/>
      <c r="L25" s="31"/>
      <c r="M25" s="18"/>
      <c r="N25" s="18"/>
      <c r="O25" s="69"/>
      <c r="P25" s="18"/>
      <c r="Q25" s="18"/>
      <c r="R25" s="29"/>
      <c r="S25" s="50"/>
      <c r="T25" s="50"/>
      <c r="U25" s="21"/>
      <c r="V25" s="21"/>
      <c r="W25" s="22"/>
      <c r="X25" s="22"/>
      <c r="Y25" s="22"/>
      <c r="Z25" s="22"/>
      <c r="AA25" s="41"/>
      <c r="AB25" s="41"/>
      <c r="AC25" s="41"/>
      <c r="AD25" s="41"/>
      <c r="AE25" s="41"/>
      <c r="AF25" s="41"/>
      <c r="AG25" s="22"/>
      <c r="AH25" s="22"/>
      <c r="AI25" s="22"/>
      <c r="AJ25" s="22"/>
      <c r="AK25" s="22"/>
      <c r="AL25" s="22"/>
      <c r="AM25" s="42"/>
      <c r="AN25" s="42"/>
      <c r="AO25" s="42"/>
      <c r="AP25" s="42"/>
      <c r="AQ25" s="42"/>
      <c r="AR25" s="42"/>
      <c r="AS25" s="33" t="s">
        <v>106</v>
      </c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5"/>
      <c r="BJ25" s="24"/>
      <c r="BK25" s="24"/>
      <c r="BL25" s="24"/>
      <c r="BM25" s="24"/>
      <c r="BN25" s="25"/>
    </row>
    <row r="26" ht="21" customHeight="1" spans="1:66">
      <c r="A26" s="26"/>
      <c r="B26" s="5"/>
      <c r="C26" s="9"/>
      <c r="D26" s="9" t="s">
        <v>87</v>
      </c>
      <c r="E26" s="16">
        <v>46097</v>
      </c>
      <c r="F26" s="16">
        <v>46244</v>
      </c>
      <c r="G26" s="29"/>
      <c r="H26" s="29"/>
      <c r="I26" s="29"/>
      <c r="J26" s="29"/>
      <c r="K26" s="29"/>
      <c r="L26" s="31"/>
      <c r="M26" s="29"/>
      <c r="N26" s="29"/>
      <c r="O26" s="31"/>
      <c r="P26" s="28"/>
      <c r="Q26" s="28"/>
      <c r="R26" s="28"/>
      <c r="S26" s="86"/>
      <c r="T26" s="86"/>
      <c r="U26" s="87"/>
      <c r="V26" s="87"/>
      <c r="W26" s="44"/>
      <c r="X26" s="44"/>
      <c r="Y26" s="44"/>
      <c r="Z26" s="44"/>
      <c r="AA26" s="45"/>
      <c r="AB26" s="45"/>
      <c r="AC26" s="45"/>
      <c r="AD26" s="45"/>
      <c r="AE26" s="45"/>
      <c r="AF26" s="45"/>
      <c r="AG26" s="44"/>
      <c r="AH26" s="44"/>
      <c r="AI26" s="44"/>
      <c r="AJ26" s="44"/>
      <c r="AK26" s="44"/>
      <c r="AL26" s="44"/>
      <c r="AM26" s="46"/>
      <c r="AN26" s="46"/>
      <c r="AO26" s="46"/>
      <c r="AP26" s="46"/>
      <c r="AQ26" s="47"/>
      <c r="AR26" s="47"/>
      <c r="AS26" s="37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9"/>
      <c r="BJ26" s="24"/>
      <c r="BK26" s="24"/>
      <c r="BL26" s="24"/>
      <c r="BM26" s="24"/>
      <c r="BN26" s="25"/>
    </row>
    <row r="27" ht="22" customHeight="1" spans="1:66">
      <c r="A27" s="26"/>
      <c r="B27" s="5"/>
      <c r="C27" s="9" t="s">
        <v>101</v>
      </c>
      <c r="D27" s="9" t="s">
        <v>85</v>
      </c>
      <c r="E27" s="16">
        <v>46107</v>
      </c>
      <c r="F27" s="16">
        <v>46167</v>
      </c>
      <c r="G27" s="29"/>
      <c r="H27" s="29"/>
      <c r="I27" s="29"/>
      <c r="J27" s="29"/>
      <c r="K27" s="29"/>
      <c r="L27" s="31"/>
      <c r="M27" s="29"/>
      <c r="N27" s="29"/>
      <c r="O27" s="31"/>
      <c r="P27" s="29"/>
      <c r="Q27" s="29"/>
      <c r="R27" s="18"/>
      <c r="S27" s="76"/>
      <c r="T27" s="76"/>
      <c r="U27" s="76"/>
      <c r="V27" s="76"/>
      <c r="W27" s="77"/>
      <c r="X27" s="77"/>
      <c r="Y27" s="76"/>
      <c r="Z27" s="76"/>
      <c r="AA27" s="76"/>
      <c r="AB27" s="17"/>
      <c r="AC27" s="17"/>
      <c r="AD27" s="20"/>
      <c r="AE27" s="20"/>
      <c r="AF27" s="20"/>
      <c r="AG27" s="20"/>
      <c r="AH27" s="20"/>
      <c r="AI27" s="20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88"/>
      <c r="AW27" s="88"/>
      <c r="AX27" s="88"/>
      <c r="AY27" s="33" t="s">
        <v>107</v>
      </c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51"/>
    </row>
    <row r="28" ht="23" customHeight="1" spans="1:66">
      <c r="A28" s="26"/>
      <c r="B28" s="5"/>
      <c r="C28" s="9"/>
      <c r="D28" s="9" t="s">
        <v>87</v>
      </c>
      <c r="E28" s="16">
        <v>46133</v>
      </c>
      <c r="F28" s="16">
        <v>46265</v>
      </c>
      <c r="G28" s="29"/>
      <c r="H28" s="29"/>
      <c r="I28" s="29"/>
      <c r="J28" s="29"/>
      <c r="K28" s="29"/>
      <c r="L28" s="31"/>
      <c r="M28" s="29"/>
      <c r="N28" s="29"/>
      <c r="O28" s="31"/>
      <c r="P28" s="29"/>
      <c r="Q28" s="29"/>
      <c r="R28" s="29"/>
      <c r="S28" s="50"/>
      <c r="T28" s="50"/>
      <c r="U28" s="50"/>
      <c r="V28" s="50"/>
      <c r="W28" s="89"/>
      <c r="X28" s="89"/>
      <c r="Y28" s="86"/>
      <c r="Z28" s="86"/>
      <c r="AA28" s="86"/>
      <c r="AB28" s="52"/>
      <c r="AC28" s="52"/>
      <c r="AD28" s="52"/>
      <c r="AE28" s="52"/>
      <c r="AF28" s="52"/>
      <c r="AG28" s="52"/>
      <c r="AH28" s="52"/>
      <c r="AI28" s="52"/>
      <c r="AJ28" s="45"/>
      <c r="AK28" s="45"/>
      <c r="AL28" s="45"/>
      <c r="AM28" s="45"/>
      <c r="AN28" s="45"/>
      <c r="AO28" s="45"/>
      <c r="AP28" s="45"/>
      <c r="AQ28" s="49"/>
      <c r="AR28" s="49"/>
      <c r="AS28" s="49"/>
      <c r="AT28" s="49"/>
      <c r="AU28" s="49"/>
      <c r="AV28" s="90"/>
      <c r="AW28" s="88"/>
      <c r="AX28" s="88"/>
      <c r="AY28" s="37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55"/>
    </row>
    <row r="29" ht="26" customHeight="1" spans="1:66">
      <c r="A29" s="26"/>
      <c r="B29" s="91" t="s">
        <v>108</v>
      </c>
      <c r="C29" s="91" t="s">
        <v>109</v>
      </c>
      <c r="D29" s="9" t="s">
        <v>85</v>
      </c>
      <c r="E29" s="16">
        <v>46113</v>
      </c>
      <c r="F29" s="16">
        <v>46142</v>
      </c>
      <c r="G29" s="29"/>
      <c r="H29" s="29"/>
      <c r="I29" s="29"/>
      <c r="J29" s="29"/>
      <c r="K29" s="29"/>
      <c r="L29" s="31"/>
      <c r="M29" s="29"/>
      <c r="N29" s="29"/>
      <c r="O29" s="31"/>
      <c r="P29" s="29"/>
      <c r="Q29" s="29"/>
      <c r="R29" s="92"/>
      <c r="S29" s="76"/>
      <c r="T29" s="76"/>
      <c r="U29" s="76"/>
      <c r="V29" s="76"/>
      <c r="W29" s="77"/>
      <c r="X29" s="77"/>
      <c r="Y29" s="50"/>
      <c r="Z29" s="50"/>
      <c r="AA29" s="50"/>
      <c r="AB29" s="20"/>
      <c r="AC29" s="20"/>
      <c r="AD29" s="20"/>
      <c r="AE29" s="20"/>
      <c r="AF29" s="20"/>
      <c r="AG29" s="20"/>
      <c r="AH29" s="93"/>
      <c r="AI29" s="93"/>
      <c r="AJ29" s="93"/>
      <c r="AK29" s="93"/>
      <c r="AL29" s="93"/>
      <c r="AM29" s="93"/>
      <c r="AN29" s="94"/>
      <c r="AO29" s="94"/>
      <c r="AP29" s="94"/>
      <c r="AQ29" s="94"/>
      <c r="AR29" s="94"/>
      <c r="AS29" s="94"/>
      <c r="AT29" s="58" t="s">
        <v>110</v>
      </c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6"/>
      <c r="BK29" s="24"/>
      <c r="BL29" s="24"/>
      <c r="BM29" s="24"/>
      <c r="BN29" s="25"/>
    </row>
    <row r="30" ht="28" customHeight="1" spans="1:66">
      <c r="A30" s="26"/>
      <c r="B30" s="97"/>
      <c r="C30" s="98"/>
      <c r="D30" s="9" t="s">
        <v>87</v>
      </c>
      <c r="E30" s="16">
        <v>46138</v>
      </c>
      <c r="F30" s="16">
        <v>46249</v>
      </c>
      <c r="G30" s="29"/>
      <c r="H30" s="29"/>
      <c r="I30" s="29"/>
      <c r="J30" s="29"/>
      <c r="K30" s="29"/>
      <c r="L30" s="31"/>
      <c r="M30" s="29"/>
      <c r="N30" s="29"/>
      <c r="O30" s="31"/>
      <c r="P30" s="29"/>
      <c r="Q30" s="29"/>
      <c r="R30" s="29"/>
      <c r="S30" s="50"/>
      <c r="T30" s="50"/>
      <c r="U30" s="50"/>
      <c r="V30" s="50"/>
      <c r="W30" s="9"/>
      <c r="X30" s="89"/>
      <c r="Y30" s="86"/>
      <c r="Z30" s="86"/>
      <c r="AA30" s="86"/>
      <c r="AB30" s="52"/>
      <c r="AC30" s="52"/>
      <c r="AD30" s="52"/>
      <c r="AE30" s="52"/>
      <c r="AF30" s="52"/>
      <c r="AG30" s="52"/>
      <c r="AH30" s="99"/>
      <c r="AI30" s="99"/>
      <c r="AJ30" s="99"/>
      <c r="AK30" s="99"/>
      <c r="AL30" s="99"/>
      <c r="AM30" s="99"/>
      <c r="AN30" s="53"/>
      <c r="AO30" s="53"/>
      <c r="AP30" s="53"/>
      <c r="AQ30" s="100"/>
      <c r="AR30" s="100"/>
      <c r="AS30" s="100"/>
      <c r="AT30" s="101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3"/>
      <c r="BK30" s="24"/>
      <c r="BL30" s="24"/>
      <c r="BM30" s="24"/>
      <c r="BN30" s="25"/>
    </row>
    <row r="31" ht="27" customHeight="1" spans="1:66">
      <c r="A31" s="26"/>
      <c r="B31" s="97"/>
      <c r="C31" s="91" t="s">
        <v>111</v>
      </c>
      <c r="D31" s="9" t="s">
        <v>85</v>
      </c>
      <c r="E31" s="16">
        <v>46143</v>
      </c>
      <c r="F31" s="16">
        <v>46173</v>
      </c>
      <c r="G31" s="29"/>
      <c r="H31" s="29"/>
      <c r="I31" s="29"/>
      <c r="J31" s="29"/>
      <c r="K31" s="29"/>
      <c r="L31" s="31"/>
      <c r="M31" s="29"/>
      <c r="N31" s="29"/>
      <c r="O31" s="31"/>
      <c r="P31" s="29"/>
      <c r="Q31" s="29"/>
      <c r="R31" s="29"/>
      <c r="S31" s="50"/>
      <c r="T31" s="50"/>
      <c r="U31" s="50"/>
      <c r="V31" s="50"/>
      <c r="W31" s="9"/>
      <c r="X31" s="9"/>
      <c r="Y31" s="76"/>
      <c r="Z31" s="76"/>
      <c r="AA31" s="76"/>
      <c r="AB31" s="17"/>
      <c r="AC31" s="17"/>
      <c r="AD31" s="17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50"/>
      <c r="AU31" s="50"/>
      <c r="AV31" s="50"/>
      <c r="AW31" s="58" t="s">
        <v>112</v>
      </c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5"/>
      <c r="BK31" s="24"/>
      <c r="BL31" s="24"/>
      <c r="BM31" s="24"/>
      <c r="BN31" s="25"/>
    </row>
    <row r="32" ht="20" customHeight="1" spans="1:66">
      <c r="A32" s="26"/>
      <c r="B32" s="97"/>
      <c r="C32" s="98"/>
      <c r="D32" s="9" t="s">
        <v>87</v>
      </c>
      <c r="E32" s="16"/>
      <c r="F32" s="16"/>
      <c r="G32" s="29"/>
      <c r="H32" s="29"/>
      <c r="I32" s="29"/>
      <c r="J32" s="29"/>
      <c r="K32" s="29"/>
      <c r="L32" s="31"/>
      <c r="M32" s="29"/>
      <c r="N32" s="29"/>
      <c r="O32" s="31"/>
      <c r="P32" s="29"/>
      <c r="Q32" s="29"/>
      <c r="R32" s="29"/>
      <c r="S32" s="50"/>
      <c r="T32" s="50"/>
      <c r="U32" s="50"/>
      <c r="V32" s="50"/>
      <c r="W32" s="9"/>
      <c r="X32" s="9"/>
      <c r="Y32" s="50"/>
      <c r="Z32" s="50"/>
      <c r="AA32" s="5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54"/>
      <c r="AT32" s="106"/>
      <c r="AU32" s="106"/>
      <c r="AV32" s="106"/>
      <c r="AW32" s="107"/>
      <c r="AX32" s="108"/>
      <c r="AY32" s="108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9"/>
      <c r="BK32" s="24"/>
      <c r="BL32" s="24"/>
      <c r="BM32" s="24"/>
      <c r="BN32" s="25"/>
    </row>
    <row r="33" ht="20" customHeight="1" spans="1:66">
      <c r="A33" s="26"/>
      <c r="B33" s="97"/>
      <c r="C33" s="56" t="s">
        <v>113</v>
      </c>
      <c r="D33" s="9" t="s">
        <v>85</v>
      </c>
      <c r="E33" s="16">
        <v>46174</v>
      </c>
      <c r="F33" s="16">
        <v>46188</v>
      </c>
      <c r="G33" s="29"/>
      <c r="H33" s="29"/>
      <c r="I33" s="29"/>
      <c r="J33" s="29"/>
      <c r="K33" s="29"/>
      <c r="L33" s="31"/>
      <c r="M33" s="29"/>
      <c r="N33" s="29"/>
      <c r="O33" s="31"/>
      <c r="P33" s="29"/>
      <c r="Q33" s="29"/>
      <c r="R33" s="29"/>
      <c r="S33" s="50"/>
      <c r="T33" s="50"/>
      <c r="U33" s="50"/>
      <c r="V33" s="50"/>
      <c r="W33" s="9"/>
      <c r="X33" s="9"/>
      <c r="Y33" s="50"/>
      <c r="Z33" s="50"/>
      <c r="AA33" s="50"/>
      <c r="AB33" s="20"/>
      <c r="AC33" s="20"/>
      <c r="AD33" s="20"/>
      <c r="AE33" s="17"/>
      <c r="AF33" s="17"/>
      <c r="AG33" s="17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50"/>
      <c r="AU33" s="50"/>
      <c r="AV33" s="50"/>
      <c r="AW33" s="93"/>
      <c r="AX33" s="93"/>
      <c r="AY33" s="93"/>
      <c r="AZ33" s="93"/>
      <c r="BA33" s="93"/>
      <c r="BB33" s="93"/>
      <c r="BC33" s="58" t="s">
        <v>114</v>
      </c>
      <c r="BD33" s="95"/>
      <c r="BE33" s="95"/>
      <c r="BF33" s="95"/>
      <c r="BG33" s="95"/>
      <c r="BH33" s="95"/>
      <c r="BI33" s="95"/>
      <c r="BJ33" s="95"/>
      <c r="BK33" s="95"/>
      <c r="BL33" s="95"/>
      <c r="BM33" s="96"/>
      <c r="BN33" s="25"/>
    </row>
    <row r="34" ht="20" customHeight="1" spans="1:66">
      <c r="A34" s="26"/>
      <c r="B34" s="98"/>
      <c r="C34" s="61"/>
      <c r="D34" s="9" t="s">
        <v>87</v>
      </c>
      <c r="E34" s="16"/>
      <c r="F34" s="16"/>
      <c r="G34" s="29"/>
      <c r="H34" s="29"/>
      <c r="I34" s="29"/>
      <c r="J34" s="29"/>
      <c r="K34" s="29"/>
      <c r="L34" s="31"/>
      <c r="M34" s="29"/>
      <c r="N34" s="29"/>
      <c r="O34" s="31"/>
      <c r="P34" s="29"/>
      <c r="Q34" s="29"/>
      <c r="R34" s="29"/>
      <c r="S34" s="50"/>
      <c r="T34" s="50"/>
      <c r="U34" s="50"/>
      <c r="V34" s="50"/>
      <c r="W34" s="9"/>
      <c r="X34" s="9"/>
      <c r="Y34" s="50"/>
      <c r="Z34" s="50"/>
      <c r="AA34" s="5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50"/>
      <c r="AU34" s="50"/>
      <c r="AV34" s="50"/>
      <c r="AW34" s="110"/>
      <c r="AX34" s="110"/>
      <c r="AY34" s="110"/>
      <c r="AZ34" s="110"/>
      <c r="BA34" s="110"/>
      <c r="BB34" s="110"/>
      <c r="BC34" s="101"/>
      <c r="BD34" s="102"/>
      <c r="BE34" s="102"/>
      <c r="BF34" s="102"/>
      <c r="BG34" s="102"/>
      <c r="BH34" s="102"/>
      <c r="BI34" s="102"/>
      <c r="BJ34" s="102"/>
      <c r="BK34" s="102"/>
      <c r="BL34" s="102"/>
      <c r="BM34" s="103"/>
      <c r="BN34" s="25"/>
    </row>
    <row r="35" ht="20" customHeight="1" spans="1:66">
      <c r="A35" s="26"/>
      <c r="B35" s="91" t="s">
        <v>115</v>
      </c>
      <c r="C35" s="56" t="s">
        <v>116</v>
      </c>
      <c r="D35" s="9" t="s">
        <v>85</v>
      </c>
      <c r="E35" s="16">
        <v>46189</v>
      </c>
      <c r="F35" s="16">
        <v>46208</v>
      </c>
      <c r="G35" s="29"/>
      <c r="H35" s="29"/>
      <c r="I35" s="29"/>
      <c r="J35" s="29"/>
      <c r="K35" s="29"/>
      <c r="L35" s="31"/>
      <c r="M35" s="29"/>
      <c r="N35" s="29"/>
      <c r="O35" s="31"/>
      <c r="P35" s="29"/>
      <c r="Q35" s="29"/>
      <c r="R35" s="29"/>
      <c r="S35" s="50"/>
      <c r="T35" s="50"/>
      <c r="U35" s="50"/>
      <c r="V35" s="50"/>
      <c r="W35" s="9"/>
      <c r="X35" s="9"/>
      <c r="Y35" s="50"/>
      <c r="Z35" s="50"/>
      <c r="AA35" s="50"/>
      <c r="AB35" s="20"/>
      <c r="AC35" s="20"/>
      <c r="AD35" s="20"/>
      <c r="AE35" s="20"/>
      <c r="AF35" s="20"/>
      <c r="AG35" s="20"/>
      <c r="AH35" s="17"/>
      <c r="AI35" s="17"/>
      <c r="AJ35" s="17"/>
      <c r="AK35" s="17"/>
      <c r="AL35" s="20"/>
      <c r="AM35" s="20"/>
      <c r="AN35" s="20"/>
      <c r="AO35" s="20"/>
      <c r="AP35" s="20"/>
      <c r="AQ35" s="20"/>
      <c r="AR35" s="20"/>
      <c r="AS35" s="2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24"/>
      <c r="BJ35" s="24"/>
      <c r="BK35" s="24"/>
      <c r="BL35" s="24"/>
      <c r="BM35" s="24"/>
      <c r="BN35" s="25"/>
    </row>
    <row r="36" ht="20" customHeight="1" spans="1:66">
      <c r="A36" s="26"/>
      <c r="B36" s="98"/>
      <c r="C36" s="61"/>
      <c r="D36" s="9" t="s">
        <v>87</v>
      </c>
      <c r="E36" s="16"/>
      <c r="F36" s="16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24"/>
      <c r="BJ36" s="24"/>
      <c r="BK36" s="24"/>
      <c r="BL36" s="24"/>
      <c r="BM36" s="24"/>
      <c r="BN36" s="25"/>
    </row>
    <row r="37" ht="20" customHeight="1" spans="1:66">
      <c r="A37" s="26"/>
      <c r="B37" s="91" t="s">
        <v>117</v>
      </c>
      <c r="C37" s="91" t="s">
        <v>118</v>
      </c>
      <c r="D37" s="9" t="s">
        <v>85</v>
      </c>
      <c r="E37" s="16">
        <v>46266</v>
      </c>
      <c r="F37" s="16">
        <v>46285</v>
      </c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50"/>
      <c r="AU37" s="50"/>
      <c r="AV37" s="50"/>
      <c r="AW37" s="76"/>
      <c r="AX37" s="76"/>
      <c r="AY37" s="76"/>
      <c r="AZ37" s="76"/>
      <c r="BA37" s="50"/>
      <c r="BB37" s="50"/>
      <c r="BC37" s="50"/>
      <c r="BD37" s="50"/>
      <c r="BE37" s="50"/>
      <c r="BF37" s="50"/>
      <c r="BG37" s="50"/>
      <c r="BH37" s="50"/>
      <c r="BI37" s="24"/>
      <c r="BJ37" s="24"/>
      <c r="BK37" s="24"/>
      <c r="BL37" s="24"/>
      <c r="BM37" s="24"/>
      <c r="BN37" s="25"/>
    </row>
    <row r="38" ht="20" customHeight="1" spans="1:66">
      <c r="A38" s="26"/>
      <c r="B38" s="98"/>
      <c r="C38" s="98"/>
      <c r="D38" s="9" t="s">
        <v>87</v>
      </c>
      <c r="E38" s="16"/>
      <c r="F38" s="16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24"/>
      <c r="BJ38" s="24"/>
      <c r="BK38" s="24"/>
      <c r="BL38" s="24"/>
      <c r="BM38" s="24"/>
      <c r="BN38" s="25"/>
    </row>
    <row r="39" ht="20" customHeight="1" spans="1:66">
      <c r="A39" s="26"/>
      <c r="B39" s="91" t="s">
        <v>119</v>
      </c>
      <c r="C39" s="56" t="s">
        <v>119</v>
      </c>
      <c r="D39" s="9" t="s">
        <v>85</v>
      </c>
      <c r="E39" s="16">
        <v>46286</v>
      </c>
      <c r="F39" s="16">
        <v>46295</v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50"/>
      <c r="AU39" s="50"/>
      <c r="AV39" s="50"/>
      <c r="AW39" s="50"/>
      <c r="AX39" s="50"/>
      <c r="AY39" s="50"/>
      <c r="AZ39" s="50"/>
      <c r="BA39" s="76"/>
      <c r="BB39" s="76"/>
      <c r="BC39" s="111"/>
      <c r="BD39" s="50"/>
      <c r="BE39" s="50"/>
      <c r="BF39" s="50"/>
      <c r="BG39" s="50"/>
      <c r="BH39" s="50"/>
      <c r="BI39" s="24"/>
      <c r="BJ39" s="24"/>
      <c r="BK39" s="24"/>
      <c r="BL39" s="24"/>
      <c r="BM39" s="24"/>
      <c r="BN39" s="25"/>
    </row>
    <row r="40" ht="20" customHeight="1" spans="1:66">
      <c r="A40" s="112"/>
      <c r="B40" s="98"/>
      <c r="C40" s="61"/>
      <c r="D40" s="9" t="s">
        <v>87</v>
      </c>
      <c r="E40" s="16"/>
      <c r="F40" s="16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24"/>
      <c r="BJ40" s="24"/>
      <c r="BK40" s="24"/>
      <c r="BL40" s="24"/>
      <c r="BM40" s="24"/>
      <c r="BN40" s="25"/>
    </row>
    <row r="41" ht="20" customHeight="1" spans="1:66">
      <c r="A41" s="113" t="s">
        <v>120</v>
      </c>
      <c r="B41" s="91" t="s">
        <v>121</v>
      </c>
      <c r="C41" s="91" t="s">
        <v>122</v>
      </c>
      <c r="D41" s="9" t="s">
        <v>85</v>
      </c>
      <c r="E41" s="16">
        <v>46188</v>
      </c>
      <c r="F41" s="16">
        <v>46239</v>
      </c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20"/>
      <c r="AC41" s="20"/>
      <c r="AD41" s="20"/>
      <c r="AE41" s="20"/>
      <c r="AF41" s="20"/>
      <c r="AG41" s="20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5" t="s">
        <v>123</v>
      </c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7"/>
      <c r="BG41" s="50"/>
      <c r="BH41" s="50"/>
      <c r="BI41" s="24"/>
      <c r="BJ41" s="24"/>
      <c r="BK41" s="24"/>
      <c r="BL41" s="24"/>
      <c r="BM41" s="24"/>
      <c r="BN41" s="25"/>
    </row>
    <row r="42" ht="20" customHeight="1" spans="1:66">
      <c r="A42" s="118"/>
      <c r="B42" s="97"/>
      <c r="C42" s="98"/>
      <c r="D42" s="9" t="s">
        <v>87</v>
      </c>
      <c r="E42" s="16"/>
      <c r="F42" s="16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119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121"/>
      <c r="BG42" s="50"/>
      <c r="BH42" s="50"/>
      <c r="BI42" s="24"/>
      <c r="BJ42" s="24"/>
      <c r="BK42" s="24"/>
      <c r="BL42" s="24"/>
      <c r="BM42" s="24"/>
      <c r="BN42" s="25"/>
    </row>
    <row r="43" ht="20" customHeight="1" spans="1:66">
      <c r="A43" s="118"/>
      <c r="B43" s="97"/>
      <c r="C43" s="91" t="s">
        <v>124</v>
      </c>
      <c r="D43" s="9" t="s">
        <v>85</v>
      </c>
      <c r="E43" s="16">
        <v>46213</v>
      </c>
      <c r="F43" s="16">
        <v>46265</v>
      </c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17"/>
      <c r="AN43" s="17"/>
      <c r="AO43" s="17"/>
      <c r="AP43" s="17"/>
      <c r="AQ43" s="17"/>
      <c r="AR43" s="17"/>
      <c r="AS43" s="17"/>
      <c r="AT43" s="76"/>
      <c r="AU43" s="76"/>
      <c r="AV43" s="122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24"/>
      <c r="BJ43" s="24"/>
      <c r="BK43" s="24"/>
      <c r="BL43" s="24"/>
      <c r="BM43" s="24"/>
      <c r="BN43" s="25"/>
    </row>
    <row r="44" ht="20" customHeight="1" spans="1:66">
      <c r="A44" s="118"/>
      <c r="B44" s="97"/>
      <c r="C44" s="98"/>
      <c r="D44" s="9" t="s">
        <v>87</v>
      </c>
      <c r="E44" s="16"/>
      <c r="F44" s="16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24"/>
      <c r="BJ44" s="24"/>
      <c r="BK44" s="24"/>
      <c r="BL44" s="24"/>
      <c r="BM44" s="24"/>
      <c r="BN44" s="25"/>
    </row>
    <row r="45" ht="20" customHeight="1" spans="1:66">
      <c r="A45" s="118"/>
      <c r="B45" s="97"/>
      <c r="C45" s="56" t="s">
        <v>125</v>
      </c>
      <c r="D45" s="9" t="s">
        <v>85</v>
      </c>
      <c r="E45" s="16">
        <v>46240</v>
      </c>
      <c r="F45" s="16">
        <v>46305</v>
      </c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17"/>
      <c r="AS45" s="17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50"/>
      <c r="BF45" s="50"/>
      <c r="BG45" s="50"/>
      <c r="BH45" s="50"/>
      <c r="BI45" s="24"/>
      <c r="BJ45" s="24"/>
      <c r="BK45" s="24"/>
      <c r="BL45" s="24"/>
      <c r="BM45" s="24"/>
      <c r="BN45" s="25"/>
    </row>
    <row r="46" ht="20" customHeight="1" spans="1:66">
      <c r="A46" s="118"/>
      <c r="B46" s="97"/>
      <c r="C46" s="61"/>
      <c r="D46" s="9" t="s">
        <v>87</v>
      </c>
      <c r="E46" s="16"/>
      <c r="F46" s="16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24"/>
      <c r="BJ46" s="24"/>
      <c r="BK46" s="24"/>
      <c r="BL46" s="24"/>
      <c r="BM46" s="24"/>
      <c r="BN46" s="25"/>
    </row>
    <row r="47" ht="20" customHeight="1" spans="1:66">
      <c r="A47" s="118"/>
      <c r="B47" s="97"/>
      <c r="C47" s="56" t="s">
        <v>126</v>
      </c>
      <c r="D47" s="9" t="s">
        <v>85</v>
      </c>
      <c r="E47" s="16">
        <v>46266</v>
      </c>
      <c r="F47" s="16">
        <v>46336</v>
      </c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50"/>
      <c r="AU47" s="50"/>
      <c r="AV47" s="50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19"/>
      <c r="BJ47" s="19"/>
      <c r="BK47" s="24"/>
      <c r="BL47" s="24"/>
      <c r="BM47" s="24"/>
      <c r="BN47" s="25"/>
    </row>
    <row r="48" ht="20" customHeight="1" spans="1:66">
      <c r="A48" s="118"/>
      <c r="B48" s="98"/>
      <c r="C48" s="61"/>
      <c r="D48" s="9" t="s">
        <v>87</v>
      </c>
      <c r="E48" s="16"/>
      <c r="F48" s="16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24"/>
      <c r="BJ48" s="24"/>
      <c r="BK48" s="24"/>
      <c r="BL48" s="24"/>
      <c r="BM48" s="24"/>
      <c r="BN48" s="25"/>
    </row>
    <row r="49" ht="20" customHeight="1" spans="1:66">
      <c r="A49" s="118"/>
      <c r="B49" s="91" t="s">
        <v>127</v>
      </c>
      <c r="C49" s="56" t="s">
        <v>128</v>
      </c>
      <c r="D49" s="9" t="s">
        <v>85</v>
      </c>
      <c r="E49" s="16">
        <v>46337</v>
      </c>
      <c r="F49" s="16">
        <v>46346</v>
      </c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24"/>
      <c r="BJ49" s="24"/>
      <c r="BK49" s="40"/>
      <c r="BL49" s="40"/>
      <c r="BM49" s="24"/>
      <c r="BN49" s="25"/>
    </row>
    <row r="50" ht="20" customHeight="1" spans="1:66">
      <c r="A50" s="118"/>
      <c r="B50" s="97"/>
      <c r="C50" s="61"/>
      <c r="D50" s="9" t="s">
        <v>87</v>
      </c>
      <c r="E50" s="16"/>
      <c r="F50" s="16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24"/>
      <c r="BJ50" s="24"/>
      <c r="BK50" s="24"/>
      <c r="BL50" s="24"/>
      <c r="BM50" s="24"/>
      <c r="BN50" s="25"/>
    </row>
    <row r="51" ht="20" customHeight="1" spans="1:66">
      <c r="A51" s="118"/>
      <c r="B51" s="97"/>
      <c r="C51" s="91" t="s">
        <v>129</v>
      </c>
      <c r="D51" s="9" t="s">
        <v>85</v>
      </c>
      <c r="E51" s="16">
        <v>46347</v>
      </c>
      <c r="F51" s="16">
        <v>46353</v>
      </c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24"/>
      <c r="BJ51" s="24"/>
      <c r="BK51" s="24"/>
      <c r="BL51" s="24"/>
      <c r="BM51" s="19"/>
      <c r="BN51" s="123"/>
    </row>
    <row r="52" ht="20" customHeight="1" spans="1:66">
      <c r="A52" s="118"/>
      <c r="B52" s="98"/>
      <c r="C52" s="98"/>
      <c r="D52" s="9" t="s">
        <v>87</v>
      </c>
      <c r="E52" s="16"/>
      <c r="F52" s="16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24"/>
      <c r="BJ52" s="24"/>
      <c r="BK52" s="24"/>
      <c r="BL52" s="24"/>
      <c r="BM52" s="124"/>
      <c r="BN52" s="125"/>
    </row>
    <row r="53" ht="20" customHeight="1" spans="1:66">
      <c r="A53" s="118"/>
      <c r="B53" s="91" t="s">
        <v>130</v>
      </c>
      <c r="C53" s="91" t="s">
        <v>131</v>
      </c>
      <c r="D53" s="9" t="s">
        <v>85</v>
      </c>
      <c r="E53" s="126" t="s">
        <v>132</v>
      </c>
      <c r="F53" s="127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24"/>
      <c r="BJ53" s="24"/>
      <c r="BK53" s="24"/>
      <c r="BL53" s="24"/>
      <c r="BM53" s="24"/>
      <c r="BN53" s="25"/>
    </row>
    <row r="54" ht="20" customHeight="1" spans="1:66">
      <c r="A54" s="118"/>
      <c r="B54" s="98"/>
      <c r="C54" s="98"/>
      <c r="D54" s="128" t="s">
        <v>87</v>
      </c>
      <c r="E54" s="129"/>
      <c r="F54" s="130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1"/>
      <c r="AT54" s="131"/>
      <c r="AU54" s="131"/>
      <c r="AV54" s="131"/>
      <c r="AW54" s="131"/>
      <c r="AX54" s="131"/>
      <c r="AY54" s="131"/>
      <c r="AZ54" s="132"/>
      <c r="BA54" s="132"/>
      <c r="BB54" s="132"/>
      <c r="BC54" s="133"/>
      <c r="BD54" s="133"/>
      <c r="BE54" s="133"/>
      <c r="BF54" s="133"/>
      <c r="BG54" s="133"/>
      <c r="BH54" s="133"/>
      <c r="BI54" s="133"/>
      <c r="BJ54" s="133"/>
      <c r="BK54" s="133"/>
      <c r="BL54" s="133"/>
      <c r="BM54" s="133"/>
      <c r="BN54" s="134"/>
    </row>
    <row r="55" ht="20" customHeight="1" spans="1:66">
      <c r="A55" s="135"/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28" t="s">
        <v>133</v>
      </c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37"/>
    </row>
    <row r="56" ht="20" customHeight="1" spans="1:66">
      <c r="A56" s="138"/>
      <c r="B56" s="139" t="s">
        <v>134</v>
      </c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1">
        <v>46234</v>
      </c>
      <c r="BA56" s="141"/>
      <c r="BB56" s="141"/>
      <c r="BC56" s="141"/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2"/>
    </row>
    <row r="57" ht="20" customHeight="1"/>
  </sheetData>
  <mergeCells count="74">
    <mergeCell ref="A1:BN1"/>
    <mergeCell ref="G2:BN2"/>
    <mergeCell ref="G3:L3"/>
    <mergeCell ref="M3:R3"/>
    <mergeCell ref="S3:X3"/>
    <mergeCell ref="Y3:AD3"/>
    <mergeCell ref="AE3:AJ3"/>
    <mergeCell ref="AK3:AP3"/>
    <mergeCell ref="AQ3:AV3"/>
    <mergeCell ref="AW3:BB3"/>
    <mergeCell ref="BC3:BH3"/>
    <mergeCell ref="BI3:BN3"/>
    <mergeCell ref="AZ55:BN55"/>
    <mergeCell ref="AZ56:BN56"/>
    <mergeCell ref="A5:A40"/>
    <mergeCell ref="A41:A54"/>
    <mergeCell ref="B5:B8"/>
    <mergeCell ref="B9:B16"/>
    <mergeCell ref="B17:B20"/>
    <mergeCell ref="B21:B24"/>
    <mergeCell ref="B25:B28"/>
    <mergeCell ref="B29:B34"/>
    <mergeCell ref="B35:B36"/>
    <mergeCell ref="B37:B38"/>
    <mergeCell ref="B39:B40"/>
    <mergeCell ref="B41:B48"/>
    <mergeCell ref="B49:B52"/>
    <mergeCell ref="B53:B54"/>
    <mergeCell ref="C2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D2:D4"/>
    <mergeCell ref="E2:E4"/>
    <mergeCell ref="F2:F4"/>
    <mergeCell ref="A2:B4"/>
    <mergeCell ref="S5:AK6"/>
    <mergeCell ref="U7:AR8"/>
    <mergeCell ref="E53:F54"/>
    <mergeCell ref="W9:AX10"/>
    <mergeCell ref="AE21:AT22"/>
    <mergeCell ref="AL17:AU20"/>
    <mergeCell ref="AW13:BL14"/>
    <mergeCell ref="AX15:BN16"/>
    <mergeCell ref="AS25:BI26"/>
    <mergeCell ref="BC33:BM34"/>
    <mergeCell ref="AW31:BJ32"/>
    <mergeCell ref="AS11:BI12"/>
    <mergeCell ref="AT29:BJ30"/>
    <mergeCell ref="AR41:BF42"/>
    <mergeCell ref="AT23:BM24"/>
    <mergeCell ref="AY27:BN2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项目施工月度报表</vt:lpstr>
      <vt:lpstr>施工进度计划与实际进度对比表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WPS_1646106785</cp:lastModifiedBy>
  <dcterms:created xsi:type="dcterms:W3CDTF">2025-09-30T02:34:00Z</dcterms:created>
  <dcterms:modified xsi:type="dcterms:W3CDTF">2026-08-03T06:37:37Z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0C12BC7DFA9C48D99E2FF862A4B0797F_13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