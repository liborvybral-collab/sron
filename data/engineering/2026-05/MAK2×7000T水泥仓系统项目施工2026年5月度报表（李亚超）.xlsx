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项目施工月度报表" sheetId="1" r:id="rId1"/>
    <sheet name="施工进度计划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dell</author>
  </authors>
  <commentList>
    <comment ref="H11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<sst xmlns="http://schemas.openxmlformats.org/spreadsheetml/2006/main" count="189" uniqueCount="130">
  <si>
    <r>
      <rPr>
        <b/>
        <sz val="20"/>
        <rFont val="宋体"/>
        <charset val="134"/>
      </rPr>
      <t>项目业财融合施工2026年</t>
    </r>
    <r>
      <rPr>
        <b/>
        <sz val="20"/>
        <color rgb="FFFF0000"/>
        <rFont val="宋体"/>
        <charset val="134"/>
      </rPr>
      <t>（5）</t>
    </r>
    <r>
      <rPr>
        <b/>
        <sz val="20"/>
        <rFont val="宋体"/>
        <charset val="134"/>
      </rPr>
      <t>月度报表</t>
    </r>
  </si>
  <si>
    <t>项目名称：MAK2×7000T水泥仓系统项目</t>
  </si>
  <si>
    <t>项目地址：蒙古国南戈壁省苏格赛斯</t>
  </si>
  <si>
    <t>项目经理：李亚超</t>
  </si>
  <si>
    <t>计划开工日期：2025年9月20日
实际开工日期：2025年10月1日</t>
  </si>
  <si>
    <t>计划完工时间：2026年10月3日</t>
  </si>
  <si>
    <t>报表截止时间: 2026年5月31日</t>
  </si>
  <si>
    <t>一、项目施工目标</t>
  </si>
  <si>
    <t>目标分项名称</t>
  </si>
  <si>
    <t>目标值</t>
  </si>
  <si>
    <t>备注</t>
  </si>
  <si>
    <t>施工总成本目标（万元）</t>
  </si>
  <si>
    <t>606.7万元</t>
  </si>
  <si>
    <t>分项成本目标见附表1安装施工成本预算</t>
  </si>
  <si>
    <t>施工总进度目标</t>
  </si>
  <si>
    <t>土建工程165天、卷边仓100天、总工期225天</t>
  </si>
  <si>
    <t>项目节点进度目标见附表2施工总进度计划</t>
  </si>
  <si>
    <t>施工质量目标</t>
  </si>
  <si>
    <t>竣工验收合格、领取竣工验收报告</t>
  </si>
  <si>
    <t>施工安全目标</t>
  </si>
  <si>
    <t>零死亡、零重伤，轻伤事故频率≤1‰</t>
  </si>
  <si>
    <t>二、施工进度</t>
  </si>
  <si>
    <t>分项名称</t>
  </si>
  <si>
    <t>计划分项完成时
 （天）</t>
  </si>
  <si>
    <t>预算分项综合成本
（万元）</t>
  </si>
  <si>
    <t>当月实际形象进度
(%)</t>
  </si>
  <si>
    <t>当月实际完成产值
（万元）</t>
  </si>
  <si>
    <t>累计实际形象进度
(%)</t>
  </si>
  <si>
    <t>累计实际完成产值
（万元）</t>
  </si>
  <si>
    <t>当月计划完成产值
（万元）</t>
  </si>
  <si>
    <t>当月实际完成率
(%)</t>
  </si>
  <si>
    <t>累计计划完成产值
（万元）</t>
  </si>
  <si>
    <t>累计实际完成率
(%)</t>
  </si>
  <si>
    <t>项目交付剩余时间
（天）</t>
  </si>
  <si>
    <t>土建部分</t>
  </si>
  <si>
    <t>钢板仓、钢结构、设备、电控系统部分</t>
  </si>
  <si>
    <t>其他部分</t>
  </si>
  <si>
    <t>合计</t>
  </si>
  <si>
    <t>三、施工成本</t>
  </si>
  <si>
    <t>预算分项成本
（万元）</t>
  </si>
  <si>
    <t>当月应支出金额
（万元）</t>
  </si>
  <si>
    <t>当月应支出/当月完成产值
(%)</t>
  </si>
  <si>
    <t>累计应支出金额
（万元）</t>
  </si>
  <si>
    <t>累计应支出/累计完成产值
（%）</t>
  </si>
  <si>
    <t>累计应支出/预算分项成本
（%）</t>
  </si>
  <si>
    <t>超出预算成本支出原因</t>
  </si>
  <si>
    <t>土建部分费用合计</t>
  </si>
  <si>
    <t>钢板仓、钢结构、设备、电控系统部分费用合计</t>
  </si>
  <si>
    <t>总施工成本（合计）</t>
  </si>
  <si>
    <t>四、施工质量</t>
  </si>
  <si>
    <t>进场材料抽检覆盖率</t>
  </si>
  <si>
    <t>材料构件设备进场保管</t>
  </si>
  <si>
    <t>检验批质量合格率</t>
  </si>
  <si>
    <t>质量检验批验收资料</t>
  </si>
  <si>
    <t>施工质量问题检查和整改</t>
  </si>
  <si>
    <t>材料现场存放</t>
  </si>
  <si>
    <t>与施工同步</t>
  </si>
  <si>
    <t>1#仓减压锥钢筋及2#仓二层结构框架柱钢筋及模板验收合格</t>
  </si>
  <si>
    <t>仓顶镀锌平板到场后变形较多，初步统计26张存在变形，总数48张已清点无误</t>
  </si>
  <si>
    <t>设备调试及验收</t>
  </si>
  <si>
    <t>五、施工安全</t>
  </si>
  <si>
    <t>人员进场三级安全教育技术交底</t>
  </si>
  <si>
    <t>每月施工安全早班会次数</t>
  </si>
  <si>
    <t>每月施工施工安全检查次数（书面备案）</t>
  </si>
  <si>
    <t>劳动防护用品正确佩戴率</t>
  </si>
  <si>
    <t>安全隐患排查和问题整改</t>
  </si>
  <si>
    <t>已进行安全教育</t>
  </si>
  <si>
    <t>每天一次</t>
  </si>
  <si>
    <t>每周检查一次</t>
  </si>
  <si>
    <t>安全问题已悉数整改</t>
  </si>
  <si>
    <r>
      <rPr>
        <sz val="10"/>
        <color theme="1"/>
        <rFont val="微软雅黑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rgb="FFFF0000"/>
        <rFont val="微软雅黑"/>
        <charset val="134"/>
      </rPr>
      <t xml:space="preserve"> 河南实荣筒仓工程有限公司工程部 
                                                                                                                                                                                                                                                                                                                           项目经理：李亚超                                                                                                                                                                                                                                                                      
                                                                                                                                                                                                                                                                                                                                2026/5/31</t>
    </r>
  </si>
  <si>
    <t>2025蒙古2×7000吨水泥仓系统项目施工进度计划</t>
  </si>
  <si>
    <t>Phase
工程阶段</t>
  </si>
  <si>
    <t xml:space="preserve">                    时间     Time
Item name 分项名称</t>
  </si>
  <si>
    <t>Start time
开始时间</t>
  </si>
  <si>
    <t>Finished time
完成时间</t>
  </si>
  <si>
    <t>2025年</t>
  </si>
  <si>
    <t>冬歇期</t>
  </si>
  <si>
    <t>2026年</t>
  </si>
  <si>
    <t>9月份</t>
  </si>
  <si>
    <t>10月份</t>
  </si>
  <si>
    <t>11月份</t>
  </si>
  <si>
    <t>2025年12月份-2026年4月20日</t>
  </si>
  <si>
    <t>4月份</t>
  </si>
  <si>
    <t>5月份</t>
  </si>
  <si>
    <t>6月份</t>
  </si>
  <si>
    <t>7月份</t>
  </si>
  <si>
    <t>8月份</t>
  </si>
  <si>
    <t>筒仓部分</t>
  </si>
  <si>
    <t>土方开挖</t>
  </si>
  <si>
    <t>计划</t>
  </si>
  <si>
    <t>备注：按计划完成。</t>
  </si>
  <si>
    <t>冬天休息4个月20天，冬歇后进度与计划进度相比整体推迟35天；计划2026年3月16日日复工，因签证办理原因，实际复工日期为2026年4月21日，后续进度计划按照实际开工日期安排.
，</t>
  </si>
  <si>
    <t>实际</t>
  </si>
  <si>
    <t>筏板基础施工（含垫层）</t>
  </si>
  <si>
    <t>1#2#筒仓一层结构施工</t>
  </si>
  <si>
    <t>备注：因业主混凝土供应延误，本项
工作完成时间延误5天。</t>
  </si>
  <si>
    <t>1#筒仓二层结构施工</t>
  </si>
  <si>
    <t>备注：4月26日下午因8-10级大风沙尘暴天气影响停工0.5天，体检停工0.5天，业主混凝土供应及时预计5月15日完成本项目，工作实际完成日期5月11日</t>
  </si>
  <si>
    <t>1#筒仓减压锥施工</t>
  </si>
  <si>
    <t>备注：5月14日降雨停止施工1天，5月21日因强风（8级）停止施工1天，5月26日强风降雨停工0.5天，5月27日强风停工0.5天，本工作已于5月28日完成</t>
  </si>
  <si>
    <t>2#筒仓二层结构施工</t>
  </si>
  <si>
    <t>备注：5月14日降雨停止施工1天，5月21日因强风（8级）停止施工1天，5月26日强风降雨停工0.5天，5月27日强风停工0.5天，本工作预计6月8日完成</t>
  </si>
  <si>
    <t>2#筒仓减压锥施工</t>
  </si>
  <si>
    <t>汽车衡基础施工</t>
  </si>
  <si>
    <t>塔架+火车坑
部分</t>
  </si>
  <si>
    <t>塔架+火车坑地下室土方挖土</t>
  </si>
  <si>
    <t>塔架+火车坑地下室筏板基础
（含垫层）</t>
  </si>
  <si>
    <t>2025/11/31</t>
  </si>
  <si>
    <t>备注：业主混凝土时间5月20日，20日完成浇筑</t>
  </si>
  <si>
    <t>塔架+火车坑地下室结构</t>
  </si>
  <si>
    <t>备注：因业主钢筋、止水螺栓、火车道轨预埋件未到场，本项目工作尚未开始，预计6月10日开始</t>
  </si>
  <si>
    <t>塔架+火车坑地下室外墙防水</t>
  </si>
  <si>
    <t>塔架+火车坑地下室外墙回填土</t>
  </si>
  <si>
    <t>筒仓工程</t>
  </si>
  <si>
    <t>1#筒仓结构施工</t>
  </si>
  <si>
    <t>备注：因业主混凝土供应不能保证，有计划推迟至6月3日左右开工。</t>
  </si>
  <si>
    <t>2#筒仓结构施工</t>
  </si>
  <si>
    <t>1#仓内填坡</t>
  </si>
  <si>
    <t>2#仓内填坡</t>
  </si>
  <si>
    <t>钢结构机电安装工程</t>
  </si>
  <si>
    <t>钢结构安装工程</t>
  </si>
  <si>
    <t>工艺管道设备安装工程</t>
  </si>
  <si>
    <t>电气安装工程</t>
  </si>
  <si>
    <t>设备调试</t>
  </si>
  <si>
    <t>设备单机调试</t>
  </si>
  <si>
    <t>设备联动调试、负荷试运行</t>
  </si>
  <si>
    <t>竣工移交</t>
  </si>
  <si>
    <t>竣工验收移交</t>
  </si>
  <si>
    <t>河南实荣筒仓工程有限公司工程部：李亚超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</si>
</sst>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44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0"/>
      <color theme="1"/>
      <name val="等线"/>
      <charset val="134"/>
    </font>
    <font>
      <sz val="9"/>
      <color theme="1"/>
      <name val="等线"/>
      <charset val="134"/>
    </font>
    <font>
      <sz val="9"/>
      <name val="等线"/>
      <charset val="134"/>
    </font>
    <font>
      <sz val="10"/>
      <name val="等线"/>
      <charset val="134"/>
    </font>
    <font>
      <sz val="10"/>
      <color rgb="FFFF0000"/>
      <name val="等线"/>
      <charset val="134"/>
    </font>
    <font>
      <sz val="14"/>
      <name val="等线"/>
      <charset val="134"/>
    </font>
    <font>
      <sz val="11"/>
      <color rgb="FFFF0000"/>
      <name val="宋体"/>
      <charset val="134"/>
      <scheme val="minor"/>
    </font>
    <font>
      <sz val="10"/>
      <color theme="0"/>
      <name val="等线"/>
      <charset val="134"/>
    </font>
    <font>
      <b/>
      <sz val="20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4"/>
      <name val="微软雅黑"/>
      <charset val="134"/>
    </font>
    <font>
      <sz val="10"/>
      <name val="宋体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微软雅黑"/>
      <charset val="134"/>
    </font>
    <font>
      <b/>
      <sz val="20"/>
      <color rgb="FFFF000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2" borderId="33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34" applyNumberFormat="0" applyFill="0" applyAlignment="0" applyProtection="0">
      <alignment vertical="center"/>
    </xf>
    <xf numFmtId="0" fontId="27" fillId="0" borderId="34" applyNumberFormat="0" applyFill="0" applyAlignment="0" applyProtection="0">
      <alignment vertical="center"/>
    </xf>
    <xf numFmtId="0" fontId="28" fillId="0" borderId="3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3" borderId="36" applyNumberFormat="0" applyAlignment="0" applyProtection="0">
      <alignment vertical="center"/>
    </xf>
    <xf numFmtId="0" fontId="30" fillId="14" borderId="37" applyNumberFormat="0" applyAlignment="0" applyProtection="0">
      <alignment vertical="center"/>
    </xf>
    <xf numFmtId="0" fontId="31" fillId="14" borderId="36" applyNumberFormat="0" applyAlignment="0" applyProtection="0">
      <alignment vertical="center"/>
    </xf>
    <xf numFmtId="0" fontId="32" fillId="15" borderId="38" applyNumberFormat="0" applyAlignment="0" applyProtection="0">
      <alignment vertical="center"/>
    </xf>
    <xf numFmtId="0" fontId="33" fillId="0" borderId="39" applyNumberFormat="0" applyFill="0" applyAlignment="0" applyProtection="0">
      <alignment vertical="center"/>
    </xf>
    <xf numFmtId="0" fontId="34" fillId="0" borderId="40" applyNumberFormat="0" applyFill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</cellStyleXfs>
  <cellXfs count="196">
    <xf numFmtId="0" fontId="0" fillId="0" borderId="0" xfId="0"/>
    <xf numFmtId="0" fontId="0" fillId="0" borderId="0" xfId="0" applyFill="1"/>
    <xf numFmtId="0" fontId="0" fillId="0" borderId="0" xfId="0" applyFill="1" applyProtection="1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 wrapText="1"/>
    </xf>
    <xf numFmtId="57" fontId="2" fillId="0" borderId="6" xfId="0" applyNumberFormat="1" applyFont="1" applyFill="1" applyBorder="1" applyAlignment="1">
      <alignment horizontal="center" vertical="center" wrapText="1"/>
    </xf>
    <xf numFmtId="57" fontId="2" fillId="0" borderId="6" xfId="0" applyNumberFormat="1" applyFont="1" applyFill="1" applyBorder="1" applyAlignment="1">
      <alignment horizontal="center" vertical="center"/>
    </xf>
    <xf numFmtId="57" fontId="2" fillId="0" borderId="7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 applyProtection="1">
      <alignment horizontal="center" vertical="center"/>
    </xf>
    <xf numFmtId="0" fontId="2" fillId="0" borderId="5" xfId="0" applyFont="1" applyFill="1" applyBorder="1" applyAlignment="1" applyProtection="1">
      <alignment horizontal="left" vertical="center" wrapText="1"/>
    </xf>
    <xf numFmtId="0" fontId="2" fillId="0" borderId="6" xfId="0" applyFont="1" applyFill="1" applyBorder="1" applyAlignment="1" applyProtection="1">
      <alignment horizontal="center" vertical="center" wrapText="1"/>
    </xf>
    <xf numFmtId="0" fontId="2" fillId="0" borderId="6" xfId="0" applyFont="1" applyFill="1" applyBorder="1" applyAlignment="1" applyProtection="1">
      <alignment horizontal="center" vertical="center"/>
    </xf>
    <xf numFmtId="0" fontId="2" fillId="0" borderId="6" xfId="0" applyFont="1" applyFill="1" applyBorder="1" applyAlignment="1" applyProtection="1">
      <alignment vertical="center"/>
    </xf>
    <xf numFmtId="0" fontId="3" fillId="0" borderId="6" xfId="0" applyFont="1" applyFill="1" applyBorder="1" applyAlignment="1" applyProtection="1">
      <alignment horizontal="center" vertical="center"/>
    </xf>
    <xf numFmtId="0" fontId="3" fillId="0" borderId="7" xfId="0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 applyProtection="1">
      <alignment horizontal="center" vertical="center"/>
    </xf>
    <xf numFmtId="0" fontId="3" fillId="0" borderId="6" xfId="0" applyFont="1" applyFill="1" applyBorder="1" applyAlignment="1" applyProtection="1">
      <alignment vertical="center" wrapText="1"/>
    </xf>
    <xf numFmtId="0" fontId="3" fillId="0" borderId="6" xfId="0" applyFont="1" applyFill="1" applyBorder="1" applyAlignment="1" applyProtection="1">
      <alignment vertical="center"/>
    </xf>
    <xf numFmtId="0" fontId="5" fillId="0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14" fontId="5" fillId="0" borderId="6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vertical="center"/>
    </xf>
    <xf numFmtId="0" fontId="6" fillId="4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vertical="center"/>
    </xf>
    <xf numFmtId="0" fontId="0" fillId="0" borderId="6" xfId="0" applyFill="1" applyBorder="1"/>
    <xf numFmtId="0" fontId="0" fillId="0" borderId="7" xfId="0" applyFill="1" applyBorder="1"/>
    <xf numFmtId="0" fontId="5" fillId="2" borderId="6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vertical="center"/>
    </xf>
    <xf numFmtId="0" fontId="6" fillId="0" borderId="6" xfId="0" applyFont="1" applyFill="1" applyBorder="1" applyAlignment="1">
      <alignment vertical="center"/>
    </xf>
    <xf numFmtId="0" fontId="6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8" fillId="3" borderId="0" xfId="0" applyFont="1" applyFill="1"/>
    <xf numFmtId="0" fontId="6" fillId="3" borderId="6" xfId="0" applyFont="1" applyFill="1" applyBorder="1" applyAlignment="1">
      <alignment vertical="center"/>
    </xf>
    <xf numFmtId="0" fontId="5" fillId="5" borderId="6" xfId="0" applyFont="1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0" fontId="5" fillId="0" borderId="6" xfId="0" applyFont="1" applyFill="1" applyBorder="1" applyAlignment="1">
      <alignment vertical="center" wrapText="1"/>
    </xf>
    <xf numFmtId="0" fontId="9" fillId="5" borderId="6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left" vertical="center" wrapText="1"/>
    </xf>
    <xf numFmtId="0" fontId="6" fillId="4" borderId="9" xfId="0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13" xfId="0" applyFont="1" applyFill="1" applyBorder="1" applyAlignment="1">
      <alignment horizontal="left" vertical="center"/>
    </xf>
    <xf numFmtId="0" fontId="0" fillId="3" borderId="6" xfId="0" applyFill="1" applyBorder="1"/>
    <xf numFmtId="0" fontId="0" fillId="5" borderId="6" xfId="0" applyFill="1" applyBorder="1"/>
    <xf numFmtId="0" fontId="0" fillId="0" borderId="16" xfId="0" applyFill="1" applyBorder="1" applyAlignment="1">
      <alignment horizontal="center" wrapText="1"/>
    </xf>
    <xf numFmtId="0" fontId="0" fillId="0" borderId="9" xfId="0" applyFill="1" applyBorder="1" applyAlignment="1">
      <alignment horizontal="center" wrapText="1"/>
    </xf>
    <xf numFmtId="0" fontId="0" fillId="0" borderId="10" xfId="0" applyFill="1" applyBorder="1" applyAlignment="1">
      <alignment horizontal="center" wrapText="1"/>
    </xf>
    <xf numFmtId="0" fontId="0" fillId="0" borderId="6" xfId="0" applyFill="1" applyBorder="1" applyAlignment="1">
      <alignment horizontal="center" wrapText="1"/>
    </xf>
    <xf numFmtId="0" fontId="0" fillId="0" borderId="7" xfId="0" applyFill="1" applyBorder="1" applyAlignment="1">
      <alignment horizontal="center" wrapText="1"/>
    </xf>
    <xf numFmtId="0" fontId="0" fillId="0" borderId="17" xfId="0" applyFill="1" applyBorder="1" applyAlignment="1">
      <alignment horizontal="center" wrapText="1"/>
    </xf>
    <xf numFmtId="0" fontId="0" fillId="0" borderId="18" xfId="0" applyFill="1" applyBorder="1" applyAlignment="1">
      <alignment horizontal="center" wrapText="1"/>
    </xf>
    <xf numFmtId="0" fontId="0" fillId="0" borderId="19" xfId="0" applyFill="1" applyBorder="1" applyAlignment="1">
      <alignment horizontal="center" wrapText="1"/>
    </xf>
    <xf numFmtId="31" fontId="0" fillId="0" borderId="20" xfId="0" applyNumberFormat="1" applyFill="1" applyBorder="1" applyAlignment="1">
      <alignment horizontal="center" wrapText="1"/>
    </xf>
    <xf numFmtId="31" fontId="0" fillId="0" borderId="21" xfId="0" applyNumberFormat="1" applyFill="1" applyBorder="1" applyAlignment="1">
      <alignment horizontal="center" wrapText="1"/>
    </xf>
    <xf numFmtId="0" fontId="10" fillId="5" borderId="1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2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11" fillId="5" borderId="23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24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 vertical="center"/>
    </xf>
    <xf numFmtId="0" fontId="13" fillId="7" borderId="23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center"/>
    </xf>
    <xf numFmtId="0" fontId="15" fillId="7" borderId="23" xfId="0" applyFont="1" applyFill="1" applyBorder="1" applyAlignment="1">
      <alignment horizontal="center"/>
    </xf>
    <xf numFmtId="0" fontId="15" fillId="7" borderId="7" xfId="0" applyFont="1" applyFill="1" applyBorder="1" applyAlignment="1">
      <alignment horizontal="center"/>
    </xf>
    <xf numFmtId="0" fontId="16" fillId="7" borderId="4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horizontal="center" vertical="center"/>
    </xf>
    <xf numFmtId="0" fontId="13" fillId="6" borderId="23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6" borderId="23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center" vertical="center" wrapText="1"/>
    </xf>
    <xf numFmtId="0" fontId="16" fillId="6" borderId="4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 wrapText="1"/>
    </xf>
    <xf numFmtId="176" fontId="16" fillId="6" borderId="6" xfId="0" applyNumberFormat="1" applyFont="1" applyFill="1" applyBorder="1" applyAlignment="1">
      <alignment horizontal="center" vertical="center" wrapText="1"/>
    </xf>
    <xf numFmtId="10" fontId="17" fillId="6" borderId="6" xfId="0" applyNumberFormat="1" applyFont="1" applyFill="1" applyBorder="1" applyAlignment="1">
      <alignment horizontal="center" vertical="center"/>
    </xf>
    <xf numFmtId="4" fontId="16" fillId="6" borderId="6" xfId="0" applyNumberFormat="1" applyFont="1" applyFill="1" applyBorder="1" applyAlignment="1">
      <alignment horizontal="center" vertical="center"/>
    </xf>
    <xf numFmtId="4" fontId="17" fillId="6" borderId="6" xfId="0" applyNumberFormat="1" applyFont="1" applyFill="1" applyBorder="1" applyAlignment="1">
      <alignment horizontal="center" vertical="center"/>
    </xf>
    <xf numFmtId="10" fontId="16" fillId="2" borderId="6" xfId="0" applyNumberFormat="1" applyFont="1" applyFill="1" applyBorder="1" applyAlignment="1">
      <alignment horizontal="center" vertical="center"/>
    </xf>
    <xf numFmtId="176" fontId="17" fillId="6" borderId="23" xfId="0" applyNumberFormat="1" applyFont="1" applyFill="1" applyBorder="1" applyAlignment="1">
      <alignment horizontal="center"/>
    </xf>
    <xf numFmtId="9" fontId="16" fillId="2" borderId="23" xfId="3" applyFont="1" applyFill="1" applyBorder="1" applyAlignment="1">
      <alignment horizontal="center"/>
    </xf>
    <xf numFmtId="0" fontId="17" fillId="6" borderId="7" xfId="0" applyFont="1" applyFill="1" applyBorder="1" applyAlignment="1">
      <alignment horizontal="center" vertical="center"/>
    </xf>
    <xf numFmtId="10" fontId="17" fillId="6" borderId="6" xfId="3" applyNumberFormat="1" applyFont="1" applyFill="1" applyBorder="1" applyAlignment="1" applyProtection="1">
      <alignment horizontal="center" vertical="center"/>
    </xf>
    <xf numFmtId="10" fontId="17" fillId="6" borderId="6" xfId="0" applyNumberFormat="1" applyFont="1" applyFill="1" applyBorder="1" applyAlignment="1" applyProtection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176" fontId="14" fillId="6" borderId="6" xfId="0" applyNumberFormat="1" applyFont="1" applyFill="1" applyBorder="1" applyAlignment="1">
      <alignment horizontal="center" vertical="center"/>
    </xf>
    <xf numFmtId="10" fontId="14" fillId="6" borderId="6" xfId="3" applyNumberFormat="1" applyFont="1" applyFill="1" applyBorder="1" applyAlignment="1">
      <alignment horizontal="center" vertical="center"/>
    </xf>
    <xf numFmtId="10" fontId="16" fillId="6" borderId="6" xfId="0" applyNumberFormat="1" applyFont="1" applyFill="1" applyBorder="1" applyAlignment="1" applyProtection="1">
      <alignment horizontal="center" vertical="center"/>
    </xf>
    <xf numFmtId="176" fontId="15" fillId="6" borderId="23" xfId="0" applyNumberFormat="1" applyFont="1" applyFill="1" applyBorder="1" applyAlignment="1">
      <alignment horizontal="center"/>
    </xf>
    <xf numFmtId="0" fontId="13" fillId="8" borderId="4" xfId="0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/>
    </xf>
    <xf numFmtId="0" fontId="13" fillId="8" borderId="23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center" vertical="center" wrapText="1"/>
    </xf>
    <xf numFmtId="0" fontId="14" fillId="8" borderId="6" xfId="0" applyFont="1" applyFill="1" applyBorder="1" applyAlignment="1">
      <alignment horizontal="center" vertical="center"/>
    </xf>
    <xf numFmtId="0" fontId="14" fillId="9" borderId="6" xfId="0" applyFont="1" applyFill="1" applyBorder="1" applyAlignment="1">
      <alignment horizontal="center" vertical="center" wrapText="1"/>
    </xf>
    <xf numFmtId="0" fontId="16" fillId="8" borderId="6" xfId="0" applyFont="1" applyFill="1" applyBorder="1" applyAlignment="1">
      <alignment horizontal="center" vertical="center"/>
    </xf>
    <xf numFmtId="0" fontId="16" fillId="8" borderId="23" xfId="0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0" fontId="18" fillId="8" borderId="4" xfId="0" applyFont="1" applyFill="1" applyBorder="1" applyAlignment="1">
      <alignment horizontal="center" vertical="center" wrapText="1"/>
    </xf>
    <xf numFmtId="176" fontId="16" fillId="8" borderId="6" xfId="0" applyNumberFormat="1" applyFont="1" applyFill="1" applyBorder="1" applyAlignment="1">
      <alignment horizontal="center" vertical="center" wrapText="1"/>
    </xf>
    <xf numFmtId="4" fontId="17" fillId="8" borderId="6" xfId="0" applyNumberFormat="1" applyFont="1" applyFill="1" applyBorder="1" applyAlignment="1">
      <alignment horizontal="center" vertical="center"/>
    </xf>
    <xf numFmtId="10" fontId="16" fillId="9" borderId="6" xfId="0" applyNumberFormat="1" applyFont="1" applyFill="1" applyBorder="1" applyAlignment="1">
      <alignment horizontal="center" vertical="center"/>
    </xf>
    <xf numFmtId="0" fontId="16" fillId="8" borderId="8" xfId="0" applyFont="1" applyFill="1" applyBorder="1" applyAlignment="1">
      <alignment horizontal="center" vertical="center"/>
    </xf>
    <xf numFmtId="0" fontId="16" fillId="8" borderId="9" xfId="0" applyFont="1" applyFill="1" applyBorder="1" applyAlignment="1">
      <alignment horizontal="center" vertical="center"/>
    </xf>
    <xf numFmtId="0" fontId="16" fillId="8" borderId="24" xfId="0" applyFont="1" applyFill="1" applyBorder="1" applyAlignment="1">
      <alignment horizontal="center" vertical="center"/>
    </xf>
    <xf numFmtId="0" fontId="19" fillId="8" borderId="4" xfId="0" applyFont="1" applyFill="1" applyBorder="1" applyAlignment="1">
      <alignment horizontal="center" vertical="center"/>
    </xf>
    <xf numFmtId="0" fontId="16" fillId="8" borderId="14" xfId="0" applyFont="1" applyFill="1" applyBorder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0" fontId="16" fillId="8" borderId="25" xfId="0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176" fontId="16" fillId="8" borderId="23" xfId="0" applyNumberFormat="1" applyFont="1" applyFill="1" applyBorder="1" applyAlignment="1">
      <alignment horizontal="center" vertical="center" wrapText="1"/>
    </xf>
    <xf numFmtId="176" fontId="16" fillId="8" borderId="26" xfId="0" applyNumberFormat="1" applyFont="1" applyFill="1" applyBorder="1" applyAlignment="1">
      <alignment horizontal="center" vertical="center" wrapText="1"/>
    </xf>
    <xf numFmtId="4" fontId="16" fillId="8" borderId="6" xfId="0" applyNumberFormat="1" applyFont="1" applyFill="1" applyBorder="1" applyAlignment="1">
      <alignment horizontal="center" vertical="center"/>
    </xf>
    <xf numFmtId="0" fontId="16" fillId="8" borderId="6" xfId="0" applyNumberFormat="1" applyFont="1" applyFill="1" applyBorder="1" applyAlignment="1">
      <alignment horizontal="center" vertical="center"/>
    </xf>
    <xf numFmtId="0" fontId="16" fillId="8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/>
    </xf>
    <xf numFmtId="0" fontId="16" fillId="8" borderId="27" xfId="0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3" fillId="10" borderId="23" xfId="0" applyFont="1" applyFill="1" applyBorder="1" applyAlignment="1">
      <alignment horizontal="center" vertical="center"/>
    </xf>
    <xf numFmtId="0" fontId="13" fillId="10" borderId="7" xfId="0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center" vertical="center"/>
    </xf>
    <xf numFmtId="0" fontId="14" fillId="10" borderId="23" xfId="0" applyFont="1" applyFill="1" applyBorder="1" applyAlignment="1">
      <alignment horizontal="center" vertical="center"/>
    </xf>
    <xf numFmtId="0" fontId="14" fillId="10" borderId="26" xfId="0" applyFont="1" applyFill="1" applyBorder="1" applyAlignment="1">
      <alignment horizontal="center" vertical="center"/>
    </xf>
    <xf numFmtId="0" fontId="16" fillId="10" borderId="23" xfId="0" applyFont="1" applyFill="1" applyBorder="1" applyAlignment="1">
      <alignment horizontal="center" vertical="center"/>
    </xf>
    <xf numFmtId="0" fontId="16" fillId="10" borderId="26" xfId="0" applyFont="1" applyFill="1" applyBorder="1" applyAlignment="1">
      <alignment horizontal="center" vertical="center"/>
    </xf>
    <xf numFmtId="0" fontId="16" fillId="10" borderId="28" xfId="0" applyFont="1" applyFill="1" applyBorder="1" applyAlignment="1">
      <alignment horizontal="center" vertical="center"/>
    </xf>
    <xf numFmtId="0" fontId="16" fillId="10" borderId="29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center" vertical="center" wrapText="1"/>
    </xf>
    <xf numFmtId="9" fontId="14" fillId="10" borderId="23" xfId="0" applyNumberFormat="1" applyFont="1" applyFill="1" applyBorder="1" applyAlignment="1">
      <alignment horizontal="center" vertical="center"/>
    </xf>
    <xf numFmtId="9" fontId="16" fillId="10" borderId="23" xfId="0" applyNumberFormat="1" applyFont="1" applyFill="1" applyBorder="1" applyAlignment="1">
      <alignment horizontal="center" vertical="center"/>
    </xf>
    <xf numFmtId="0" fontId="16" fillId="10" borderId="23" xfId="0" applyFont="1" applyFill="1" applyBorder="1" applyAlignment="1">
      <alignment horizontal="left" vertical="center" wrapText="1"/>
    </xf>
    <xf numFmtId="0" fontId="16" fillId="10" borderId="28" xfId="0" applyFont="1" applyFill="1" applyBorder="1" applyAlignment="1">
      <alignment horizontal="left" vertical="center" wrapText="1"/>
    </xf>
    <xf numFmtId="0" fontId="16" fillId="10" borderId="29" xfId="0" applyFont="1" applyFill="1" applyBorder="1" applyAlignment="1">
      <alignment horizontal="left" vertical="center" wrapText="1"/>
    </xf>
    <xf numFmtId="0" fontId="13" fillId="11" borderId="4" xfId="0" applyFont="1" applyFill="1" applyBorder="1" applyAlignment="1">
      <alignment horizontal="center" vertical="center"/>
    </xf>
    <xf numFmtId="0" fontId="13" fillId="11" borderId="6" xfId="0" applyFont="1" applyFill="1" applyBorder="1" applyAlignment="1">
      <alignment horizontal="center" vertical="center"/>
    </xf>
    <xf numFmtId="0" fontId="13" fillId="11" borderId="23" xfId="0" applyFont="1" applyFill="1" applyBorder="1" applyAlignment="1">
      <alignment horizontal="center" vertical="center"/>
    </xf>
    <xf numFmtId="0" fontId="13" fillId="11" borderId="7" xfId="0" applyFont="1" applyFill="1" applyBorder="1" applyAlignment="1">
      <alignment horizontal="center" vertical="center"/>
    </xf>
    <xf numFmtId="0" fontId="20" fillId="11" borderId="4" xfId="0" applyFont="1" applyFill="1" applyBorder="1" applyAlignment="1">
      <alignment horizontal="center" vertical="center"/>
    </xf>
    <xf numFmtId="0" fontId="20" fillId="11" borderId="23" xfId="0" applyFont="1" applyFill="1" applyBorder="1" applyAlignment="1">
      <alignment horizontal="center"/>
    </xf>
    <xf numFmtId="0" fontId="20" fillId="11" borderId="26" xfId="0" applyFont="1" applyFill="1" applyBorder="1" applyAlignment="1">
      <alignment horizontal="center"/>
    </xf>
    <xf numFmtId="0" fontId="20" fillId="11" borderId="28" xfId="0" applyFont="1" applyFill="1" applyBorder="1" applyAlignment="1">
      <alignment horizontal="center"/>
    </xf>
    <xf numFmtId="0" fontId="20" fillId="11" borderId="29" xfId="0" applyFont="1" applyFill="1" applyBorder="1" applyAlignment="1">
      <alignment horizontal="center"/>
    </xf>
    <xf numFmtId="0" fontId="16" fillId="11" borderId="4" xfId="0" applyFont="1" applyFill="1" applyBorder="1" applyAlignment="1">
      <alignment horizontal="center" vertical="center" wrapText="1"/>
    </xf>
    <xf numFmtId="9" fontId="20" fillId="11" borderId="23" xfId="0" applyNumberFormat="1" applyFont="1" applyFill="1" applyBorder="1" applyAlignment="1">
      <alignment horizontal="center"/>
    </xf>
    <xf numFmtId="31" fontId="20" fillId="0" borderId="30" xfId="0" applyNumberFormat="1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abSelected="1" zoomScale="80" zoomScaleNormal="80" workbookViewId="0">
      <selection activeCell="M22" sqref="M22"/>
    </sheetView>
  </sheetViews>
  <sheetFormatPr defaultColWidth="9.12727272727273" defaultRowHeight="15" customHeight="1"/>
  <cols>
    <col min="1" max="1" width="36.6636363636364" customWidth="1"/>
    <col min="2" max="2" width="16.3909090909091" customWidth="1"/>
    <col min="3" max="3" width="15.6909090909091" customWidth="1"/>
    <col min="4" max="4" width="16.6636363636364" customWidth="1"/>
    <col min="5" max="5" width="21.9454545454545" customWidth="1"/>
    <col min="6" max="6" width="18.3363636363636" customWidth="1"/>
    <col min="7" max="7" width="23.0545454545455" customWidth="1"/>
    <col min="8" max="8" width="23.1909090909091" customWidth="1"/>
    <col min="9" max="10" width="15.7818181818182" customWidth="1"/>
    <col min="11" max="11" width="18.4727272727273" customWidth="1"/>
    <col min="12" max="12" width="17.7818181818182" customWidth="1"/>
    <col min="14" max="14" width="12.8909090909091"/>
  </cols>
  <sheetData>
    <row r="1" ht="30" customHeight="1" spans="1:12">
      <c r="A1" s="81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3"/>
      <c r="L1" s="84"/>
    </row>
    <row r="2" ht="22" customHeight="1" spans="1:12">
      <c r="A2" s="85" t="s">
        <v>1</v>
      </c>
      <c r="B2" s="86"/>
      <c r="C2" s="86"/>
      <c r="D2" s="86"/>
      <c r="E2" s="86" t="s">
        <v>2</v>
      </c>
      <c r="F2" s="86"/>
      <c r="G2" s="86"/>
      <c r="H2" s="86" t="s">
        <v>3</v>
      </c>
      <c r="I2" s="86"/>
      <c r="J2" s="86"/>
      <c r="K2" s="87"/>
      <c r="L2" s="88"/>
    </row>
    <row r="3" ht="31" customHeight="1" spans="1:12">
      <c r="A3" s="89" t="s">
        <v>4</v>
      </c>
      <c r="B3" s="86"/>
      <c r="C3" s="86"/>
      <c r="D3" s="86"/>
      <c r="E3" s="90" t="s">
        <v>5</v>
      </c>
      <c r="F3" s="91"/>
      <c r="G3" s="91"/>
      <c r="H3" s="92" t="s">
        <v>6</v>
      </c>
      <c r="I3" s="93"/>
      <c r="J3" s="93"/>
      <c r="K3" s="93"/>
      <c r="L3" s="94"/>
    </row>
    <row r="4" ht="18" customHeight="1" spans="1:12">
      <c r="A4" s="95" t="s">
        <v>7</v>
      </c>
      <c r="B4" s="96"/>
      <c r="C4" s="96"/>
      <c r="D4" s="96"/>
      <c r="E4" s="96"/>
      <c r="F4" s="96"/>
      <c r="G4" s="96"/>
      <c r="H4" s="96"/>
      <c r="I4" s="96"/>
      <c r="J4" s="96"/>
      <c r="K4" s="97"/>
      <c r="L4" s="98"/>
    </row>
    <row r="5" ht="18" customHeight="1" spans="1:12">
      <c r="A5" s="99" t="s">
        <v>8</v>
      </c>
      <c r="B5" s="100"/>
      <c r="C5" s="100"/>
      <c r="D5" s="100"/>
      <c r="E5" s="101" t="s">
        <v>9</v>
      </c>
      <c r="F5" s="101"/>
      <c r="G5" s="101"/>
      <c r="H5" s="101" t="s">
        <v>10</v>
      </c>
      <c r="I5" s="101"/>
      <c r="J5" s="101"/>
      <c r="K5" s="102"/>
      <c r="L5" s="103"/>
    </row>
    <row r="6" ht="18" customHeight="1" spans="1:12">
      <c r="A6" s="104" t="s">
        <v>11</v>
      </c>
      <c r="B6" s="105"/>
      <c r="C6" s="105"/>
      <c r="D6" s="105"/>
      <c r="E6" s="106" t="s">
        <v>12</v>
      </c>
      <c r="F6" s="106"/>
      <c r="G6" s="106"/>
      <c r="H6" s="101" t="s">
        <v>13</v>
      </c>
      <c r="I6" s="101"/>
      <c r="J6" s="101"/>
      <c r="K6" s="102"/>
      <c r="L6" s="103"/>
    </row>
    <row r="7" ht="18" customHeight="1" spans="1:12">
      <c r="A7" s="104" t="s">
        <v>14</v>
      </c>
      <c r="B7" s="105"/>
      <c r="C7" s="105"/>
      <c r="D7" s="105"/>
      <c r="E7" s="106" t="s">
        <v>15</v>
      </c>
      <c r="F7" s="106"/>
      <c r="G7" s="106"/>
      <c r="H7" s="101" t="s">
        <v>16</v>
      </c>
      <c r="I7" s="101"/>
      <c r="J7" s="101"/>
      <c r="K7" s="102"/>
      <c r="L7" s="103"/>
    </row>
    <row r="8" ht="18" customHeight="1" spans="1:12">
      <c r="A8" s="104" t="s">
        <v>17</v>
      </c>
      <c r="B8" s="105"/>
      <c r="C8" s="105"/>
      <c r="D8" s="105"/>
      <c r="E8" s="106" t="s">
        <v>18</v>
      </c>
      <c r="F8" s="106"/>
      <c r="G8" s="106"/>
      <c r="H8" s="101"/>
      <c r="I8" s="101"/>
      <c r="J8" s="101"/>
      <c r="K8" s="102"/>
      <c r="L8" s="103"/>
    </row>
    <row r="9" ht="18" customHeight="1" spans="1:12">
      <c r="A9" s="104" t="s">
        <v>19</v>
      </c>
      <c r="B9" s="105"/>
      <c r="C9" s="105"/>
      <c r="D9" s="105"/>
      <c r="E9" s="106" t="s">
        <v>20</v>
      </c>
      <c r="F9" s="106"/>
      <c r="G9" s="106"/>
      <c r="H9" s="101"/>
      <c r="I9" s="101"/>
      <c r="J9" s="101"/>
      <c r="K9" s="102"/>
      <c r="L9" s="103"/>
    </row>
    <row r="10" ht="18" customHeight="1" spans="1:12">
      <c r="A10" s="107" t="s">
        <v>21</v>
      </c>
      <c r="B10" s="108"/>
      <c r="C10" s="108"/>
      <c r="D10" s="108"/>
      <c r="E10" s="108"/>
      <c r="F10" s="108"/>
      <c r="G10" s="108"/>
      <c r="H10" s="108"/>
      <c r="I10" s="108"/>
      <c r="J10" s="108"/>
      <c r="K10" s="109"/>
      <c r="L10" s="110"/>
    </row>
    <row r="11" ht="30" customHeight="1" spans="1:12">
      <c r="A11" s="111" t="s">
        <v>22</v>
      </c>
      <c r="B11" s="112" t="s">
        <v>23</v>
      </c>
      <c r="C11" s="112" t="s">
        <v>24</v>
      </c>
      <c r="D11" s="112" t="s">
        <v>25</v>
      </c>
      <c r="E11" s="112" t="s">
        <v>26</v>
      </c>
      <c r="F11" s="112" t="s">
        <v>27</v>
      </c>
      <c r="G11" s="112" t="s">
        <v>28</v>
      </c>
      <c r="H11" s="112" t="s">
        <v>29</v>
      </c>
      <c r="I11" s="113" t="s">
        <v>30</v>
      </c>
      <c r="J11" s="114" t="s">
        <v>31</v>
      </c>
      <c r="K11" s="115" t="s">
        <v>32</v>
      </c>
      <c r="L11" s="116" t="s">
        <v>33</v>
      </c>
    </row>
    <row r="12" ht="18" customHeight="1" spans="1:12">
      <c r="A12" s="117" t="s">
        <v>34</v>
      </c>
      <c r="B12" s="118">
        <v>165</v>
      </c>
      <c r="C12" s="119">
        <v>328</v>
      </c>
      <c r="D12" s="120">
        <v>0.13</v>
      </c>
      <c r="E12" s="121">
        <f>C12*D12</f>
        <v>42.64</v>
      </c>
      <c r="F12" s="120">
        <v>0.64</v>
      </c>
      <c r="G12" s="121">
        <f>C12*F12</f>
        <v>209.92</v>
      </c>
      <c r="H12" s="122">
        <f>C12/B12*31</f>
        <v>61.6242424242424</v>
      </c>
      <c r="I12" s="123">
        <f>E12/H12</f>
        <v>0.691935483870968</v>
      </c>
      <c r="J12" s="124">
        <f>C12/B12*101</f>
        <v>200.775757575758</v>
      </c>
      <c r="K12" s="125">
        <f>G12/J12</f>
        <v>1.04554455445545</v>
      </c>
      <c r="L12" s="126">
        <v>64</v>
      </c>
    </row>
    <row r="13" ht="18" customHeight="1" spans="1:12">
      <c r="A13" s="117" t="s">
        <v>35</v>
      </c>
      <c r="B13" s="118">
        <v>100</v>
      </c>
      <c r="C13" s="119">
        <v>183</v>
      </c>
      <c r="D13" s="120">
        <v>0</v>
      </c>
      <c r="E13" s="121">
        <f>C13*D13</f>
        <v>0</v>
      </c>
      <c r="F13" s="120">
        <v>0</v>
      </c>
      <c r="G13" s="121">
        <f>C13*F13</f>
        <v>0</v>
      </c>
      <c r="H13" s="122">
        <f>C13/B13*0</f>
        <v>0</v>
      </c>
      <c r="I13" s="123" t="e">
        <f>E13/H13</f>
        <v>#DIV/0!</v>
      </c>
      <c r="J13" s="124">
        <f>C13/B13*0</f>
        <v>0</v>
      </c>
      <c r="K13" s="125" t="e">
        <f>G13/J13</f>
        <v>#DIV/0!</v>
      </c>
      <c r="L13" s="126">
        <v>89</v>
      </c>
    </row>
    <row r="14" ht="18" customHeight="1" spans="1:12">
      <c r="A14" s="117" t="s">
        <v>36</v>
      </c>
      <c r="B14" s="118">
        <v>225</v>
      </c>
      <c r="C14" s="119">
        <v>95.7</v>
      </c>
      <c r="D14" s="127">
        <v>0.062</v>
      </c>
      <c r="E14" s="121">
        <f>C14*D14</f>
        <v>5.9334</v>
      </c>
      <c r="F14" s="128">
        <v>0.372</v>
      </c>
      <c r="G14" s="121">
        <f>C14*F14</f>
        <v>35.6004</v>
      </c>
      <c r="H14" s="122">
        <f>C14/B14*31</f>
        <v>13.1853333333333</v>
      </c>
      <c r="I14" s="123">
        <f>E14/H14</f>
        <v>0.45</v>
      </c>
      <c r="J14" s="124">
        <f>C14/B14*101</f>
        <v>42.9586666666667</v>
      </c>
      <c r="K14" s="125">
        <f>G14/J14</f>
        <v>0.828712871287129</v>
      </c>
      <c r="L14" s="126">
        <v>124</v>
      </c>
    </row>
    <row r="15" ht="18" customHeight="1" spans="1:12">
      <c r="A15" s="111" t="s">
        <v>37</v>
      </c>
      <c r="B15" s="129">
        <v>225</v>
      </c>
      <c r="C15" s="130">
        <f>SUM(C12:C14)</f>
        <v>606.7</v>
      </c>
      <c r="D15" s="131">
        <f>E15/C15</f>
        <v>0.0800616449645624</v>
      </c>
      <c r="E15" s="121">
        <f>SUM(E12:E14)</f>
        <v>48.5734</v>
      </c>
      <c r="F15" s="132">
        <f>G15/C15</f>
        <v>0.404681720784572</v>
      </c>
      <c r="G15" s="121">
        <f>SUM(G12:G14)</f>
        <v>245.5204</v>
      </c>
      <c r="H15" s="121">
        <f>SUM(H12:H14)</f>
        <v>74.8095757575758</v>
      </c>
      <c r="I15" s="123">
        <f>E15/H15</f>
        <v>0.649293883946149</v>
      </c>
      <c r="J15" s="133">
        <f>SUM(J12:J14)</f>
        <v>243.734424242424</v>
      </c>
      <c r="K15" s="125">
        <f>G15/J15</f>
        <v>1.0073275482654</v>
      </c>
      <c r="L15" s="126">
        <v>124</v>
      </c>
    </row>
    <row r="16" ht="18" customHeight="1" spans="1:12">
      <c r="A16" s="134" t="s">
        <v>38</v>
      </c>
      <c r="B16" s="135"/>
      <c r="C16" s="135"/>
      <c r="D16" s="135"/>
      <c r="E16" s="135"/>
      <c r="F16" s="135"/>
      <c r="G16" s="135"/>
      <c r="H16" s="135"/>
      <c r="I16" s="135"/>
      <c r="J16" s="135"/>
      <c r="K16" s="136"/>
      <c r="L16" s="137"/>
    </row>
    <row r="17" ht="30" customHeight="1" spans="1:12">
      <c r="A17" s="138" t="s">
        <v>22</v>
      </c>
      <c r="B17" s="139" t="s">
        <v>39</v>
      </c>
      <c r="C17" s="140"/>
      <c r="D17" s="139" t="s">
        <v>40</v>
      </c>
      <c r="E17" s="113" t="s">
        <v>41</v>
      </c>
      <c r="F17" s="139" t="s">
        <v>42</v>
      </c>
      <c r="G17" s="113" t="s">
        <v>43</v>
      </c>
      <c r="H17" s="141" t="s">
        <v>44</v>
      </c>
      <c r="I17" s="142" t="s">
        <v>45</v>
      </c>
      <c r="J17" s="142"/>
      <c r="K17" s="143"/>
      <c r="L17" s="144"/>
    </row>
    <row r="18" ht="18" customHeight="1" spans="1:12">
      <c r="A18" s="145" t="s">
        <v>46</v>
      </c>
      <c r="B18" s="146">
        <v>328</v>
      </c>
      <c r="C18" s="146"/>
      <c r="D18" s="147">
        <v>38.84</v>
      </c>
      <c r="E18" s="123">
        <f>D18/E12</f>
        <v>0.910881801125704</v>
      </c>
      <c r="F18" s="147">
        <v>197.4</v>
      </c>
      <c r="G18" s="123">
        <f>F18/G12</f>
        <v>0.940358231707317</v>
      </c>
      <c r="H18" s="148">
        <f>F18/B18</f>
        <v>0.601829268292683</v>
      </c>
      <c r="I18" s="149"/>
      <c r="J18" s="150"/>
      <c r="K18" s="150"/>
      <c r="L18" s="151"/>
    </row>
    <row r="19" ht="18" customHeight="1" spans="1:12">
      <c r="A19" s="152" t="s">
        <v>47</v>
      </c>
      <c r="B19" s="146">
        <v>183</v>
      </c>
      <c r="C19" s="146"/>
      <c r="D19" s="147">
        <v>0</v>
      </c>
      <c r="E19" s="123" t="e">
        <f>E13/D19</f>
        <v>#DIV/0!</v>
      </c>
      <c r="F19" s="147">
        <v>0</v>
      </c>
      <c r="G19" s="123" t="e">
        <f>G13/F19</f>
        <v>#DIV/0!</v>
      </c>
      <c r="H19" s="148">
        <f>F19/B19</f>
        <v>0</v>
      </c>
      <c r="I19" s="153"/>
      <c r="J19" s="154"/>
      <c r="K19" s="154"/>
      <c r="L19" s="155"/>
    </row>
    <row r="20" ht="18" customHeight="1" spans="1:12">
      <c r="A20" s="156" t="s">
        <v>36</v>
      </c>
      <c r="B20" s="157">
        <v>95.7</v>
      </c>
      <c r="C20" s="158"/>
      <c r="D20" s="147">
        <v>5.93</v>
      </c>
      <c r="E20" s="123">
        <f>D20/E14</f>
        <v>0.999426972730644</v>
      </c>
      <c r="F20" s="147">
        <v>29.59</v>
      </c>
      <c r="G20" s="123">
        <f>F20/G14</f>
        <v>0.831170436287233</v>
      </c>
      <c r="H20" s="148">
        <f>F20/B20</f>
        <v>0.309195402298851</v>
      </c>
      <c r="I20" s="153"/>
      <c r="J20" s="154"/>
      <c r="K20" s="154"/>
      <c r="L20" s="155"/>
    </row>
    <row r="21" ht="18" customHeight="1" spans="1:12">
      <c r="A21" s="156" t="s">
        <v>48</v>
      </c>
      <c r="B21" s="146">
        <f>SUM(B18:C20)</f>
        <v>606.7</v>
      </c>
      <c r="C21" s="146"/>
      <c r="D21" s="159">
        <f>SUM(D18:D19)</f>
        <v>38.84</v>
      </c>
      <c r="E21" s="123">
        <f>D21/E15</f>
        <v>0.799614603877843</v>
      </c>
      <c r="F21" s="160">
        <f>SUM(F18:F20)</f>
        <v>226.99</v>
      </c>
      <c r="G21" s="123">
        <f>F21/G15</f>
        <v>0.924526027165156</v>
      </c>
      <c r="H21" s="148">
        <f>F21/B21</f>
        <v>0.37413878358332</v>
      </c>
      <c r="I21" s="161"/>
      <c r="J21" s="162"/>
      <c r="K21" s="162"/>
      <c r="L21" s="163"/>
    </row>
    <row r="22" ht="18" customHeight="1" spans="1:12">
      <c r="A22" s="164" t="s">
        <v>49</v>
      </c>
      <c r="B22" s="165"/>
      <c r="C22" s="165"/>
      <c r="D22" s="165"/>
      <c r="E22" s="165"/>
      <c r="F22" s="165"/>
      <c r="G22" s="165"/>
      <c r="H22" s="165"/>
      <c r="I22" s="165"/>
      <c r="J22" s="165"/>
      <c r="K22" s="166"/>
      <c r="L22" s="167"/>
    </row>
    <row r="23" ht="18" customHeight="1" spans="1:12">
      <c r="A23" s="168" t="s">
        <v>22</v>
      </c>
      <c r="B23" s="169" t="s">
        <v>50</v>
      </c>
      <c r="C23" s="170"/>
      <c r="D23" s="169" t="s">
        <v>51</v>
      </c>
      <c r="E23" s="170"/>
      <c r="F23" s="171" t="s">
        <v>52</v>
      </c>
      <c r="G23" s="172"/>
      <c r="H23" s="171" t="s">
        <v>53</v>
      </c>
      <c r="I23" s="172"/>
      <c r="J23" s="171" t="s">
        <v>54</v>
      </c>
      <c r="K23" s="173"/>
      <c r="L23" s="174"/>
    </row>
    <row r="24" ht="30" customHeight="1" spans="1:12">
      <c r="A24" s="175" t="s">
        <v>34</v>
      </c>
      <c r="B24" s="176">
        <v>1</v>
      </c>
      <c r="C24" s="170"/>
      <c r="D24" s="169" t="s">
        <v>55</v>
      </c>
      <c r="E24" s="170"/>
      <c r="F24" s="177">
        <v>1</v>
      </c>
      <c r="G24" s="172"/>
      <c r="H24" s="171" t="s">
        <v>56</v>
      </c>
      <c r="I24" s="172"/>
      <c r="J24" s="171" t="s">
        <v>57</v>
      </c>
      <c r="K24" s="173"/>
      <c r="L24" s="174"/>
    </row>
    <row r="25" ht="30" customHeight="1" spans="1:12">
      <c r="A25" s="175" t="s">
        <v>35</v>
      </c>
      <c r="B25" s="176">
        <v>1</v>
      </c>
      <c r="C25" s="170"/>
      <c r="D25" s="169" t="s">
        <v>55</v>
      </c>
      <c r="E25" s="170"/>
      <c r="F25" s="177">
        <v>1</v>
      </c>
      <c r="G25" s="172"/>
      <c r="H25" s="171" t="s">
        <v>56</v>
      </c>
      <c r="I25" s="172"/>
      <c r="J25" s="178" t="s">
        <v>58</v>
      </c>
      <c r="K25" s="179"/>
      <c r="L25" s="180"/>
    </row>
    <row r="26" ht="30" customHeight="1" spans="1:12">
      <c r="A26" s="175" t="s">
        <v>59</v>
      </c>
      <c r="B26" s="169"/>
      <c r="C26" s="170"/>
      <c r="D26" s="169"/>
      <c r="E26" s="170"/>
      <c r="F26" s="171"/>
      <c r="G26" s="172"/>
      <c r="H26" s="171"/>
      <c r="I26" s="172"/>
      <c r="J26" s="171"/>
      <c r="K26" s="173"/>
      <c r="L26" s="174"/>
    </row>
    <row r="27" ht="18" customHeight="1" spans="1:12">
      <c r="A27" s="181" t="s">
        <v>60</v>
      </c>
      <c r="B27" s="182"/>
      <c r="C27" s="182"/>
      <c r="D27" s="182"/>
      <c r="E27" s="182"/>
      <c r="F27" s="182"/>
      <c r="G27" s="182"/>
      <c r="H27" s="182"/>
      <c r="I27" s="182"/>
      <c r="J27" s="182"/>
      <c r="K27" s="183"/>
      <c r="L27" s="184"/>
    </row>
    <row r="28" ht="18" customHeight="1" spans="1:12">
      <c r="A28" s="185" t="s">
        <v>22</v>
      </c>
      <c r="B28" s="186" t="s">
        <v>61</v>
      </c>
      <c r="C28" s="187"/>
      <c r="D28" s="186" t="s">
        <v>62</v>
      </c>
      <c r="E28" s="187"/>
      <c r="F28" s="186" t="s">
        <v>63</v>
      </c>
      <c r="G28" s="187"/>
      <c r="H28" s="186" t="s">
        <v>64</v>
      </c>
      <c r="I28" s="187"/>
      <c r="J28" s="186" t="s">
        <v>65</v>
      </c>
      <c r="K28" s="188"/>
      <c r="L28" s="189"/>
    </row>
    <row r="29" ht="18" customHeight="1" spans="1:12">
      <c r="A29" s="190" t="s">
        <v>34</v>
      </c>
      <c r="B29" s="186" t="s">
        <v>66</v>
      </c>
      <c r="C29" s="187"/>
      <c r="D29" s="186" t="s">
        <v>67</v>
      </c>
      <c r="E29" s="187"/>
      <c r="F29" s="186" t="s">
        <v>68</v>
      </c>
      <c r="G29" s="187"/>
      <c r="H29" s="191">
        <v>1</v>
      </c>
      <c r="I29" s="187"/>
      <c r="J29" s="186" t="s">
        <v>69</v>
      </c>
      <c r="K29" s="188"/>
      <c r="L29" s="189"/>
    </row>
    <row r="30" ht="18" customHeight="1" spans="1:12">
      <c r="A30" s="190" t="s">
        <v>35</v>
      </c>
      <c r="B30" s="186"/>
      <c r="C30" s="187"/>
      <c r="D30" s="186"/>
      <c r="E30" s="187"/>
      <c r="F30" s="186"/>
      <c r="G30" s="187"/>
      <c r="H30" s="186"/>
      <c r="I30" s="187"/>
      <c r="J30" s="186"/>
      <c r="K30" s="188"/>
      <c r="L30" s="189"/>
    </row>
    <row r="31" ht="18" customHeight="1" spans="1:12">
      <c r="A31" s="190" t="s">
        <v>59</v>
      </c>
      <c r="B31" s="186"/>
      <c r="C31" s="187"/>
      <c r="D31" s="186"/>
      <c r="E31" s="187"/>
      <c r="F31" s="186"/>
      <c r="G31" s="187"/>
      <c r="H31" s="186"/>
      <c r="I31" s="187"/>
      <c r="J31" s="186"/>
      <c r="K31" s="188"/>
      <c r="L31" s="189"/>
    </row>
    <row r="32" ht="45" customHeight="1" spans="1:12">
      <c r="A32" s="192" t="s">
        <v>70</v>
      </c>
      <c r="B32" s="193"/>
      <c r="C32" s="193"/>
      <c r="D32" s="193"/>
      <c r="E32" s="193"/>
      <c r="F32" s="193"/>
      <c r="G32" s="193"/>
      <c r="H32" s="193"/>
      <c r="I32" s="193"/>
      <c r="J32" s="193"/>
      <c r="K32" s="193"/>
      <c r="L32" s="194"/>
    </row>
    <row r="33" customHeight="1" spans="1:3">
      <c r="A33" s="195"/>
      <c r="B33" s="195"/>
      <c r="C33" s="195"/>
    </row>
  </sheetData>
  <mergeCells count="76">
    <mergeCell ref="A1:L1"/>
    <mergeCell ref="A2:D2"/>
    <mergeCell ref="E2:G2"/>
    <mergeCell ref="H2:L2"/>
    <mergeCell ref="A3:D3"/>
    <mergeCell ref="E3:G3"/>
    <mergeCell ref="H3:L3"/>
    <mergeCell ref="A4:L4"/>
    <mergeCell ref="A5:D5"/>
    <mergeCell ref="E5:G5"/>
    <mergeCell ref="H5:L5"/>
    <mergeCell ref="A6:D6"/>
    <mergeCell ref="E6:G6"/>
    <mergeCell ref="H6:L6"/>
    <mergeCell ref="A7:D7"/>
    <mergeCell ref="E7:G7"/>
    <mergeCell ref="H7:L7"/>
    <mergeCell ref="A8:D8"/>
    <mergeCell ref="E8:G8"/>
    <mergeCell ref="H8:L8"/>
    <mergeCell ref="A9:D9"/>
    <mergeCell ref="E9:G9"/>
    <mergeCell ref="H9:L9"/>
    <mergeCell ref="A10:L10"/>
    <mergeCell ref="A16:L16"/>
    <mergeCell ref="B17:C17"/>
    <mergeCell ref="I17:L17"/>
    <mergeCell ref="B18:C18"/>
    <mergeCell ref="B19:C19"/>
    <mergeCell ref="B20:C20"/>
    <mergeCell ref="B21:C21"/>
    <mergeCell ref="A22:L22"/>
    <mergeCell ref="B23:C23"/>
    <mergeCell ref="D23:E23"/>
    <mergeCell ref="F23:G23"/>
    <mergeCell ref="H23:I23"/>
    <mergeCell ref="J23:L23"/>
    <mergeCell ref="B24:C24"/>
    <mergeCell ref="D24:E24"/>
    <mergeCell ref="F24:G24"/>
    <mergeCell ref="H24:I24"/>
    <mergeCell ref="J24:L24"/>
    <mergeCell ref="B25:C25"/>
    <mergeCell ref="D25:E25"/>
    <mergeCell ref="F25:G25"/>
    <mergeCell ref="H25:I25"/>
    <mergeCell ref="J25:L25"/>
    <mergeCell ref="B26:C26"/>
    <mergeCell ref="D26:E26"/>
    <mergeCell ref="F26:G26"/>
    <mergeCell ref="H26:I26"/>
    <mergeCell ref="J26:L26"/>
    <mergeCell ref="A27:L27"/>
    <mergeCell ref="B28:C28"/>
    <mergeCell ref="D28:E28"/>
    <mergeCell ref="F28:G28"/>
    <mergeCell ref="H28:I28"/>
    <mergeCell ref="J28:L28"/>
    <mergeCell ref="B29:C29"/>
    <mergeCell ref="D29:E29"/>
    <mergeCell ref="F29:G29"/>
    <mergeCell ref="H29:I29"/>
    <mergeCell ref="J29:L29"/>
    <mergeCell ref="B30:C30"/>
    <mergeCell ref="D30:E30"/>
    <mergeCell ref="F30:G30"/>
    <mergeCell ref="H30:I30"/>
    <mergeCell ref="J30:L30"/>
    <mergeCell ref="B31:C31"/>
    <mergeCell ref="D31:E31"/>
    <mergeCell ref="F31:G31"/>
    <mergeCell ref="H31:I31"/>
    <mergeCell ref="J31:L31"/>
    <mergeCell ref="A32:L32"/>
    <mergeCell ref="A33:J33"/>
    <mergeCell ref="I18:L21"/>
  </mergeCells>
  <pageMargins left="0.25" right="0.25" top="0.75" bottom="0.75" header="0.298611111111111" footer="0.298611111111111"/>
  <pageSetup paperSize="8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52"/>
  <sheetViews>
    <sheetView zoomScale="70" zoomScaleNormal="70" workbookViewId="0">
      <selection activeCell="F25" sqref="F25"/>
    </sheetView>
  </sheetViews>
  <sheetFormatPr defaultColWidth="8.89090909090909" defaultRowHeight="14"/>
  <cols>
    <col min="1" max="1" width="9.86363636363636" style="1" customWidth="1"/>
    <col min="2" max="2" width="27.4090909090909" style="1" customWidth="1"/>
    <col min="3" max="3" width="10.5545454545455" style="1" customWidth="1"/>
    <col min="4" max="4" width="12.5909090909091" style="1" customWidth="1"/>
    <col min="5" max="5" width="14.6272727272727" style="1" customWidth="1"/>
    <col min="6" max="20" width="3.28181818181818" style="1" customWidth="1"/>
    <col min="21" max="26" width="2.38181818181818" style="1" customWidth="1"/>
    <col min="27" max="27" width="1.94545454545455" style="1" customWidth="1"/>
    <col min="28" max="31" width="2.57272727272727" style="1" customWidth="1"/>
    <col min="32" max="32" width="2.36363636363636" style="1" customWidth="1"/>
    <col min="33" max="33" width="2.57272727272727" style="1" hidden="1" customWidth="1"/>
    <col min="34" max="34" width="1.10909090909091" style="1" hidden="1" customWidth="1"/>
    <col min="35" max="41" width="2.57272727272727" style="1" hidden="1" customWidth="1"/>
    <col min="42" max="48" width="2.98181818181818" style="1" customWidth="1"/>
    <col min="49" max="83" width="3.28181818181818" style="1" customWidth="1"/>
    <col min="84" max="16384" width="8.89090909090909" style="1"/>
  </cols>
  <sheetData>
    <row r="1" s="1" customFormat="1" ht="30" customHeight="1" spans="1:83">
      <c r="A1" s="3" t="s">
        <v>71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5"/>
    </row>
    <row r="2" s="1" customFormat="1" ht="18" customHeight="1" spans="1:83">
      <c r="A2" s="6" t="s">
        <v>72</v>
      </c>
      <c r="B2" s="7" t="s">
        <v>73</v>
      </c>
      <c r="C2" s="8" t="s">
        <v>10</v>
      </c>
      <c r="D2" s="8" t="s">
        <v>74</v>
      </c>
      <c r="E2" s="8" t="s">
        <v>75</v>
      </c>
      <c r="F2" s="9" t="s">
        <v>76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0" t="s">
        <v>77</v>
      </c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 t="s">
        <v>78</v>
      </c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1"/>
    </row>
    <row r="3" s="2" customFormat="1" ht="18" customHeight="1" spans="1:83">
      <c r="A3" s="12"/>
      <c r="B3" s="13"/>
      <c r="C3" s="14"/>
      <c r="D3" s="14"/>
      <c r="E3" s="14"/>
      <c r="F3" s="15" t="s">
        <v>79</v>
      </c>
      <c r="G3" s="15"/>
      <c r="H3" s="16"/>
      <c r="I3" s="15" t="s">
        <v>80</v>
      </c>
      <c r="J3" s="15"/>
      <c r="K3" s="15"/>
      <c r="L3" s="15"/>
      <c r="M3" s="15"/>
      <c r="N3" s="15"/>
      <c r="O3" s="15" t="s">
        <v>81</v>
      </c>
      <c r="P3" s="15"/>
      <c r="Q3" s="15"/>
      <c r="R3" s="15"/>
      <c r="S3" s="15"/>
      <c r="T3" s="15"/>
      <c r="U3" s="14" t="s">
        <v>82</v>
      </c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5" t="s">
        <v>83</v>
      </c>
      <c r="AX3" s="15"/>
      <c r="AY3" s="15" t="s">
        <v>84</v>
      </c>
      <c r="AZ3" s="15"/>
      <c r="BA3" s="15"/>
      <c r="BB3" s="15"/>
      <c r="BC3" s="15"/>
      <c r="BD3" s="15"/>
      <c r="BE3" s="15" t="s">
        <v>85</v>
      </c>
      <c r="BF3" s="15"/>
      <c r="BG3" s="15"/>
      <c r="BH3" s="15"/>
      <c r="BI3" s="15"/>
      <c r="BJ3" s="15"/>
      <c r="BK3" s="15" t="s">
        <v>86</v>
      </c>
      <c r="BL3" s="15"/>
      <c r="BM3" s="15"/>
      <c r="BN3" s="15"/>
      <c r="BO3" s="15"/>
      <c r="BP3" s="15"/>
      <c r="BQ3" s="15" t="s">
        <v>87</v>
      </c>
      <c r="BR3" s="15"/>
      <c r="BS3" s="15"/>
      <c r="BT3" s="15"/>
      <c r="BU3" s="15"/>
      <c r="BV3" s="15"/>
      <c r="BW3" s="15" t="s">
        <v>79</v>
      </c>
      <c r="BX3" s="15"/>
      <c r="BY3" s="15"/>
      <c r="BZ3" s="15"/>
      <c r="CA3" s="15"/>
      <c r="CB3" s="15"/>
      <c r="CC3" s="17" t="s">
        <v>80</v>
      </c>
      <c r="CD3" s="17"/>
      <c r="CE3" s="18"/>
    </row>
    <row r="4" s="2" customFormat="1" ht="18" customHeight="1" spans="1:83">
      <c r="A4" s="12"/>
      <c r="B4" s="13"/>
      <c r="C4" s="14"/>
      <c r="D4" s="14"/>
      <c r="E4" s="14"/>
      <c r="F4" s="19">
        <v>20</v>
      </c>
      <c r="G4" s="19">
        <v>25</v>
      </c>
      <c r="H4" s="19">
        <v>30</v>
      </c>
      <c r="I4" s="19">
        <v>5</v>
      </c>
      <c r="J4" s="19">
        <v>10</v>
      </c>
      <c r="K4" s="19">
        <v>15</v>
      </c>
      <c r="L4" s="19">
        <v>20</v>
      </c>
      <c r="M4" s="19">
        <v>25</v>
      </c>
      <c r="N4" s="19">
        <v>31</v>
      </c>
      <c r="O4" s="17">
        <v>5</v>
      </c>
      <c r="P4" s="17">
        <v>10</v>
      </c>
      <c r="Q4" s="17">
        <v>15</v>
      </c>
      <c r="R4" s="17">
        <v>20</v>
      </c>
      <c r="S4" s="17">
        <v>25</v>
      </c>
      <c r="T4" s="17">
        <v>31</v>
      </c>
      <c r="U4" s="20">
        <v>5</v>
      </c>
      <c r="V4" s="21">
        <v>10</v>
      </c>
      <c r="W4" s="20">
        <v>15</v>
      </c>
      <c r="X4" s="21">
        <v>20</v>
      </c>
      <c r="Y4" s="20">
        <v>25</v>
      </c>
      <c r="Z4" s="21">
        <v>30</v>
      </c>
      <c r="AA4" s="20">
        <v>35</v>
      </c>
      <c r="AB4" s="21">
        <v>40</v>
      </c>
      <c r="AC4" s="20">
        <v>45</v>
      </c>
      <c r="AD4" s="21">
        <v>50</v>
      </c>
      <c r="AE4" s="20">
        <v>55</v>
      </c>
      <c r="AF4" s="21">
        <v>60</v>
      </c>
      <c r="AG4" s="20">
        <v>65</v>
      </c>
      <c r="AH4" s="21">
        <v>70</v>
      </c>
      <c r="AI4" s="20">
        <v>75</v>
      </c>
      <c r="AJ4" s="21">
        <v>80</v>
      </c>
      <c r="AK4" s="20">
        <v>85</v>
      </c>
      <c r="AL4" s="21">
        <v>90</v>
      </c>
      <c r="AM4" s="20">
        <v>95</v>
      </c>
      <c r="AN4" s="21">
        <v>100</v>
      </c>
      <c r="AO4" s="20">
        <v>105</v>
      </c>
      <c r="AP4" s="21">
        <v>110</v>
      </c>
      <c r="AQ4" s="20">
        <v>115</v>
      </c>
      <c r="AR4" s="21">
        <v>120</v>
      </c>
      <c r="AS4" s="20">
        <v>125</v>
      </c>
      <c r="AT4" s="21">
        <v>130</v>
      </c>
      <c r="AU4" s="20">
        <v>135</v>
      </c>
      <c r="AV4" s="21">
        <v>140</v>
      </c>
      <c r="AW4" s="17">
        <v>25</v>
      </c>
      <c r="AX4" s="17">
        <v>30</v>
      </c>
      <c r="AY4" s="17">
        <v>5</v>
      </c>
      <c r="AZ4" s="17">
        <v>10</v>
      </c>
      <c r="BA4" s="17">
        <v>15</v>
      </c>
      <c r="BB4" s="17">
        <v>20</v>
      </c>
      <c r="BC4" s="17">
        <v>25</v>
      </c>
      <c r="BD4" s="17">
        <v>31</v>
      </c>
      <c r="BE4" s="17">
        <v>5</v>
      </c>
      <c r="BF4" s="17">
        <v>10</v>
      </c>
      <c r="BG4" s="17">
        <v>15</v>
      </c>
      <c r="BH4" s="17">
        <v>20</v>
      </c>
      <c r="BI4" s="17">
        <v>25</v>
      </c>
      <c r="BJ4" s="17">
        <v>30</v>
      </c>
      <c r="BK4" s="17">
        <v>5</v>
      </c>
      <c r="BL4" s="17">
        <v>10</v>
      </c>
      <c r="BM4" s="17">
        <v>15</v>
      </c>
      <c r="BN4" s="17">
        <v>20</v>
      </c>
      <c r="BO4" s="17">
        <v>25</v>
      </c>
      <c r="BP4" s="17">
        <v>31</v>
      </c>
      <c r="BQ4" s="17">
        <v>5</v>
      </c>
      <c r="BR4" s="17">
        <v>10</v>
      </c>
      <c r="BS4" s="17">
        <v>15</v>
      </c>
      <c r="BT4" s="17">
        <v>20</v>
      </c>
      <c r="BU4" s="17">
        <v>25</v>
      </c>
      <c r="BV4" s="17">
        <v>31</v>
      </c>
      <c r="BW4" s="17">
        <v>5</v>
      </c>
      <c r="BX4" s="17">
        <v>10</v>
      </c>
      <c r="BY4" s="17">
        <v>15</v>
      </c>
      <c r="BZ4" s="17">
        <v>20</v>
      </c>
      <c r="CA4" s="17">
        <v>25</v>
      </c>
      <c r="CB4" s="17">
        <v>30</v>
      </c>
      <c r="CC4" s="17">
        <v>5</v>
      </c>
      <c r="CD4" s="17">
        <v>10</v>
      </c>
      <c r="CE4" s="18">
        <v>15</v>
      </c>
    </row>
    <row r="5" s="1" customFormat="1" ht="18" customHeight="1" spans="1:83">
      <c r="A5" s="22" t="s">
        <v>88</v>
      </c>
      <c r="B5" s="23" t="s">
        <v>89</v>
      </c>
      <c r="C5" s="24" t="s">
        <v>90</v>
      </c>
      <c r="D5" s="25">
        <v>45926</v>
      </c>
      <c r="E5" s="25">
        <v>45930</v>
      </c>
      <c r="F5" s="24"/>
      <c r="G5" s="24"/>
      <c r="H5" s="26"/>
      <c r="I5" s="27"/>
      <c r="J5" s="27"/>
      <c r="K5" s="28" t="s">
        <v>91</v>
      </c>
      <c r="L5" s="29"/>
      <c r="M5" s="29"/>
      <c r="N5" s="29"/>
      <c r="O5" s="29"/>
      <c r="P5" s="29"/>
      <c r="Q5" s="29"/>
      <c r="R5" s="27"/>
      <c r="S5" s="27"/>
      <c r="T5" s="27"/>
      <c r="U5" s="30" t="s">
        <v>92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31"/>
      <c r="BV5" s="31"/>
      <c r="BW5" s="32"/>
      <c r="BX5" s="32"/>
      <c r="BY5" s="32"/>
      <c r="BZ5" s="32"/>
      <c r="CA5" s="32"/>
      <c r="CB5" s="32"/>
      <c r="CC5" s="32"/>
      <c r="CD5" s="32"/>
      <c r="CE5" s="33"/>
    </row>
    <row r="6" s="1" customFormat="1" ht="18" customHeight="1" spans="1:83">
      <c r="A6" s="22"/>
      <c r="B6" s="23"/>
      <c r="C6" s="24" t="s">
        <v>93</v>
      </c>
      <c r="D6" s="25">
        <v>45926</v>
      </c>
      <c r="E6" s="25">
        <v>45930</v>
      </c>
      <c r="F6" s="24"/>
      <c r="G6" s="24"/>
      <c r="H6" s="34"/>
      <c r="I6" s="27"/>
      <c r="J6" s="27"/>
      <c r="K6" s="29"/>
      <c r="L6" s="29"/>
      <c r="M6" s="29"/>
      <c r="N6" s="29"/>
      <c r="O6" s="29"/>
      <c r="P6" s="29"/>
      <c r="Q6" s="29"/>
      <c r="R6" s="27"/>
      <c r="S6" s="27"/>
      <c r="T6" s="27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31"/>
      <c r="BV6" s="31"/>
      <c r="BW6" s="32"/>
      <c r="BX6" s="32"/>
      <c r="BY6" s="32"/>
      <c r="BZ6" s="32"/>
      <c r="CA6" s="32"/>
      <c r="CB6" s="32"/>
      <c r="CC6" s="32"/>
      <c r="CD6" s="32"/>
      <c r="CE6" s="33"/>
    </row>
    <row r="7" s="1" customFormat="1" ht="18" customHeight="1" spans="1:83">
      <c r="A7" s="22"/>
      <c r="B7" s="23" t="s">
        <v>94</v>
      </c>
      <c r="C7" s="24" t="s">
        <v>90</v>
      </c>
      <c r="D7" s="25">
        <v>45931</v>
      </c>
      <c r="E7" s="25">
        <v>45955</v>
      </c>
      <c r="F7" s="24"/>
      <c r="G7" s="24"/>
      <c r="H7" s="27"/>
      <c r="I7" s="35"/>
      <c r="J7" s="35"/>
      <c r="K7" s="35"/>
      <c r="L7" s="36"/>
      <c r="M7" s="35"/>
      <c r="N7" s="27"/>
      <c r="O7" s="28" t="s">
        <v>91</v>
      </c>
      <c r="P7" s="29"/>
      <c r="Q7" s="29"/>
      <c r="R7" s="29"/>
      <c r="S7" s="29"/>
      <c r="T7" s="29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31"/>
      <c r="BV7" s="31"/>
      <c r="BW7" s="32"/>
      <c r="BX7" s="32"/>
      <c r="BY7" s="32"/>
      <c r="BZ7" s="32"/>
      <c r="CA7" s="32"/>
      <c r="CB7" s="32"/>
      <c r="CC7" s="32"/>
      <c r="CD7" s="32"/>
      <c r="CE7" s="33"/>
    </row>
    <row r="8" s="1" customFormat="1" ht="18" customHeight="1" spans="1:83">
      <c r="A8" s="22"/>
      <c r="B8" s="23"/>
      <c r="C8" s="24" t="s">
        <v>93</v>
      </c>
      <c r="D8" s="25">
        <v>45931</v>
      </c>
      <c r="E8" s="25">
        <v>45955</v>
      </c>
      <c r="F8" s="24"/>
      <c r="G8" s="24"/>
      <c r="H8" s="27"/>
      <c r="I8" s="34"/>
      <c r="J8" s="34"/>
      <c r="K8" s="23"/>
      <c r="L8" s="23"/>
      <c r="M8" s="34"/>
      <c r="N8" s="27"/>
      <c r="O8" s="29"/>
      <c r="P8" s="29"/>
      <c r="Q8" s="29"/>
      <c r="R8" s="29"/>
      <c r="S8" s="29"/>
      <c r="T8" s="29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31"/>
      <c r="BV8" s="31"/>
      <c r="BW8" s="32"/>
      <c r="BX8" s="32"/>
      <c r="BY8" s="32"/>
      <c r="BZ8" s="32"/>
      <c r="CA8" s="32"/>
      <c r="CB8" s="32"/>
      <c r="CC8" s="32"/>
      <c r="CD8" s="32"/>
      <c r="CE8" s="33"/>
    </row>
    <row r="9" s="1" customFormat="1" ht="18" customHeight="1" spans="1:83">
      <c r="A9" s="22"/>
      <c r="B9" s="23" t="s">
        <v>95</v>
      </c>
      <c r="C9" s="24" t="s">
        <v>90</v>
      </c>
      <c r="D9" s="25">
        <v>45956</v>
      </c>
      <c r="E9" s="25">
        <v>45981</v>
      </c>
      <c r="F9" s="24"/>
      <c r="G9" s="24"/>
      <c r="H9" s="27"/>
      <c r="I9" s="27"/>
      <c r="J9" s="27"/>
      <c r="K9" s="24"/>
      <c r="L9" s="24"/>
      <c r="M9" s="27"/>
      <c r="N9" s="35"/>
      <c r="O9" s="35"/>
      <c r="P9" s="35"/>
      <c r="Q9" s="35"/>
      <c r="R9" s="35"/>
      <c r="S9" s="27"/>
      <c r="T9" s="27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7" t="s">
        <v>96</v>
      </c>
      <c r="AX9" s="28"/>
      <c r="AY9" s="28"/>
      <c r="AZ9" s="28"/>
      <c r="BA9" s="28"/>
      <c r="BB9" s="28"/>
      <c r="BC9" s="28"/>
      <c r="BD9" s="28"/>
      <c r="BE9" s="28"/>
      <c r="BF9" s="28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31"/>
      <c r="BV9" s="31"/>
      <c r="BW9" s="32"/>
      <c r="BX9" s="32"/>
      <c r="BY9" s="32"/>
      <c r="BZ9" s="32"/>
      <c r="CA9" s="32"/>
      <c r="CB9" s="32"/>
      <c r="CC9" s="32"/>
      <c r="CD9" s="32"/>
      <c r="CE9" s="33"/>
    </row>
    <row r="10" s="1" customFormat="1" ht="18" customHeight="1" spans="1:83">
      <c r="A10" s="22"/>
      <c r="B10" s="23"/>
      <c r="C10" s="24" t="s">
        <v>93</v>
      </c>
      <c r="D10" s="25">
        <v>45956</v>
      </c>
      <c r="E10" s="25">
        <v>45986</v>
      </c>
      <c r="F10" s="24"/>
      <c r="G10" s="24"/>
      <c r="H10" s="27"/>
      <c r="I10" s="27"/>
      <c r="J10" s="27"/>
      <c r="K10" s="24"/>
      <c r="L10" s="24"/>
      <c r="M10" s="27"/>
      <c r="N10" s="34"/>
      <c r="O10" s="34"/>
      <c r="P10" s="34"/>
      <c r="Q10" s="34"/>
      <c r="R10" s="34"/>
      <c r="S10" s="34"/>
      <c r="T10" s="27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31"/>
      <c r="BV10" s="31"/>
      <c r="BW10" s="32"/>
      <c r="BX10" s="32"/>
      <c r="BY10" s="32"/>
      <c r="BZ10" s="32"/>
      <c r="CA10" s="32"/>
      <c r="CB10" s="32"/>
      <c r="CC10" s="32"/>
      <c r="CD10" s="32"/>
      <c r="CE10" s="33"/>
    </row>
    <row r="11" s="1" customFormat="1" ht="18" customHeight="1" spans="1:83">
      <c r="A11" s="22"/>
      <c r="B11" s="23" t="s">
        <v>97</v>
      </c>
      <c r="C11" s="24" t="s">
        <v>90</v>
      </c>
      <c r="D11" s="25">
        <v>46133</v>
      </c>
      <c r="E11" s="25">
        <v>46152</v>
      </c>
      <c r="F11" s="24"/>
      <c r="G11" s="24"/>
      <c r="H11" s="27"/>
      <c r="I11" s="27"/>
      <c r="J11" s="27"/>
      <c r="K11" s="24"/>
      <c r="L11" s="24"/>
      <c r="M11" s="27"/>
      <c r="N11" s="27"/>
      <c r="O11" s="27"/>
      <c r="P11" s="27"/>
      <c r="Q11" s="27"/>
      <c r="R11" s="27"/>
      <c r="S11" s="27"/>
      <c r="T11" s="27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5"/>
      <c r="AX11" s="35"/>
      <c r="AY11" s="35"/>
      <c r="AZ11" s="35"/>
      <c r="BA11" s="27"/>
      <c r="BB11" s="27"/>
      <c r="BC11" s="27"/>
      <c r="BD11" s="38" t="s">
        <v>98</v>
      </c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40"/>
      <c r="BY11" s="32"/>
      <c r="BZ11" s="32"/>
      <c r="CA11" s="32"/>
      <c r="CB11" s="32"/>
      <c r="CC11" s="32"/>
      <c r="CD11" s="32"/>
      <c r="CE11" s="33"/>
    </row>
    <row r="12" s="1" customFormat="1" ht="18" customHeight="1" spans="1:83">
      <c r="A12" s="22"/>
      <c r="B12" s="23"/>
      <c r="C12" s="24" t="s">
        <v>93</v>
      </c>
      <c r="D12" s="25">
        <v>46133</v>
      </c>
      <c r="E12" s="25">
        <v>46153</v>
      </c>
      <c r="F12" s="24"/>
      <c r="G12" s="24"/>
      <c r="H12" s="27"/>
      <c r="I12" s="27"/>
      <c r="J12" s="27"/>
      <c r="K12" s="24"/>
      <c r="L12" s="24"/>
      <c r="M12" s="27"/>
      <c r="N12" s="27"/>
      <c r="O12" s="27"/>
      <c r="P12" s="27"/>
      <c r="Q12" s="27"/>
      <c r="R12" s="27"/>
      <c r="S12" s="27"/>
      <c r="T12" s="27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4"/>
      <c r="AX12" s="34"/>
      <c r="AY12" s="34"/>
      <c r="AZ12" s="34"/>
      <c r="BA12" s="41"/>
      <c r="BB12" s="42"/>
      <c r="BC12" s="42"/>
      <c r="BD12" s="43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5"/>
      <c r="BY12" s="42"/>
      <c r="BZ12" s="42"/>
      <c r="CA12" s="32"/>
      <c r="CB12" s="32"/>
      <c r="CC12" s="32"/>
      <c r="CD12" s="32"/>
      <c r="CE12" s="33"/>
    </row>
    <row r="13" s="1" customFormat="1" ht="18" customHeight="1" spans="1:83">
      <c r="A13" s="22"/>
      <c r="B13" s="23" t="s">
        <v>99</v>
      </c>
      <c r="C13" s="24" t="s">
        <v>90</v>
      </c>
      <c r="D13" s="25">
        <v>46153</v>
      </c>
      <c r="E13" s="25">
        <v>46162</v>
      </c>
      <c r="F13" s="24"/>
      <c r="G13" s="24"/>
      <c r="H13" s="27"/>
      <c r="I13" s="27"/>
      <c r="J13" s="27"/>
      <c r="K13" s="24"/>
      <c r="L13" s="24"/>
      <c r="M13" s="27"/>
      <c r="N13" s="27"/>
      <c r="O13" s="27"/>
      <c r="P13" s="27"/>
      <c r="Q13" s="27"/>
      <c r="R13" s="27"/>
      <c r="S13" s="27"/>
      <c r="T13" s="27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27"/>
      <c r="AX13" s="27"/>
      <c r="AY13" s="27"/>
      <c r="AZ13" s="27"/>
      <c r="BA13" s="46"/>
      <c r="BB13" s="47"/>
      <c r="BC13" s="27"/>
      <c r="BD13" s="27"/>
      <c r="BE13" s="38" t="s">
        <v>100</v>
      </c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40"/>
      <c r="BZ13" s="32"/>
      <c r="CA13" s="32"/>
      <c r="CB13" s="32"/>
      <c r="CC13" s="32"/>
      <c r="CD13" s="32"/>
      <c r="CE13" s="33"/>
    </row>
    <row r="14" s="1" customFormat="1" ht="18" customHeight="1" spans="1:83">
      <c r="A14" s="22"/>
      <c r="B14" s="23"/>
      <c r="C14" s="24" t="s">
        <v>93</v>
      </c>
      <c r="D14" s="25">
        <v>46154</v>
      </c>
      <c r="E14" s="25"/>
      <c r="F14" s="24"/>
      <c r="G14" s="24"/>
      <c r="H14" s="27"/>
      <c r="I14" s="27"/>
      <c r="J14" s="27"/>
      <c r="K14" s="24"/>
      <c r="L14" s="24"/>
      <c r="M14" s="27"/>
      <c r="N14" s="27"/>
      <c r="O14" s="27"/>
      <c r="P14" s="27"/>
      <c r="Q14" s="27"/>
      <c r="R14" s="27"/>
      <c r="S14" s="27"/>
      <c r="T14" s="27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27"/>
      <c r="AX14" s="27"/>
      <c r="AY14" s="27"/>
      <c r="AZ14" s="27"/>
      <c r="BA14" s="34"/>
      <c r="BB14" s="34"/>
      <c r="BC14" s="34"/>
      <c r="BD14" s="34"/>
      <c r="BE14" s="43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5"/>
      <c r="BZ14" s="32"/>
      <c r="CA14" s="32"/>
      <c r="CB14" s="32"/>
      <c r="CC14" s="32"/>
      <c r="CD14" s="32"/>
      <c r="CE14" s="33"/>
    </row>
    <row r="15" s="1" customFormat="1" ht="18" customHeight="1" spans="1:83">
      <c r="A15" s="22"/>
      <c r="B15" s="24" t="s">
        <v>101</v>
      </c>
      <c r="C15" s="24" t="s">
        <v>90</v>
      </c>
      <c r="D15" s="25">
        <v>46153</v>
      </c>
      <c r="E15" s="25">
        <v>46173</v>
      </c>
      <c r="F15" s="24"/>
      <c r="G15" s="24"/>
      <c r="H15" s="27"/>
      <c r="I15" s="27"/>
      <c r="J15" s="27"/>
      <c r="K15" s="24"/>
      <c r="L15" s="24"/>
      <c r="M15" s="27"/>
      <c r="N15" s="27"/>
      <c r="O15" s="27"/>
      <c r="P15" s="27"/>
      <c r="Q15" s="27"/>
      <c r="R15" s="27"/>
      <c r="S15" s="27"/>
      <c r="T15" s="27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27"/>
      <c r="AX15" s="27"/>
      <c r="AY15" s="27"/>
      <c r="AZ15" s="27"/>
      <c r="BA15" s="35"/>
      <c r="BB15" s="35"/>
      <c r="BC15" s="35"/>
      <c r="BD15" s="35"/>
      <c r="BE15" s="48"/>
      <c r="BF15" s="27"/>
      <c r="BG15" s="27"/>
      <c r="BH15" s="27"/>
      <c r="BI15" s="38" t="s">
        <v>102</v>
      </c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40"/>
      <c r="CC15" s="32"/>
      <c r="CD15" s="32"/>
      <c r="CE15" s="33"/>
    </row>
    <row r="16" s="1" customFormat="1" ht="18" customHeight="1" spans="1:83">
      <c r="A16" s="22"/>
      <c r="B16" s="24"/>
      <c r="C16" s="24" t="s">
        <v>93</v>
      </c>
      <c r="D16" s="25">
        <v>46155</v>
      </c>
      <c r="E16" s="25"/>
      <c r="F16" s="24"/>
      <c r="G16" s="24"/>
      <c r="H16" s="27"/>
      <c r="I16" s="27"/>
      <c r="J16" s="27"/>
      <c r="K16" s="24"/>
      <c r="L16" s="24"/>
      <c r="M16" s="27"/>
      <c r="N16" s="27"/>
      <c r="O16" s="27"/>
      <c r="P16" s="27"/>
      <c r="Q16" s="27"/>
      <c r="R16" s="27"/>
      <c r="S16" s="27"/>
      <c r="T16" s="27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27"/>
      <c r="AX16" s="27"/>
      <c r="AY16" s="27"/>
      <c r="AZ16" s="27"/>
      <c r="BA16" s="34"/>
      <c r="BB16" s="34"/>
      <c r="BC16" s="34"/>
      <c r="BD16" s="34"/>
      <c r="BE16" s="49"/>
      <c r="BF16" s="49"/>
      <c r="BG16" s="27"/>
      <c r="BH16" s="27"/>
      <c r="BI16" s="43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5"/>
      <c r="CC16" s="32"/>
      <c r="CD16" s="32"/>
      <c r="CE16" s="33"/>
    </row>
    <row r="17" s="1" customFormat="1" ht="18" customHeight="1" spans="1:83">
      <c r="A17" s="22"/>
      <c r="B17" s="24" t="s">
        <v>103</v>
      </c>
      <c r="C17" s="24" t="s">
        <v>90</v>
      </c>
      <c r="D17" s="25">
        <v>46174</v>
      </c>
      <c r="E17" s="25">
        <v>46183</v>
      </c>
      <c r="F17" s="24"/>
      <c r="G17" s="24"/>
      <c r="H17" s="27"/>
      <c r="I17" s="27"/>
      <c r="J17" s="27"/>
      <c r="K17" s="24"/>
      <c r="L17" s="24"/>
      <c r="M17" s="27"/>
      <c r="N17" s="27"/>
      <c r="O17" s="27"/>
      <c r="P17" s="27"/>
      <c r="Q17" s="27"/>
      <c r="R17" s="27"/>
      <c r="S17" s="27"/>
      <c r="T17" s="27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27"/>
      <c r="AX17" s="27"/>
      <c r="AY17" s="27"/>
      <c r="AZ17" s="27"/>
      <c r="BA17" s="27"/>
      <c r="BB17" s="27"/>
      <c r="BC17" s="27"/>
      <c r="BD17" s="27"/>
      <c r="BE17" s="35"/>
      <c r="BF17" s="35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31"/>
      <c r="BV17" s="31"/>
      <c r="BW17" s="32"/>
      <c r="BX17" s="32"/>
      <c r="BY17" s="32"/>
      <c r="BZ17" s="32"/>
      <c r="CA17" s="32"/>
      <c r="CB17" s="32"/>
      <c r="CC17" s="32"/>
      <c r="CD17" s="32"/>
      <c r="CE17" s="33"/>
    </row>
    <row r="18" s="1" customFormat="1" ht="18" customHeight="1" spans="1:83">
      <c r="A18" s="22"/>
      <c r="B18" s="24"/>
      <c r="C18" s="24" t="s">
        <v>93</v>
      </c>
      <c r="D18" s="25"/>
      <c r="E18" s="25"/>
      <c r="F18" s="24"/>
      <c r="G18" s="24"/>
      <c r="H18" s="27"/>
      <c r="I18" s="27"/>
      <c r="J18" s="27"/>
      <c r="K18" s="27"/>
      <c r="L18" s="50"/>
      <c r="M18" s="27"/>
      <c r="N18" s="27"/>
      <c r="O18" s="27"/>
      <c r="P18" s="27"/>
      <c r="Q18" s="27"/>
      <c r="R18" s="27"/>
      <c r="S18" s="27"/>
      <c r="T18" s="27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31"/>
      <c r="BV18" s="31"/>
      <c r="BW18" s="32"/>
      <c r="BX18" s="32"/>
      <c r="BY18" s="32"/>
      <c r="BZ18" s="32"/>
      <c r="CA18" s="32"/>
      <c r="CB18" s="32"/>
      <c r="CC18" s="32"/>
      <c r="CD18" s="32"/>
      <c r="CE18" s="33"/>
    </row>
    <row r="19" s="1" customFormat="1" ht="18" customHeight="1" spans="1:83">
      <c r="A19" s="22"/>
      <c r="B19" s="24" t="s">
        <v>104</v>
      </c>
      <c r="C19" s="24" t="s">
        <v>90</v>
      </c>
      <c r="D19" s="25">
        <v>46184</v>
      </c>
      <c r="E19" s="25">
        <v>46203</v>
      </c>
      <c r="F19" s="24"/>
      <c r="G19" s="24"/>
      <c r="H19" s="27"/>
      <c r="I19" s="27"/>
      <c r="J19" s="27"/>
      <c r="K19" s="27"/>
      <c r="L19" s="50"/>
      <c r="M19" s="27"/>
      <c r="N19" s="27"/>
      <c r="O19" s="27"/>
      <c r="P19" s="27"/>
      <c r="Q19" s="27"/>
      <c r="R19" s="27"/>
      <c r="S19" s="27"/>
      <c r="T19" s="27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35"/>
      <c r="BH19" s="35"/>
      <c r="BI19" s="35"/>
      <c r="BJ19" s="35"/>
      <c r="BK19" s="51"/>
      <c r="BL19" s="27"/>
      <c r="BM19" s="27"/>
      <c r="BN19" s="27"/>
      <c r="BO19" s="27"/>
      <c r="BP19" s="27"/>
      <c r="BQ19" s="27"/>
      <c r="BR19" s="27"/>
      <c r="BS19" s="27"/>
      <c r="BT19" s="27"/>
      <c r="BU19" s="31"/>
      <c r="BV19" s="31"/>
      <c r="BW19" s="32"/>
      <c r="BX19" s="32"/>
      <c r="BY19" s="32"/>
      <c r="BZ19" s="32"/>
      <c r="CA19" s="32"/>
      <c r="CB19" s="32"/>
      <c r="CC19" s="32"/>
      <c r="CD19" s="32"/>
      <c r="CE19" s="33"/>
    </row>
    <row r="20" s="1" customFormat="1" ht="18" customHeight="1" spans="1:83">
      <c r="A20" s="22"/>
      <c r="B20" s="24"/>
      <c r="C20" s="24" t="s">
        <v>93</v>
      </c>
      <c r="D20" s="25"/>
      <c r="E20" s="25"/>
      <c r="F20" s="24"/>
      <c r="G20" s="24"/>
      <c r="H20" s="27"/>
      <c r="I20" s="27"/>
      <c r="J20" s="27"/>
      <c r="K20" s="27"/>
      <c r="L20" s="50"/>
      <c r="M20" s="27"/>
      <c r="N20" s="27"/>
      <c r="O20" s="50"/>
      <c r="P20" s="27"/>
      <c r="Q20" s="27"/>
      <c r="R20" s="27"/>
      <c r="S20" s="31"/>
      <c r="T20" s="31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2"/>
      <c r="BX20" s="32"/>
      <c r="BY20" s="32"/>
      <c r="BZ20" s="32"/>
      <c r="CA20" s="32"/>
      <c r="CB20" s="32"/>
      <c r="CC20" s="32"/>
      <c r="CD20" s="32"/>
      <c r="CE20" s="33"/>
    </row>
    <row r="21" s="1" customFormat="1" ht="18" customHeight="1" spans="1:83">
      <c r="A21" s="6" t="s">
        <v>105</v>
      </c>
      <c r="B21" s="52" t="s">
        <v>106</v>
      </c>
      <c r="C21" s="24" t="s">
        <v>90</v>
      </c>
      <c r="D21" s="25">
        <v>45962</v>
      </c>
      <c r="E21" s="25">
        <v>45971</v>
      </c>
      <c r="F21" s="24"/>
      <c r="G21" s="24"/>
      <c r="H21" s="27"/>
      <c r="I21" s="27"/>
      <c r="J21" s="27"/>
      <c r="K21" s="27"/>
      <c r="L21" s="50"/>
      <c r="M21" s="27"/>
      <c r="N21" s="27"/>
      <c r="O21" s="36"/>
      <c r="P21" s="35"/>
      <c r="Q21" s="27"/>
      <c r="R21" s="27"/>
      <c r="S21" s="31"/>
      <c r="T21" s="31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2"/>
      <c r="BX21" s="32"/>
      <c r="BY21" s="32"/>
      <c r="BZ21" s="32"/>
      <c r="CA21" s="32"/>
      <c r="CB21" s="32"/>
      <c r="CC21" s="32"/>
      <c r="CD21" s="32"/>
      <c r="CE21" s="33"/>
    </row>
    <row r="22" s="1" customFormat="1" ht="18" customHeight="1" spans="1:83">
      <c r="A22" s="6"/>
      <c r="B22" s="52"/>
      <c r="C22" s="24" t="s">
        <v>93</v>
      </c>
      <c r="D22" s="25">
        <v>45962</v>
      </c>
      <c r="E22" s="25">
        <v>45971</v>
      </c>
      <c r="F22" s="24"/>
      <c r="G22" s="24"/>
      <c r="H22" s="27"/>
      <c r="I22" s="27"/>
      <c r="J22" s="27"/>
      <c r="K22" s="27"/>
      <c r="L22" s="50"/>
      <c r="M22" s="27"/>
      <c r="N22" s="27"/>
      <c r="O22" s="53"/>
      <c r="P22" s="34"/>
      <c r="Q22" s="27"/>
      <c r="R22" s="27"/>
      <c r="S22" s="31"/>
      <c r="T22" s="31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2"/>
      <c r="BX22" s="32"/>
      <c r="BY22" s="32"/>
      <c r="BZ22" s="32"/>
      <c r="CA22" s="32"/>
      <c r="CB22" s="32"/>
      <c r="CC22" s="32"/>
      <c r="CD22" s="32"/>
      <c r="CE22" s="33"/>
    </row>
    <row r="23" s="1" customFormat="1" ht="18" customHeight="1" spans="1:83">
      <c r="A23" s="6"/>
      <c r="B23" s="52" t="s">
        <v>107</v>
      </c>
      <c r="C23" s="24" t="s">
        <v>90</v>
      </c>
      <c r="D23" s="25">
        <v>45972</v>
      </c>
      <c r="E23" s="25" t="s">
        <v>108</v>
      </c>
      <c r="F23" s="24"/>
      <c r="G23" s="24"/>
      <c r="H23" s="27"/>
      <c r="I23" s="27"/>
      <c r="J23" s="27"/>
      <c r="K23" s="27"/>
      <c r="L23" s="50"/>
      <c r="M23" s="27"/>
      <c r="N23" s="27"/>
      <c r="O23" s="50"/>
      <c r="P23" s="27"/>
      <c r="Q23" s="35"/>
      <c r="R23" s="35"/>
      <c r="S23" s="54"/>
      <c r="T23" s="54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1"/>
      <c r="AX23" s="31"/>
      <c r="AY23" s="31"/>
      <c r="AZ23" s="31"/>
      <c r="BA23" s="31"/>
      <c r="BB23" s="31"/>
      <c r="BC23" s="37" t="s">
        <v>109</v>
      </c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31"/>
      <c r="BU23" s="31"/>
      <c r="BV23" s="31"/>
      <c r="BW23" s="32"/>
      <c r="BX23" s="32"/>
      <c r="BY23" s="32"/>
      <c r="BZ23" s="32"/>
      <c r="CA23" s="32"/>
      <c r="CB23" s="32"/>
      <c r="CC23" s="32"/>
      <c r="CD23" s="32"/>
      <c r="CE23" s="33"/>
    </row>
    <row r="24" s="1" customFormat="1" ht="18" customHeight="1" spans="1:83">
      <c r="A24" s="6"/>
      <c r="B24" s="52"/>
      <c r="C24" s="24" t="s">
        <v>93</v>
      </c>
      <c r="D24" s="25">
        <v>45972</v>
      </c>
      <c r="E24" s="25">
        <v>46162</v>
      </c>
      <c r="F24" s="24"/>
      <c r="G24" s="24"/>
      <c r="H24" s="27"/>
      <c r="I24" s="27"/>
      <c r="J24" s="27"/>
      <c r="K24" s="27"/>
      <c r="L24" s="50"/>
      <c r="M24" s="27"/>
      <c r="N24" s="27"/>
      <c r="O24" s="50"/>
      <c r="P24" s="27"/>
      <c r="Q24" s="34"/>
      <c r="R24" s="34"/>
      <c r="S24" s="55"/>
      <c r="T24" s="55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56"/>
      <c r="AX24" s="56"/>
      <c r="AY24" s="41"/>
      <c r="AZ24" s="41"/>
      <c r="BA24" s="41"/>
      <c r="BB24" s="41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42"/>
      <c r="BU24" s="31"/>
      <c r="BV24" s="31"/>
      <c r="BW24" s="32"/>
      <c r="BX24" s="32"/>
      <c r="BY24" s="32"/>
      <c r="BZ24" s="32"/>
      <c r="CA24" s="32"/>
      <c r="CB24" s="32"/>
      <c r="CC24" s="32"/>
      <c r="CD24" s="32"/>
      <c r="CE24" s="33"/>
    </row>
    <row r="25" s="1" customFormat="1" ht="18" customHeight="1" spans="1:83">
      <c r="A25" s="6"/>
      <c r="B25" s="8" t="s">
        <v>110</v>
      </c>
      <c r="C25" s="24" t="s">
        <v>90</v>
      </c>
      <c r="D25" s="25">
        <v>46133</v>
      </c>
      <c r="E25" s="25">
        <v>46157</v>
      </c>
      <c r="F25" s="24"/>
      <c r="G25" s="24"/>
      <c r="H25" s="27"/>
      <c r="I25" s="27"/>
      <c r="J25" s="27"/>
      <c r="K25" s="27"/>
      <c r="L25" s="50"/>
      <c r="M25" s="27"/>
      <c r="N25" s="27"/>
      <c r="O25" s="50"/>
      <c r="P25" s="27"/>
      <c r="Q25" s="27"/>
      <c r="R25" s="27"/>
      <c r="S25" s="31"/>
      <c r="T25" s="31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54"/>
      <c r="AX25" s="54"/>
      <c r="AY25" s="54"/>
      <c r="AZ25" s="54"/>
      <c r="BA25" s="54"/>
      <c r="BB25" s="31"/>
      <c r="BC25" s="31"/>
      <c r="BD25" s="31"/>
      <c r="BE25" s="31"/>
      <c r="BF25" s="31"/>
      <c r="BG25" s="31"/>
      <c r="BH25" s="38" t="s">
        <v>111</v>
      </c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40"/>
      <c r="BW25" s="32"/>
      <c r="BX25" s="32"/>
      <c r="BY25" s="32"/>
      <c r="BZ25" s="32"/>
      <c r="CA25" s="32"/>
      <c r="CB25" s="32"/>
      <c r="CC25" s="32"/>
      <c r="CD25" s="32"/>
      <c r="CE25" s="33"/>
    </row>
    <row r="26" s="1" customFormat="1" ht="18" customHeight="1" spans="1:83">
      <c r="A26" s="6"/>
      <c r="B26" s="8"/>
      <c r="C26" s="24" t="s">
        <v>93</v>
      </c>
      <c r="D26" s="25"/>
      <c r="E26" s="25"/>
      <c r="F26" s="24"/>
      <c r="G26" s="24"/>
      <c r="H26" s="27"/>
      <c r="I26" s="27"/>
      <c r="J26" s="27"/>
      <c r="K26" s="27"/>
      <c r="L26" s="50"/>
      <c r="M26" s="27"/>
      <c r="N26" s="27"/>
      <c r="O26" s="50"/>
      <c r="P26" s="27"/>
      <c r="Q26" s="27"/>
      <c r="R26" s="27"/>
      <c r="S26" s="31"/>
      <c r="T26" s="31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57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9"/>
      <c r="BW26" s="32"/>
      <c r="BX26" s="32"/>
      <c r="BY26" s="32"/>
      <c r="BZ26" s="32"/>
      <c r="CA26" s="32"/>
      <c r="CB26" s="32"/>
      <c r="CC26" s="32"/>
      <c r="CD26" s="32"/>
      <c r="CE26" s="33"/>
    </row>
    <row r="27" s="1" customFormat="1" ht="18" customHeight="1" spans="1:83">
      <c r="A27" s="6"/>
      <c r="B27" s="8" t="s">
        <v>112</v>
      </c>
      <c r="C27" s="24" t="s">
        <v>90</v>
      </c>
      <c r="D27" s="25">
        <v>46158</v>
      </c>
      <c r="E27" s="25">
        <v>46167</v>
      </c>
      <c r="F27" s="24"/>
      <c r="G27" s="24"/>
      <c r="H27" s="27"/>
      <c r="I27" s="27"/>
      <c r="J27" s="27"/>
      <c r="K27" s="27"/>
      <c r="L27" s="50"/>
      <c r="M27" s="27"/>
      <c r="N27" s="27"/>
      <c r="O27" s="50"/>
      <c r="P27" s="27"/>
      <c r="Q27" s="27"/>
      <c r="R27" s="27"/>
      <c r="S27" s="31"/>
      <c r="T27" s="31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1"/>
      <c r="AX27" s="31"/>
      <c r="AY27" s="31"/>
      <c r="AZ27" s="31"/>
      <c r="BA27" s="31"/>
      <c r="BB27" s="54"/>
      <c r="BC27" s="54"/>
      <c r="BD27" s="31"/>
      <c r="BE27" s="31"/>
      <c r="BF27" s="31"/>
      <c r="BG27" s="31"/>
      <c r="BH27" s="57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58"/>
      <c r="BU27" s="58"/>
      <c r="BV27" s="59"/>
      <c r="BW27" s="32"/>
      <c r="BX27" s="32"/>
      <c r="BY27" s="32"/>
      <c r="BZ27" s="32"/>
      <c r="CA27" s="32"/>
      <c r="CB27" s="32"/>
      <c r="CC27" s="32"/>
      <c r="CD27" s="32"/>
      <c r="CE27" s="33"/>
    </row>
    <row r="28" s="1" customFormat="1" ht="18" customHeight="1" spans="1:83">
      <c r="A28" s="6"/>
      <c r="B28" s="8"/>
      <c r="C28" s="24" t="s">
        <v>93</v>
      </c>
      <c r="D28" s="25"/>
      <c r="E28" s="25"/>
      <c r="F28" s="24"/>
      <c r="G28" s="24"/>
      <c r="H28" s="27"/>
      <c r="I28" s="27"/>
      <c r="J28" s="27"/>
      <c r="K28" s="27"/>
      <c r="L28" s="50"/>
      <c r="M28" s="27"/>
      <c r="N28" s="27"/>
      <c r="O28" s="50"/>
      <c r="P28" s="27"/>
      <c r="Q28" s="27"/>
      <c r="R28" s="27"/>
      <c r="S28" s="31"/>
      <c r="T28" s="31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57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9"/>
      <c r="BW28" s="32"/>
      <c r="BX28" s="32"/>
      <c r="BY28" s="32"/>
      <c r="BZ28" s="32"/>
      <c r="CA28" s="32"/>
      <c r="CB28" s="32"/>
      <c r="CC28" s="32"/>
      <c r="CD28" s="32"/>
      <c r="CE28" s="33"/>
    </row>
    <row r="29" s="1" customFormat="1" ht="18" customHeight="1" spans="1:83">
      <c r="A29" s="6"/>
      <c r="B29" s="8" t="s">
        <v>113</v>
      </c>
      <c r="C29" s="24" t="s">
        <v>90</v>
      </c>
      <c r="D29" s="25">
        <v>46168</v>
      </c>
      <c r="E29" s="25">
        <v>46173</v>
      </c>
      <c r="F29" s="24"/>
      <c r="G29" s="24"/>
      <c r="H29" s="27"/>
      <c r="I29" s="27"/>
      <c r="J29" s="27"/>
      <c r="K29" s="27"/>
      <c r="L29" s="50"/>
      <c r="M29" s="27"/>
      <c r="N29" s="27"/>
      <c r="O29" s="50"/>
      <c r="P29" s="27"/>
      <c r="Q29" s="27"/>
      <c r="R29" s="27"/>
      <c r="S29" s="31"/>
      <c r="T29" s="31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1"/>
      <c r="AX29" s="31"/>
      <c r="AY29" s="31"/>
      <c r="AZ29" s="31"/>
      <c r="BA29" s="31"/>
      <c r="BB29" s="31"/>
      <c r="BC29" s="60"/>
      <c r="BD29" s="54"/>
      <c r="BE29" s="31"/>
      <c r="BF29" s="31"/>
      <c r="BG29" s="31"/>
      <c r="BH29" s="57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9"/>
      <c r="BW29" s="32"/>
      <c r="BX29" s="32"/>
      <c r="BY29" s="32"/>
      <c r="BZ29" s="32"/>
      <c r="CA29" s="32"/>
      <c r="CB29" s="32"/>
      <c r="CC29" s="32"/>
      <c r="CD29" s="32"/>
      <c r="CE29" s="33"/>
    </row>
    <row r="30" s="1" customFormat="1" ht="18" customHeight="1" spans="1:83">
      <c r="A30" s="6"/>
      <c r="B30" s="8"/>
      <c r="C30" s="24" t="s">
        <v>93</v>
      </c>
      <c r="D30" s="25"/>
      <c r="E30" s="25"/>
      <c r="F30" s="24"/>
      <c r="G30" s="24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43"/>
      <c r="BI30" s="44"/>
      <c r="BJ30" s="44"/>
      <c r="BK30" s="44"/>
      <c r="BL30" s="44"/>
      <c r="BM30" s="44"/>
      <c r="BN30" s="44"/>
      <c r="BO30" s="44"/>
      <c r="BP30" s="44"/>
      <c r="BQ30" s="44"/>
      <c r="BR30" s="44"/>
      <c r="BS30" s="44"/>
      <c r="BT30" s="44"/>
      <c r="BU30" s="44"/>
      <c r="BV30" s="45"/>
      <c r="BW30" s="32"/>
      <c r="BX30" s="32"/>
      <c r="BY30" s="32"/>
      <c r="BZ30" s="32"/>
      <c r="CA30" s="32"/>
      <c r="CB30" s="32"/>
      <c r="CC30" s="32"/>
      <c r="CD30" s="32"/>
      <c r="CE30" s="33"/>
    </row>
    <row r="31" s="1" customFormat="1" ht="18" customHeight="1" spans="1:83">
      <c r="A31" s="61" t="s">
        <v>114</v>
      </c>
      <c r="B31" s="62" t="s">
        <v>115</v>
      </c>
      <c r="C31" s="24" t="s">
        <v>90</v>
      </c>
      <c r="D31" s="25">
        <v>46163</v>
      </c>
      <c r="E31" s="25">
        <v>46188</v>
      </c>
      <c r="F31" s="24"/>
      <c r="G31" s="24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1"/>
      <c r="AX31" s="31"/>
      <c r="AY31" s="31"/>
      <c r="AZ31" s="31"/>
      <c r="BA31" s="31"/>
      <c r="BB31" s="31"/>
      <c r="BC31" s="54"/>
      <c r="BD31" s="54"/>
      <c r="BE31" s="54"/>
      <c r="BF31" s="54"/>
      <c r="BG31" s="54"/>
      <c r="BH31" s="60"/>
      <c r="BI31" s="31"/>
      <c r="BJ31" s="31"/>
      <c r="BK31" s="31"/>
      <c r="BL31" s="31"/>
      <c r="BM31" s="31"/>
      <c r="BN31" s="63" t="s">
        <v>116</v>
      </c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5"/>
      <c r="BZ31" s="32"/>
      <c r="CA31" s="32"/>
      <c r="CB31" s="32"/>
      <c r="CC31" s="32"/>
      <c r="CD31" s="32"/>
      <c r="CE31" s="33"/>
    </row>
    <row r="32" s="1" customFormat="1" ht="18" customHeight="1" spans="1:83">
      <c r="A32" s="61"/>
      <c r="B32" s="62"/>
      <c r="C32" s="24" t="s">
        <v>93</v>
      </c>
      <c r="D32" s="25"/>
      <c r="E32" s="25"/>
      <c r="F32" s="24"/>
      <c r="G32" s="24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66"/>
      <c r="BO32" s="67"/>
      <c r="BP32" s="67"/>
      <c r="BQ32" s="67"/>
      <c r="BR32" s="67"/>
      <c r="BS32" s="67"/>
      <c r="BT32" s="67"/>
      <c r="BU32" s="67"/>
      <c r="BV32" s="67"/>
      <c r="BW32" s="67"/>
      <c r="BX32" s="67"/>
      <c r="BY32" s="68"/>
      <c r="BZ32" s="32"/>
      <c r="CA32" s="32"/>
      <c r="CB32" s="32"/>
      <c r="CC32" s="32"/>
      <c r="CD32" s="32"/>
      <c r="CE32" s="33"/>
    </row>
    <row r="33" s="1" customFormat="1" ht="18" customHeight="1" spans="1:83">
      <c r="A33" s="61"/>
      <c r="B33" s="62" t="s">
        <v>117</v>
      </c>
      <c r="C33" s="24" t="s">
        <v>90</v>
      </c>
      <c r="D33" s="25">
        <v>46189</v>
      </c>
      <c r="E33" s="25">
        <v>46213</v>
      </c>
      <c r="F33" s="24"/>
      <c r="G33" s="24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54"/>
      <c r="BI33" s="54"/>
      <c r="BJ33" s="54"/>
      <c r="BK33" s="54"/>
      <c r="BL33" s="54"/>
      <c r="BM33" s="60"/>
      <c r="BN33" s="31"/>
      <c r="BO33" s="31"/>
      <c r="BP33" s="31"/>
      <c r="BQ33" s="31"/>
      <c r="BR33" s="31"/>
      <c r="BS33" s="31"/>
      <c r="BT33" s="31"/>
      <c r="BU33" s="31"/>
      <c r="BV33" s="31"/>
      <c r="BW33" s="32"/>
      <c r="BX33" s="32"/>
      <c r="BY33" s="32"/>
      <c r="BZ33" s="32"/>
      <c r="CA33" s="32"/>
      <c r="CB33" s="32"/>
      <c r="CC33" s="32"/>
      <c r="CD33" s="32"/>
      <c r="CE33" s="33"/>
    </row>
    <row r="34" s="1" customFormat="1" ht="18" customHeight="1" spans="1:83">
      <c r="A34" s="61"/>
      <c r="B34" s="62"/>
      <c r="C34" s="24" t="s">
        <v>93</v>
      </c>
      <c r="D34" s="25"/>
      <c r="E34" s="25"/>
      <c r="F34" s="24"/>
      <c r="G34" s="24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2"/>
      <c r="BX34" s="32"/>
      <c r="BY34" s="32"/>
      <c r="BZ34" s="32"/>
      <c r="CA34" s="32"/>
      <c r="CB34" s="32"/>
      <c r="CC34" s="32"/>
      <c r="CD34" s="32"/>
      <c r="CE34" s="33"/>
    </row>
    <row r="35" s="1" customFormat="1" ht="18" customHeight="1" spans="1:83">
      <c r="A35" s="61"/>
      <c r="B35" s="62" t="s">
        <v>118</v>
      </c>
      <c r="C35" s="24" t="s">
        <v>90</v>
      </c>
      <c r="D35" s="25">
        <v>46189</v>
      </c>
      <c r="E35" s="25">
        <v>46213</v>
      </c>
      <c r="F35" s="24"/>
      <c r="G35" s="24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54"/>
      <c r="BI35" s="54"/>
      <c r="BJ35" s="54"/>
      <c r="BK35" s="54"/>
      <c r="BL35" s="54"/>
      <c r="BM35" s="60"/>
      <c r="BN35" s="31"/>
      <c r="BO35" s="31"/>
      <c r="BP35" s="31"/>
      <c r="BQ35" s="31"/>
      <c r="BR35" s="31"/>
      <c r="BS35" s="31"/>
      <c r="BT35" s="31"/>
      <c r="BU35" s="31"/>
      <c r="BV35" s="31"/>
      <c r="BW35" s="32"/>
      <c r="BX35" s="32"/>
      <c r="BY35" s="32"/>
      <c r="BZ35" s="32"/>
      <c r="CA35" s="32"/>
      <c r="CB35" s="32"/>
      <c r="CC35" s="32"/>
      <c r="CD35" s="32"/>
      <c r="CE35" s="33"/>
    </row>
    <row r="36" s="1" customFormat="1" ht="18" customHeight="1" spans="1:83">
      <c r="A36" s="61"/>
      <c r="B36" s="62"/>
      <c r="C36" s="24" t="s">
        <v>93</v>
      </c>
      <c r="D36" s="25"/>
      <c r="E36" s="25"/>
      <c r="F36" s="24"/>
      <c r="G36" s="24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2"/>
      <c r="BX36" s="32"/>
      <c r="BY36" s="32"/>
      <c r="BZ36" s="32"/>
      <c r="CA36" s="32"/>
      <c r="CB36" s="32"/>
      <c r="CC36" s="32"/>
      <c r="CD36" s="32"/>
      <c r="CE36" s="33"/>
    </row>
    <row r="37" s="1" customFormat="1" ht="18" customHeight="1" spans="1:83">
      <c r="A37" s="61"/>
      <c r="B37" s="62" t="s">
        <v>119</v>
      </c>
      <c r="C37" s="24" t="s">
        <v>90</v>
      </c>
      <c r="D37" s="25">
        <v>46214</v>
      </c>
      <c r="E37" s="25">
        <v>46239</v>
      </c>
      <c r="F37" s="24"/>
      <c r="G37" s="24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54"/>
      <c r="BN37" s="54"/>
      <c r="BO37" s="54"/>
      <c r="BP37" s="54"/>
      <c r="BQ37" s="54"/>
      <c r="BR37" s="60"/>
      <c r="BS37" s="31"/>
      <c r="BT37" s="31"/>
      <c r="BU37" s="31"/>
      <c r="BV37" s="31"/>
      <c r="BW37" s="32"/>
      <c r="BX37" s="32"/>
      <c r="BY37" s="32"/>
      <c r="BZ37" s="32"/>
      <c r="CA37" s="32"/>
      <c r="CB37" s="32"/>
      <c r="CC37" s="32"/>
      <c r="CD37" s="32"/>
      <c r="CE37" s="33"/>
    </row>
    <row r="38" s="1" customFormat="1" ht="18" customHeight="1" spans="1:83">
      <c r="A38" s="61"/>
      <c r="B38" s="62"/>
      <c r="C38" s="24" t="s">
        <v>93</v>
      </c>
      <c r="D38" s="25"/>
      <c r="E38" s="25"/>
      <c r="F38" s="24"/>
      <c r="G38" s="24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2"/>
      <c r="BX38" s="32"/>
      <c r="BY38" s="32"/>
      <c r="BZ38" s="32"/>
      <c r="CA38" s="32"/>
      <c r="CB38" s="32"/>
      <c r="CC38" s="32"/>
      <c r="CD38" s="32"/>
      <c r="CE38" s="33"/>
    </row>
    <row r="39" s="1" customFormat="1" ht="18" customHeight="1" spans="1:83">
      <c r="A39" s="6" t="s">
        <v>120</v>
      </c>
      <c r="B39" s="62" t="s">
        <v>121</v>
      </c>
      <c r="C39" s="24" t="s">
        <v>90</v>
      </c>
      <c r="D39" s="25">
        <v>46174</v>
      </c>
      <c r="E39" s="25">
        <v>46208</v>
      </c>
      <c r="F39" s="24"/>
      <c r="G39" s="24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1"/>
      <c r="AX39" s="31"/>
      <c r="AY39" s="31"/>
      <c r="AZ39" s="31"/>
      <c r="BA39" s="31"/>
      <c r="BB39" s="31"/>
      <c r="BC39" s="31"/>
      <c r="BD39" s="60"/>
      <c r="BE39" s="54"/>
      <c r="BF39" s="54"/>
      <c r="BG39" s="54"/>
      <c r="BH39" s="54"/>
      <c r="BI39" s="54"/>
      <c r="BJ39" s="54"/>
      <c r="BK39" s="54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2"/>
      <c r="BX39" s="32"/>
      <c r="BY39" s="32"/>
      <c r="BZ39" s="32"/>
      <c r="CA39" s="32"/>
      <c r="CB39" s="32"/>
      <c r="CC39" s="32"/>
      <c r="CD39" s="32"/>
      <c r="CE39" s="33"/>
    </row>
    <row r="40" s="1" customFormat="1" ht="18" customHeight="1" spans="1:83">
      <c r="A40" s="6"/>
      <c r="B40" s="62"/>
      <c r="C40" s="24" t="s">
        <v>93</v>
      </c>
      <c r="D40" s="25"/>
      <c r="E40" s="25"/>
      <c r="F40" s="24"/>
      <c r="G40" s="24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2"/>
      <c r="BX40" s="32"/>
      <c r="BY40" s="32"/>
      <c r="BZ40" s="32"/>
      <c r="CA40" s="32"/>
      <c r="CB40" s="32"/>
      <c r="CC40" s="32"/>
      <c r="CD40" s="32"/>
      <c r="CE40" s="33"/>
    </row>
    <row r="41" s="1" customFormat="1" ht="18" customHeight="1" spans="1:83">
      <c r="A41" s="6"/>
      <c r="B41" s="62" t="s">
        <v>122</v>
      </c>
      <c r="C41" s="24" t="s">
        <v>90</v>
      </c>
      <c r="D41" s="25">
        <v>46209</v>
      </c>
      <c r="E41" s="25">
        <v>46234</v>
      </c>
      <c r="F41" s="24"/>
      <c r="G41" s="24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54"/>
      <c r="BM41" s="54"/>
      <c r="BN41" s="54"/>
      <c r="BO41" s="54"/>
      <c r="BP41" s="54"/>
      <c r="BQ41" s="60"/>
      <c r="BR41" s="31"/>
      <c r="BS41" s="31"/>
      <c r="BT41" s="31"/>
      <c r="BU41" s="31"/>
      <c r="BV41" s="31"/>
      <c r="BW41" s="32"/>
      <c r="BX41" s="32"/>
      <c r="BY41" s="32"/>
      <c r="BZ41" s="32"/>
      <c r="CA41" s="32"/>
      <c r="CB41" s="32"/>
      <c r="CC41" s="32"/>
      <c r="CD41" s="32"/>
      <c r="CE41" s="33"/>
    </row>
    <row r="42" s="1" customFormat="1" ht="18" customHeight="1" spans="1:83">
      <c r="A42" s="6"/>
      <c r="B42" s="62"/>
      <c r="C42" s="24" t="s">
        <v>93</v>
      </c>
      <c r="D42" s="25"/>
      <c r="E42" s="25"/>
      <c r="F42" s="24"/>
      <c r="G42" s="24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2"/>
      <c r="BX42" s="32"/>
      <c r="BY42" s="32"/>
      <c r="BZ42" s="32"/>
      <c r="CA42" s="32"/>
      <c r="CB42" s="32"/>
      <c r="CC42" s="32"/>
      <c r="CD42" s="32"/>
      <c r="CE42" s="33"/>
    </row>
    <row r="43" s="1" customFormat="1" ht="18" customHeight="1" spans="1:83">
      <c r="A43" s="6"/>
      <c r="B43" s="62" t="s">
        <v>123</v>
      </c>
      <c r="C43" s="24" t="s">
        <v>90</v>
      </c>
      <c r="D43" s="25">
        <v>46235</v>
      </c>
      <c r="E43" s="25">
        <v>46265</v>
      </c>
      <c r="F43" s="24"/>
      <c r="G43" s="24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54"/>
      <c r="BR43" s="54"/>
      <c r="BS43" s="54"/>
      <c r="BT43" s="54"/>
      <c r="BU43" s="54"/>
      <c r="BV43" s="54"/>
      <c r="BW43" s="32"/>
      <c r="BX43" s="32"/>
      <c r="BY43" s="32"/>
      <c r="BZ43" s="32"/>
      <c r="CA43" s="32"/>
      <c r="CB43" s="32"/>
      <c r="CC43" s="32"/>
      <c r="CD43" s="32"/>
      <c r="CE43" s="33"/>
    </row>
    <row r="44" s="1" customFormat="1" ht="18" customHeight="1" spans="1:83">
      <c r="A44" s="6"/>
      <c r="B44" s="62"/>
      <c r="C44" s="24" t="s">
        <v>93</v>
      </c>
      <c r="D44" s="25"/>
      <c r="E44" s="25"/>
      <c r="F44" s="24"/>
      <c r="G44" s="24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2"/>
      <c r="BX44" s="32"/>
      <c r="BY44" s="32"/>
      <c r="BZ44" s="32"/>
      <c r="CA44" s="32"/>
      <c r="CB44" s="32"/>
      <c r="CC44" s="32"/>
      <c r="CD44" s="32"/>
      <c r="CE44" s="33"/>
    </row>
    <row r="45" s="1" customFormat="1" ht="18" customHeight="1" spans="1:83">
      <c r="A45" s="61" t="s">
        <v>124</v>
      </c>
      <c r="B45" s="62" t="s">
        <v>125</v>
      </c>
      <c r="C45" s="24" t="s">
        <v>90</v>
      </c>
      <c r="D45" s="25">
        <v>46266</v>
      </c>
      <c r="E45" s="25">
        <v>46275</v>
      </c>
      <c r="F45" s="24"/>
      <c r="G45" s="24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69"/>
      <c r="BX45" s="69"/>
      <c r="BY45" s="32"/>
      <c r="BZ45" s="32"/>
      <c r="CA45" s="32"/>
      <c r="CB45" s="32"/>
      <c r="CC45" s="32"/>
      <c r="CD45" s="32"/>
      <c r="CE45" s="33"/>
    </row>
    <row r="46" s="1" customFormat="1" ht="18" customHeight="1" spans="1:83">
      <c r="A46" s="61"/>
      <c r="B46" s="62"/>
      <c r="C46" s="24" t="s">
        <v>93</v>
      </c>
      <c r="D46" s="25"/>
      <c r="E46" s="25"/>
      <c r="F46" s="24"/>
      <c r="G46" s="24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2"/>
      <c r="BX46" s="32"/>
      <c r="BY46" s="32"/>
      <c r="BZ46" s="32"/>
      <c r="CA46" s="32"/>
      <c r="CB46" s="32"/>
      <c r="CC46" s="32"/>
      <c r="CD46" s="32"/>
      <c r="CE46" s="33"/>
    </row>
    <row r="47" s="1" customFormat="1" ht="18" customHeight="1" spans="1:83">
      <c r="A47" s="61"/>
      <c r="B47" s="62" t="s">
        <v>126</v>
      </c>
      <c r="C47" s="24" t="s">
        <v>90</v>
      </c>
      <c r="D47" s="25">
        <v>46276</v>
      </c>
      <c r="E47" s="25">
        <v>46285</v>
      </c>
      <c r="F47" s="24"/>
      <c r="G47" s="24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2"/>
      <c r="BX47" s="32"/>
      <c r="BY47" s="69"/>
      <c r="BZ47" s="69"/>
      <c r="CA47" s="32"/>
      <c r="CB47" s="32"/>
      <c r="CC47" s="32"/>
      <c r="CD47" s="32"/>
      <c r="CE47" s="33"/>
    </row>
    <row r="48" s="1" customFormat="1" ht="18" customHeight="1" spans="1:83">
      <c r="A48" s="61"/>
      <c r="B48" s="62"/>
      <c r="C48" s="24" t="s">
        <v>93</v>
      </c>
      <c r="D48" s="25"/>
      <c r="E48" s="25"/>
      <c r="F48" s="24"/>
      <c r="G48" s="24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2"/>
      <c r="BX48" s="32"/>
      <c r="BY48" s="32"/>
      <c r="BZ48" s="32"/>
      <c r="CA48" s="32"/>
      <c r="CB48" s="32"/>
      <c r="CC48" s="32"/>
      <c r="CD48" s="32"/>
      <c r="CE48" s="33"/>
    </row>
    <row r="49" s="1" customFormat="1" ht="18" customHeight="1" spans="1:83">
      <c r="A49" s="61" t="s">
        <v>127</v>
      </c>
      <c r="B49" s="62" t="s">
        <v>128</v>
      </c>
      <c r="C49" s="24" t="s">
        <v>90</v>
      </c>
      <c r="D49" s="25">
        <v>46286</v>
      </c>
      <c r="E49" s="25">
        <v>46295</v>
      </c>
      <c r="F49" s="24"/>
      <c r="G49" s="24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2"/>
      <c r="BX49" s="32"/>
      <c r="BY49" s="32"/>
      <c r="BZ49" s="32"/>
      <c r="CA49" s="69"/>
      <c r="CB49" s="69"/>
      <c r="CC49" s="70"/>
      <c r="CD49" s="32"/>
      <c r="CE49" s="33"/>
    </row>
    <row r="50" s="1" customFormat="1" ht="18" customHeight="1" spans="1:83">
      <c r="A50" s="61"/>
      <c r="B50" s="32"/>
      <c r="C50" s="24" t="s">
        <v>93</v>
      </c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3"/>
    </row>
    <row r="51" spans="1:83">
      <c r="A51" s="71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3"/>
      <c r="BN51" s="74" t="s">
        <v>129</v>
      </c>
      <c r="BO51" s="74"/>
      <c r="BP51" s="74"/>
      <c r="BQ51" s="74"/>
      <c r="BR51" s="74"/>
      <c r="BS51" s="74"/>
      <c r="BT51" s="74"/>
      <c r="BU51" s="74"/>
      <c r="BV51" s="74"/>
      <c r="BW51" s="74"/>
      <c r="BX51" s="74"/>
      <c r="BY51" s="74"/>
      <c r="BZ51" s="74"/>
      <c r="CA51" s="74"/>
      <c r="CB51" s="74"/>
      <c r="CC51" s="74"/>
      <c r="CD51" s="74"/>
      <c r="CE51" s="75"/>
    </row>
    <row r="52" ht="14.75" spans="1:83">
      <c r="A52" s="76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77"/>
      <c r="AO52" s="77"/>
      <c r="AP52" s="77"/>
      <c r="AQ52" s="77"/>
      <c r="AR52" s="77"/>
      <c r="AS52" s="77"/>
      <c r="AT52" s="77"/>
      <c r="AU52" s="77"/>
      <c r="AV52" s="77"/>
      <c r="AW52" s="77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78"/>
      <c r="BN52" s="79">
        <v>46173</v>
      </c>
      <c r="BO52" s="79"/>
      <c r="BP52" s="79"/>
      <c r="BQ52" s="79"/>
      <c r="BR52" s="79"/>
      <c r="BS52" s="79"/>
      <c r="BT52" s="79"/>
      <c r="BU52" s="79"/>
      <c r="BV52" s="79"/>
      <c r="BW52" s="79"/>
      <c r="BX52" s="79"/>
      <c r="BY52" s="79"/>
      <c r="BZ52" s="79"/>
      <c r="CA52" s="79"/>
      <c r="CB52" s="79"/>
      <c r="CC52" s="79"/>
      <c r="CD52" s="79"/>
      <c r="CE52" s="80"/>
    </row>
  </sheetData>
  <mergeCells count="52">
    <mergeCell ref="A1:CE1"/>
    <mergeCell ref="F2:T2"/>
    <mergeCell ref="U2:AV2"/>
    <mergeCell ref="AW2:CE2"/>
    <mergeCell ref="F3:H3"/>
    <mergeCell ref="I3:N3"/>
    <mergeCell ref="O3:T3"/>
    <mergeCell ref="U3:AV3"/>
    <mergeCell ref="AW3:AX3"/>
    <mergeCell ref="AY3:BD3"/>
    <mergeCell ref="BE3:BJ3"/>
    <mergeCell ref="BK3:BP3"/>
    <mergeCell ref="BQ3:BV3"/>
    <mergeCell ref="BW3:CB3"/>
    <mergeCell ref="CC3:CE3"/>
    <mergeCell ref="BN51:CE51"/>
    <mergeCell ref="BN52:CE52"/>
    <mergeCell ref="A2:A4"/>
    <mergeCell ref="A5:A20"/>
    <mergeCell ref="A21:A30"/>
    <mergeCell ref="A31:A38"/>
    <mergeCell ref="A39:A44"/>
    <mergeCell ref="A45:A48"/>
    <mergeCell ref="A49:A50"/>
    <mergeCell ref="B2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C2:C4"/>
    <mergeCell ref="D2:D4"/>
    <mergeCell ref="E2:E4"/>
    <mergeCell ref="U5:AV50"/>
    <mergeCell ref="BC23:BS24"/>
    <mergeCell ref="K5:Q6"/>
    <mergeCell ref="O7:T8"/>
    <mergeCell ref="AW9:BF10"/>
    <mergeCell ref="A51:BM52"/>
    <mergeCell ref="BD11:BX12"/>
    <mergeCell ref="BE13:BY14"/>
    <mergeCell ref="BI15:CB16"/>
    <mergeCell ref="BH25:BV30"/>
    <mergeCell ref="BN31:BY3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项目施工月度报表</vt:lpstr>
      <vt:lpstr>施工进度计划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杨超</cp:lastModifiedBy>
  <dcterms:created xsi:type="dcterms:W3CDTF">2025-09-30T02:34:00Z</dcterms:created>
  <dcterms:modified xsi:type="dcterms:W3CDTF">2026-06-08T11:29:29Z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0C12BC7DFA9C48D99E2FF862A4B0797F_13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