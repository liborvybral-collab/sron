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施工月度报表" sheetId="1" r:id="rId1"/>
    <sheet name="施工进度计划与实际进度对比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<sst xmlns="http://schemas.openxmlformats.org/spreadsheetml/2006/main" count="158" uniqueCount="118">
  <si>
    <t>项目业财融合施工2026年（5）月度报表</t>
  </si>
  <si>
    <t>项目名称：埃及8X9000T卷边仓项目</t>
  </si>
  <si>
    <t>项目地址：埃及亚历山大港</t>
  </si>
  <si>
    <t>项目经理：袁纪斌</t>
  </si>
  <si>
    <t>计划开工日期：2025年12月11日
实际开工日期：2026年1月22日</t>
  </si>
  <si>
    <t>计划卷边仓主体安装完工时间：2026年4月9日
计划设备指导安装完工时间：2026年6月8日</t>
  </si>
  <si>
    <t>报表截止时间: 2026年5月31日</t>
  </si>
  <si>
    <t>一、项目施工目标</t>
  </si>
  <si>
    <t>目标分项名称</t>
  </si>
  <si>
    <t>目标值</t>
  </si>
  <si>
    <t>备注</t>
  </si>
  <si>
    <t>施工总成本目标（万元）</t>
  </si>
  <si>
    <t>146.75万元（安装138.15万元+指导施工8.6万元）</t>
  </si>
  <si>
    <t>分项成本目标见附表1安装施工成本预算</t>
  </si>
  <si>
    <t>施工总进度目标</t>
  </si>
  <si>
    <t>卷边仓安装120天、安装指导60天、总工期180天。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</si>
  <si>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</si>
  <si>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</si>
  <si>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</si>
  <si>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</si>
  <si>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</si>
  <si>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</si>
  <si>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</si>
  <si>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</si>
  <si>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</si>
  <si>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</si>
  <si>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</si>
  <si>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</si>
  <si>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</si>
  <si>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</si>
  <si>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</si>
  <si>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</si>
  <si>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</si>
  <si>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</si>
  <si>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8座卷边仓部分</t>
  </si>
  <si>
    <t>其他部分(设备租赁、折旧)</t>
  </si>
  <si>
    <t>合计</t>
  </si>
  <si>
    <t>180（含指导60天）</t>
  </si>
  <si>
    <t>三、施工成本</t>
  </si>
  <si>
    <t>预算分项成本
（万元）</t>
  </si>
  <si>
    <t>当月应支出金额
（万元）</t>
  </si>
  <si>
    <t>当月应支出/当月完成产值
(%)</t>
  </si>
  <si>
    <t>累计应支出金额
（万元）</t>
  </si>
  <si>
    <t>累计应支出/累计完成产值
（%）</t>
  </si>
  <si>
    <t>累计应支出/预算分项成本
（%）</t>
  </si>
  <si>
    <t>超出预算成本支出原因</t>
  </si>
  <si>
    <t>8座卷边仓部分费用合计</t>
  </si>
  <si>
    <t>1、业主施工安装队伍斋月上班半天；
2、业主施工安装队伍开斋节放假5天；
3、业主施工安装队伍人员达不到计划数量，工作效率低下。</t>
  </si>
  <si>
    <t>其他部分(设备租赁、折旧)费用合计</t>
  </si>
  <si>
    <t>总施工成本（合计）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</si>
  <si>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</si>
  <si>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</si>
  <si>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</si>
  <si>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</si>
  <si>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</si>
  <si>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</si>
  <si>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现场材料由安装公司下料</t>
  </si>
  <si>
    <t>与施工同步</t>
  </si>
  <si>
    <t>施工质量问题已按要求整改</t>
  </si>
  <si>
    <t>指导安装部分</t>
  </si>
  <si>
    <t>设备调试及验收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</si>
  <si>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</si>
  <si>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</si>
  <si>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</si>
  <si>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</si>
  <si>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</si>
  <si>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</si>
  <si>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</si>
  <si>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</si>
  <si>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</si>
  <si>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</si>
  <si>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项目经理：袁纪斌                                                                                                                                                                                                                                                                          
                                                                                                                                                                                                                                                                                                                                2026/5/31</t>
  </si>
  <si>
    <t xml:space="preserve">               埃及8X9000T卷边仓项目施工进度计划与实际进度对比表</t>
  </si>
  <si>
    <t>Phase
工程阶段</t>
  </si>
  <si>
    <t xml:space="preserve">                    时间     
 分项名称</t>
  </si>
  <si>
    <t>Start time
开始时间</t>
  </si>
  <si>
    <t>Finished time
完成时间</t>
  </si>
  <si>
    <t>工期：180（天数）</t>
  </si>
  <si>
    <t>1月份</t>
  </si>
  <si>
    <t>2月份</t>
  </si>
  <si>
    <t>3月份</t>
  </si>
  <si>
    <t>4月份</t>
  </si>
  <si>
    <t>5月份</t>
  </si>
  <si>
    <t>6月份</t>
  </si>
  <si>
    <t>7月份</t>
  </si>
  <si>
    <t>卷边仓部分
施工</t>
  </si>
  <si>
    <t>出发路程+进场准备工作</t>
  </si>
  <si>
    <t>计划</t>
  </si>
  <si>
    <t>备注：进场时间延后2天</t>
  </si>
  <si>
    <t>实际</t>
  </si>
  <si>
    <t>1号卷边仓施工安装</t>
  </si>
  <si>
    <t>备注：1号仓3月12日落仓，因现场当地工人没有经验，同时处于斋月工作时间减少等原因，延误15天。</t>
  </si>
  <si>
    <t>2号卷边仓施工安装</t>
  </si>
  <si>
    <t>备注：B1仓3月17日落仓，因现场当地工人没有经验，同时处于斋月，工作时间减少，以及设备故障等原因，导致延误19天。</t>
  </si>
  <si>
    <t>3号卷边仓施工安装</t>
  </si>
  <si>
    <t>备注：当地工人开斋节放假5天，以及下雨1天，按计划工期延误13天。</t>
  </si>
  <si>
    <t>4号卷边仓施工安装</t>
  </si>
  <si>
    <t>备注：当地工人开斋节放假5天，以及下雨1天，按计划工期延误14天。</t>
  </si>
  <si>
    <t>5号卷边仓施工安装</t>
  </si>
  <si>
    <t>5号仓从5月3日开始上夜班，5月14日落仓</t>
  </si>
  <si>
    <t>6号卷边仓施工安装</t>
  </si>
  <si>
    <t>备注：6号仓从5月3日开始上夜班，5月20日落仓</t>
  </si>
  <si>
    <t>7号卷边仓施工安装</t>
  </si>
  <si>
    <t>备注：7号仓从5月15号开始，预计6月8号完成</t>
  </si>
  <si>
    <t>8号卷边仓施工安装</t>
  </si>
  <si>
    <t>备注：8号仓从5月21号开始，预计6月12号落仓</t>
  </si>
  <si>
    <t>卷边仓收尾+设备打包
工人返程</t>
  </si>
  <si>
    <t>附属设备
指导安装</t>
  </si>
  <si>
    <t>仓内填破</t>
  </si>
  <si>
    <t>钢结构安装</t>
  </si>
  <si>
    <t>设备安装</t>
  </si>
  <si>
    <t>电气系统安装工程</t>
  </si>
  <si>
    <t>设备调试</t>
  </si>
  <si>
    <t>设备单机调试</t>
  </si>
  <si>
    <t>设备联动调试、负荷试运行</t>
  </si>
  <si>
    <t>竣工移交</t>
  </si>
  <si>
    <t>竣工验收</t>
  </si>
  <si>
    <t xml:space="preserve">河南实荣筒仓工程有限公司工程部：袁纪斌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</si>
</sst>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0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name val="等线"/>
      <charset val="134"/>
    </font>
    <font>
      <sz val="12"/>
      <color rgb="FFFF0000"/>
      <name val="等线"/>
      <charset val="134"/>
    </font>
    <font>
      <sz val="12"/>
      <color theme="1"/>
      <name val="宋体"/>
      <charset val="134"/>
      <scheme val="minor"/>
    </font>
    <font>
      <sz val="12"/>
      <color theme="9" tint="0.6"/>
      <name val="等线"/>
      <charset val="134"/>
    </font>
    <font>
      <sz val="12"/>
      <color theme="8" tint="0.8"/>
      <name val="等线"/>
      <charset val="134"/>
    </font>
    <font>
      <sz val="12"/>
      <name val="宋体"/>
      <charset val="134"/>
    </font>
    <font>
      <b/>
      <sz val="20"/>
      <name val="宋体"/>
      <charset val="134"/>
    </font>
    <font>
      <sz val="11"/>
      <name val="宋体"/>
      <charset val="134"/>
    </font>
    <font>
      <sz val="14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3" borderId="3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42" applyNumberFormat="0" applyAlignment="0" applyProtection="0">
      <alignment vertical="center"/>
    </xf>
    <xf numFmtId="0" fontId="28" fillId="15" borderId="43" applyNumberFormat="0" applyAlignment="0" applyProtection="0">
      <alignment vertical="center"/>
    </xf>
    <xf numFmtId="0" fontId="29" fillId="15" borderId="42" applyNumberFormat="0" applyAlignment="0" applyProtection="0">
      <alignment vertical="center"/>
    </xf>
    <xf numFmtId="0" fontId="30" fillId="16" borderId="44" applyNumberFormat="0" applyAlignment="0" applyProtection="0">
      <alignment vertical="center"/>
    </xf>
    <xf numFmtId="0" fontId="31" fillId="0" borderId="45" applyNumberFormat="0" applyFill="0" applyAlignment="0" applyProtection="0">
      <alignment vertical="center"/>
    </xf>
    <xf numFmtId="0" fontId="32" fillId="0" borderId="46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</cellStyleXfs>
  <cellXfs count="19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57" fontId="2" fillId="2" borderId="6" xfId="0" applyNumberFormat="1" applyFont="1" applyFill="1" applyBorder="1" applyAlignment="1">
      <alignment horizontal="center" vertical="center"/>
    </xf>
    <xf numFmtId="57" fontId="2" fillId="2" borderId="7" xfId="0" applyNumberFormat="1" applyFont="1" applyFill="1" applyBorder="1" applyAlignment="1">
      <alignment horizontal="center" vertical="center"/>
    </xf>
    <xf numFmtId="57" fontId="2" fillId="2" borderId="8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5" fillId="0" borderId="5" xfId="0" applyFont="1" applyBorder="1"/>
    <xf numFmtId="0" fontId="5" fillId="0" borderId="9" xfId="0" applyFont="1" applyBorder="1"/>
    <xf numFmtId="0" fontId="3" fillId="2" borderId="1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vertical="center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5" fillId="3" borderId="0" xfId="0" applyFont="1" applyFill="1"/>
    <xf numFmtId="0" fontId="3" fillId="0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14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176" fontId="14" fillId="8" borderId="5" xfId="0" applyNumberFormat="1" applyFont="1" applyFill="1" applyBorder="1" applyAlignment="1">
      <alignment horizontal="center" vertical="center" wrapText="1"/>
    </xf>
    <xf numFmtId="10" fontId="15" fillId="8" borderId="5" xfId="0" applyNumberFormat="1" applyFont="1" applyFill="1" applyBorder="1" applyAlignment="1">
      <alignment horizontal="center" vertical="center"/>
    </xf>
    <xf numFmtId="4" fontId="14" fillId="8" borderId="5" xfId="0" applyNumberFormat="1" applyFont="1" applyFill="1" applyBorder="1" applyAlignment="1">
      <alignment horizontal="center" vertical="center"/>
    </xf>
    <xf numFmtId="4" fontId="15" fillId="8" borderId="5" xfId="0" applyNumberFormat="1" applyFont="1" applyFill="1" applyBorder="1" applyAlignment="1">
      <alignment horizontal="center" vertical="center"/>
    </xf>
    <xf numFmtId="10" fontId="14" fillId="5" borderId="5" xfId="0" applyNumberFormat="1" applyFont="1" applyFill="1" applyBorder="1" applyAlignment="1">
      <alignment horizontal="center" vertical="center"/>
    </xf>
    <xf numFmtId="176" fontId="15" fillId="8" borderId="6" xfId="0" applyNumberFormat="1" applyFont="1" applyFill="1" applyBorder="1" applyAlignment="1">
      <alignment horizontal="center"/>
    </xf>
    <xf numFmtId="9" fontId="14" fillId="5" borderId="6" xfId="3" applyFont="1" applyFill="1" applyBorder="1" applyAlignment="1">
      <alignment horizontal="center"/>
    </xf>
    <xf numFmtId="0" fontId="15" fillId="8" borderId="9" xfId="0" applyFont="1" applyFill="1" applyBorder="1" applyAlignment="1">
      <alignment horizontal="center" vertical="center"/>
    </xf>
    <xf numFmtId="10" fontId="15" fillId="8" borderId="5" xfId="3" applyNumberFormat="1" applyFont="1" applyFill="1" applyBorder="1" applyAlignment="1" applyProtection="1">
      <alignment horizontal="center" vertical="center"/>
    </xf>
    <xf numFmtId="10" fontId="15" fillId="8" borderId="5" xfId="0" applyNumberFormat="1" applyFont="1" applyFill="1" applyBorder="1" applyAlignment="1" applyProtection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176" fontId="12" fillId="8" borderId="5" xfId="0" applyNumberFormat="1" applyFont="1" applyFill="1" applyBorder="1" applyAlignment="1">
      <alignment horizontal="center" vertical="center"/>
    </xf>
    <xf numFmtId="10" fontId="12" fillId="8" borderId="5" xfId="3" applyNumberFormat="1" applyFont="1" applyFill="1" applyBorder="1" applyAlignment="1">
      <alignment horizontal="center" vertical="center"/>
    </xf>
    <xf numFmtId="10" fontId="14" fillId="8" borderId="5" xfId="0" applyNumberFormat="1" applyFont="1" applyFill="1" applyBorder="1" applyAlignment="1" applyProtection="1">
      <alignment horizontal="center" vertical="center"/>
    </xf>
    <xf numFmtId="176" fontId="13" fillId="8" borderId="6" xfId="0" applyNumberFormat="1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 wrapText="1"/>
    </xf>
    <xf numFmtId="176" fontId="14" fillId="9" borderId="5" xfId="0" applyNumberFormat="1" applyFont="1" applyFill="1" applyBorder="1" applyAlignment="1">
      <alignment horizontal="center" vertical="center" wrapText="1"/>
    </xf>
    <xf numFmtId="4" fontId="15" fillId="9" borderId="5" xfId="0" applyNumberFormat="1" applyFont="1" applyFill="1" applyBorder="1" applyAlignment="1">
      <alignment horizontal="center" vertical="center"/>
    </xf>
    <xf numFmtId="10" fontId="14" fillId="10" borderId="5" xfId="0" applyNumberFormat="1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left" vertical="center" wrapText="1"/>
    </xf>
    <xf numFmtId="0" fontId="14" fillId="9" borderId="12" xfId="0" applyFont="1" applyFill="1" applyBorder="1" applyAlignment="1">
      <alignment horizontal="left" vertical="center"/>
    </xf>
    <xf numFmtId="0" fontId="14" fillId="9" borderId="31" xfId="0" applyFont="1" applyFill="1" applyBorder="1" applyAlignment="1">
      <alignment horizontal="left" vertical="center"/>
    </xf>
    <xf numFmtId="0" fontId="17" fillId="9" borderId="4" xfId="0" applyFont="1" applyFill="1" applyBorder="1" applyAlignment="1">
      <alignment horizontal="center" vertical="center"/>
    </xf>
    <xf numFmtId="0" fontId="14" fillId="9" borderId="32" xfId="0" applyFont="1" applyFill="1" applyBorder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14" fillId="9" borderId="33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center" vertical="center" wrapText="1"/>
    </xf>
    <xf numFmtId="4" fontId="14" fillId="9" borderId="5" xfId="0" applyNumberFormat="1" applyFont="1" applyFill="1" applyBorder="1" applyAlignment="1">
      <alignment horizontal="center" vertical="center"/>
    </xf>
    <xf numFmtId="0" fontId="14" fillId="9" borderId="5" xfId="0" applyNumberFormat="1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left" vertical="center"/>
    </xf>
    <xf numFmtId="0" fontId="14" fillId="9" borderId="16" xfId="0" applyFont="1" applyFill="1" applyBorder="1" applyAlignment="1">
      <alignment horizontal="left" vertical="center"/>
    </xf>
    <xf numFmtId="0" fontId="14" fillId="9" borderId="34" xfId="0" applyFont="1" applyFill="1" applyBorder="1" applyAlignment="1">
      <alignment horizontal="left" vertical="center"/>
    </xf>
    <xf numFmtId="0" fontId="11" fillId="11" borderId="4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4" fillId="11" borderId="35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 wrapText="1"/>
    </xf>
    <xf numFmtId="9" fontId="12" fillId="11" borderId="6" xfId="0" applyNumberFormat="1" applyFont="1" applyFill="1" applyBorder="1" applyAlignment="1">
      <alignment horizontal="center" vertical="center"/>
    </xf>
    <xf numFmtId="9" fontId="14" fillId="11" borderId="6" xfId="0" applyNumberFormat="1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/>
    </xf>
    <xf numFmtId="0" fontId="18" fillId="12" borderId="35" xfId="0" applyFont="1" applyFill="1" applyBorder="1" applyAlignment="1">
      <alignment horizontal="center"/>
    </xf>
    <xf numFmtId="0" fontId="18" fillId="12" borderId="7" xfId="0" applyFont="1" applyFill="1" applyBorder="1" applyAlignment="1">
      <alignment horizontal="center"/>
    </xf>
    <xf numFmtId="0" fontId="18" fillId="12" borderId="8" xfId="0" applyFont="1" applyFill="1" applyBorder="1" applyAlignment="1">
      <alignment horizontal="center"/>
    </xf>
    <xf numFmtId="0" fontId="14" fillId="12" borderId="4" xfId="0" applyFont="1" applyFill="1" applyBorder="1" applyAlignment="1">
      <alignment horizontal="center" vertical="center" wrapText="1"/>
    </xf>
    <xf numFmtId="9" fontId="18" fillId="12" borderId="6" xfId="0" applyNumberFormat="1" applyFont="1" applyFill="1" applyBorder="1" applyAlignment="1">
      <alignment horizontal="center"/>
    </xf>
    <xf numFmtId="31" fontId="18" fillId="0" borderId="36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1</xdr:row>
      <xdr:rowOff>8890</xdr:rowOff>
    </xdr:from>
    <xdr:to>
      <xdr:col>2</xdr:col>
      <xdr:colOff>2540</xdr:colOff>
      <xdr:row>3</xdr:row>
      <xdr:rowOff>220980</xdr:rowOff>
    </xdr:to>
    <xdr:cxnSp>
      <xdr:nvCxnSpPr>
        <xdr:cNvPr id="20" name="直接连接符 19"/>
        <xdr:cNvCxnSpPr/>
      </xdr:nvCxnSpPr>
      <xdr:spPr>
        <a:xfrm>
          <a:off x="902335" y="516890"/>
          <a:ext cx="1711325" cy="7200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zoomScale="90" zoomScaleNormal="90" workbookViewId="0">
      <selection activeCell="A11" sqref="A11"/>
    </sheetView>
  </sheetViews>
  <sheetFormatPr defaultColWidth="9.12727272727273" defaultRowHeight="15" customHeight="1"/>
  <cols>
    <col min="1" max="1" width="30.5545454545455" customWidth="1"/>
    <col min="2" max="2" width="16.3909090909091" customWidth="1"/>
    <col min="3" max="3" width="15.6909090909091" customWidth="1"/>
    <col min="4" max="4" width="16.6636363636364" customWidth="1"/>
    <col min="5" max="5" width="23.4909090909091" customWidth="1"/>
    <col min="6" max="6" width="18.3363636363636" customWidth="1"/>
    <col min="7" max="7" width="23.0545454545455" customWidth="1"/>
    <col min="8" max="8" width="23.1909090909091" customWidth="1"/>
    <col min="9" max="10" width="15.7818181818182" customWidth="1"/>
    <col min="11" max="11" width="18.4727272727273" customWidth="1"/>
    <col min="12" max="12" width="17.7818181818182" customWidth="1"/>
    <col min="14" max="14" width="12.8909090909091"/>
  </cols>
  <sheetData>
    <row r="1" ht="30" customHeight="1" spans="1:12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5"/>
      <c r="L1" s="86"/>
    </row>
    <row r="2" ht="22" customHeight="1" spans="1:12">
      <c r="A2" s="87" t="s">
        <v>1</v>
      </c>
      <c r="B2" s="88"/>
      <c r="C2" s="88"/>
      <c r="D2" s="88"/>
      <c r="E2" s="88" t="s">
        <v>2</v>
      </c>
      <c r="F2" s="88"/>
      <c r="G2" s="88"/>
      <c r="H2" s="88" t="s">
        <v>3</v>
      </c>
      <c r="I2" s="88"/>
      <c r="J2" s="88"/>
      <c r="K2" s="89"/>
      <c r="L2" s="90"/>
    </row>
    <row r="3" ht="31" customHeight="1" spans="1:12">
      <c r="A3" s="91" t="s">
        <v>4</v>
      </c>
      <c r="B3" s="88"/>
      <c r="C3" s="88"/>
      <c r="D3" s="88"/>
      <c r="E3" s="92" t="s">
        <v>5</v>
      </c>
      <c r="F3" s="88"/>
      <c r="G3" s="88"/>
      <c r="H3" s="93" t="s">
        <v>6</v>
      </c>
      <c r="I3" s="94"/>
      <c r="J3" s="94"/>
      <c r="K3" s="94"/>
      <c r="L3" s="95"/>
    </row>
    <row r="4" ht="18" customHeight="1" spans="1:12">
      <c r="A4" s="96" t="s">
        <v>7</v>
      </c>
      <c r="B4" s="97"/>
      <c r="C4" s="97"/>
      <c r="D4" s="97"/>
      <c r="E4" s="97"/>
      <c r="F4" s="97"/>
      <c r="G4" s="97"/>
      <c r="H4" s="97"/>
      <c r="I4" s="97"/>
      <c r="J4" s="97"/>
      <c r="K4" s="98"/>
      <c r="L4" s="99"/>
    </row>
    <row r="5" ht="18" customHeight="1" spans="1:12">
      <c r="A5" s="100" t="s">
        <v>8</v>
      </c>
      <c r="B5" s="101"/>
      <c r="C5" s="101"/>
      <c r="D5" s="101"/>
      <c r="E5" s="102" t="s">
        <v>9</v>
      </c>
      <c r="F5" s="102"/>
      <c r="G5" s="102"/>
      <c r="H5" s="102" t="s">
        <v>10</v>
      </c>
      <c r="I5" s="102"/>
      <c r="J5" s="102"/>
      <c r="K5" s="103"/>
      <c r="L5" s="104"/>
    </row>
    <row r="6" ht="18" customHeight="1" spans="1:12">
      <c r="A6" s="105" t="s">
        <v>11</v>
      </c>
      <c r="B6" s="106"/>
      <c r="C6" s="106"/>
      <c r="D6" s="106"/>
      <c r="E6" s="107" t="s">
        <v>12</v>
      </c>
      <c r="F6" s="107"/>
      <c r="G6" s="107"/>
      <c r="H6" s="102" t="s">
        <v>13</v>
      </c>
      <c r="I6" s="102"/>
      <c r="J6" s="102"/>
      <c r="K6" s="103"/>
      <c r="L6" s="104"/>
    </row>
    <row r="7" ht="18" customHeight="1" spans="1:12">
      <c r="A7" s="105" t="s">
        <v>14</v>
      </c>
      <c r="B7" s="106"/>
      <c r="C7" s="106"/>
      <c r="D7" s="106"/>
      <c r="E7" s="107" t="s">
        <v>15</v>
      </c>
      <c r="F7" s="107"/>
      <c r="G7" s="107"/>
      <c r="H7" s="102" t="s">
        <v>16</v>
      </c>
      <c r="I7" s="102"/>
      <c r="J7" s="102"/>
      <c r="K7" s="103"/>
      <c r="L7" s="104"/>
    </row>
    <row r="8" ht="18" customHeight="1" spans="1:12">
      <c r="A8" s="105" t="s">
        <v>17</v>
      </c>
      <c r="B8" s="106"/>
      <c r="C8" s="106"/>
      <c r="D8" s="106"/>
      <c r="E8" s="107" t="s">
        <v>18</v>
      </c>
      <c r="F8" s="107"/>
      <c r="G8" s="107"/>
      <c r="H8" s="102"/>
      <c r="I8" s="102"/>
      <c r="J8" s="102"/>
      <c r="K8" s="103"/>
      <c r="L8" s="104"/>
    </row>
    <row r="9" ht="18" customHeight="1" spans="1:12">
      <c r="A9" s="105" t="s">
        <v>19</v>
      </c>
      <c r="B9" s="106"/>
      <c r="C9" s="106"/>
      <c r="D9" s="106"/>
      <c r="E9" s="107" t="s">
        <v>20</v>
      </c>
      <c r="F9" s="107"/>
      <c r="G9" s="107"/>
      <c r="H9" s="102"/>
      <c r="I9" s="102"/>
      <c r="J9" s="102"/>
      <c r="K9" s="103"/>
      <c r="L9" s="104"/>
    </row>
    <row r="10" ht="18" customHeight="1" spans="1:12">
      <c r="A10" s="108" t="s">
        <v>21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10"/>
      <c r="L10" s="111"/>
    </row>
    <row r="11" ht="36" customHeight="1" spans="1:12">
      <c r="A11" s="112" t="s">
        <v>22</v>
      </c>
      <c r="B11" s="113" t="s">
        <v>23</v>
      </c>
      <c r="C11" s="113" t="s">
        <v>24</v>
      </c>
      <c r="D11" s="113" t="s">
        <v>25</v>
      </c>
      <c r="E11" s="113" t="s">
        <v>26</v>
      </c>
      <c r="F11" s="113" t="s">
        <v>27</v>
      </c>
      <c r="G11" s="113" t="s">
        <v>28</v>
      </c>
      <c r="H11" s="113" t="s">
        <v>29</v>
      </c>
      <c r="I11" s="114" t="s">
        <v>30</v>
      </c>
      <c r="J11" s="115" t="s">
        <v>31</v>
      </c>
      <c r="K11" s="116" t="s">
        <v>32</v>
      </c>
      <c r="L11" s="117" t="s">
        <v>33</v>
      </c>
    </row>
    <row r="12" ht="18" customHeight="1" spans="1:12">
      <c r="A12" s="118" t="s">
        <v>34</v>
      </c>
      <c r="B12" s="119">
        <v>120</v>
      </c>
      <c r="C12" s="120">
        <v>116.15</v>
      </c>
      <c r="D12" s="121">
        <v>0.25</v>
      </c>
      <c r="E12" s="122">
        <f>C12*D12</f>
        <v>29.0375</v>
      </c>
      <c r="F12" s="121">
        <v>0.85</v>
      </c>
      <c r="G12" s="122">
        <f>C12*F12</f>
        <v>98.7275</v>
      </c>
      <c r="H12" s="123">
        <f>C12/B12*30</f>
        <v>29.0375</v>
      </c>
      <c r="I12" s="124">
        <f>E12/H12</f>
        <v>1</v>
      </c>
      <c r="J12" s="125">
        <v>116.15</v>
      </c>
      <c r="K12" s="126">
        <f>G12/J12</f>
        <v>0.85</v>
      </c>
      <c r="L12" s="127">
        <v>-5</v>
      </c>
    </row>
    <row r="13" ht="18" customHeight="1" spans="1:12">
      <c r="A13" s="118" t="s">
        <v>35</v>
      </c>
      <c r="B13" s="119">
        <v>150</v>
      </c>
      <c r="C13" s="120">
        <v>22</v>
      </c>
      <c r="D13" s="128">
        <v>0.2</v>
      </c>
      <c r="E13" s="122">
        <f>C13*D13</f>
        <v>4.4</v>
      </c>
      <c r="F13" s="129">
        <v>0.86</v>
      </c>
      <c r="G13" s="122">
        <v>18.92</v>
      </c>
      <c r="H13" s="123">
        <f>C13/B13*30</f>
        <v>4.4</v>
      </c>
      <c r="I13" s="124">
        <f>E13/H13</f>
        <v>1</v>
      </c>
      <c r="J13" s="125">
        <f>22/150*129</f>
        <v>18.92</v>
      </c>
      <c r="K13" s="126">
        <f>G13/J13</f>
        <v>1</v>
      </c>
      <c r="L13" s="127">
        <v>21</v>
      </c>
    </row>
    <row r="14" ht="18" customHeight="1" spans="1:12">
      <c r="A14" s="112" t="s">
        <v>36</v>
      </c>
      <c r="B14" s="130" t="s">
        <v>37</v>
      </c>
      <c r="C14" s="131">
        <f>SUM(C12:C13)</f>
        <v>138.15</v>
      </c>
      <c r="D14" s="132">
        <f>E14/C14</f>
        <v>0.242037640246109</v>
      </c>
      <c r="E14" s="122">
        <f>SUM(E12:E13)</f>
        <v>33.4375</v>
      </c>
      <c r="F14" s="133">
        <f>G14/C14</f>
        <v>0.851592471950778</v>
      </c>
      <c r="G14" s="122">
        <f>SUM(G12:G13)</f>
        <v>117.6475</v>
      </c>
      <c r="H14" s="122">
        <f>SUM(H12:H13)</f>
        <v>33.4375</v>
      </c>
      <c r="I14" s="124">
        <f>E14/H14</f>
        <v>1</v>
      </c>
      <c r="J14" s="134">
        <f>SUM(J12:J13)</f>
        <v>135.07</v>
      </c>
      <c r="K14" s="126">
        <f>G14/J14</f>
        <v>0.871011327459836</v>
      </c>
      <c r="L14" s="127">
        <v>51</v>
      </c>
    </row>
    <row r="15" ht="18" customHeight="1" spans="1:12">
      <c r="A15" s="135" t="s">
        <v>38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7"/>
      <c r="L15" s="138"/>
    </row>
    <row r="16" ht="30" customHeight="1" spans="1:12">
      <c r="A16" s="139" t="s">
        <v>22</v>
      </c>
      <c r="B16" s="140" t="s">
        <v>39</v>
      </c>
      <c r="C16" s="141"/>
      <c r="D16" s="140" t="s">
        <v>40</v>
      </c>
      <c r="E16" s="114" t="s">
        <v>41</v>
      </c>
      <c r="F16" s="140" t="s">
        <v>42</v>
      </c>
      <c r="G16" s="114" t="s">
        <v>43</v>
      </c>
      <c r="H16" s="142" t="s">
        <v>44</v>
      </c>
      <c r="I16" s="143" t="s">
        <v>45</v>
      </c>
      <c r="J16" s="143"/>
      <c r="K16" s="144"/>
      <c r="L16" s="145"/>
    </row>
    <row r="17" ht="18" customHeight="1" spans="1:12">
      <c r="A17" s="146" t="s">
        <v>46</v>
      </c>
      <c r="B17" s="147">
        <v>116.15</v>
      </c>
      <c r="C17" s="147"/>
      <c r="D17" s="148">
        <v>28.325</v>
      </c>
      <c r="E17" s="124">
        <f>D17/E12</f>
        <v>0.975462763667671</v>
      </c>
      <c r="F17" s="148">
        <f>87.62+D17</f>
        <v>115.945</v>
      </c>
      <c r="G17" s="124">
        <f>F17/G12</f>
        <v>1.17439416575929</v>
      </c>
      <c r="H17" s="149">
        <f>F17/B17</f>
        <v>0.998235040895394</v>
      </c>
      <c r="I17" s="150" t="s">
        <v>47</v>
      </c>
      <c r="J17" s="151"/>
      <c r="K17" s="151"/>
      <c r="L17" s="152"/>
    </row>
    <row r="18" ht="18" customHeight="1" spans="1:12">
      <c r="A18" s="153" t="s">
        <v>48</v>
      </c>
      <c r="B18" s="147">
        <v>22</v>
      </c>
      <c r="C18" s="147"/>
      <c r="D18" s="148">
        <v>4.4</v>
      </c>
      <c r="E18" s="124">
        <f>D18/E13</f>
        <v>1</v>
      </c>
      <c r="F18" s="148">
        <f>14.45+D18</f>
        <v>18.85</v>
      </c>
      <c r="G18" s="124">
        <f>F18/G13</f>
        <v>0.99630021141649</v>
      </c>
      <c r="H18" s="149">
        <f>F18/B18</f>
        <v>0.856818181818182</v>
      </c>
      <c r="I18" s="154"/>
      <c r="J18" s="155"/>
      <c r="K18" s="155"/>
      <c r="L18" s="156"/>
    </row>
    <row r="19" ht="18" customHeight="1" spans="1:12">
      <c r="A19" s="157" t="s">
        <v>49</v>
      </c>
      <c r="B19" s="147">
        <f>SUM(B17:B18)</f>
        <v>138.15</v>
      </c>
      <c r="C19" s="147"/>
      <c r="D19" s="158">
        <f>SUM(D17:D18)</f>
        <v>32.725</v>
      </c>
      <c r="E19" s="124">
        <f>D19/E14</f>
        <v>0.978691588785047</v>
      </c>
      <c r="F19" s="159">
        <f>SUM(F17:F18)</f>
        <v>134.795</v>
      </c>
      <c r="G19" s="124">
        <f>F19/G14</f>
        <v>1.14575320342549</v>
      </c>
      <c r="H19" s="149">
        <f>F19/B19</f>
        <v>0.975714802750633</v>
      </c>
      <c r="I19" s="160"/>
      <c r="J19" s="161"/>
      <c r="K19" s="161"/>
      <c r="L19" s="162"/>
    </row>
    <row r="20" ht="18" customHeight="1" spans="1:12">
      <c r="A20" s="163" t="s">
        <v>50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5"/>
      <c r="L20" s="166"/>
    </row>
    <row r="21" ht="18" customHeight="1" spans="1:12">
      <c r="A21" s="167" t="s">
        <v>22</v>
      </c>
      <c r="B21" s="168" t="s">
        <v>51</v>
      </c>
      <c r="C21" s="169"/>
      <c r="D21" s="168" t="s">
        <v>52</v>
      </c>
      <c r="E21" s="169"/>
      <c r="F21" s="170" t="s">
        <v>53</v>
      </c>
      <c r="G21" s="171"/>
      <c r="H21" s="170" t="s">
        <v>54</v>
      </c>
      <c r="I21" s="171"/>
      <c r="J21" s="170" t="s">
        <v>55</v>
      </c>
      <c r="K21" s="172"/>
      <c r="L21" s="173"/>
    </row>
    <row r="22" ht="18" customHeight="1" spans="1:12">
      <c r="A22" s="174" t="s">
        <v>34</v>
      </c>
      <c r="B22" s="175">
        <v>1</v>
      </c>
      <c r="C22" s="169"/>
      <c r="D22" s="168" t="s">
        <v>56</v>
      </c>
      <c r="E22" s="169"/>
      <c r="F22" s="176">
        <v>1</v>
      </c>
      <c r="G22" s="171"/>
      <c r="H22" s="170" t="s">
        <v>57</v>
      </c>
      <c r="I22" s="171"/>
      <c r="J22" s="170" t="s">
        <v>58</v>
      </c>
      <c r="K22" s="172"/>
      <c r="L22" s="173"/>
    </row>
    <row r="23" ht="18" customHeight="1" spans="1:12">
      <c r="A23" s="174" t="s">
        <v>59</v>
      </c>
      <c r="B23" s="168"/>
      <c r="C23" s="169"/>
      <c r="D23" s="168"/>
      <c r="E23" s="169"/>
      <c r="F23" s="170"/>
      <c r="G23" s="171"/>
      <c r="H23" s="170"/>
      <c r="I23" s="171"/>
      <c r="J23" s="170"/>
      <c r="K23" s="172"/>
      <c r="L23" s="173"/>
    </row>
    <row r="24" ht="18" customHeight="1" spans="1:12">
      <c r="A24" s="174" t="s">
        <v>60</v>
      </c>
      <c r="B24" s="168"/>
      <c r="C24" s="169"/>
      <c r="D24" s="168"/>
      <c r="E24" s="169"/>
      <c r="F24" s="170"/>
      <c r="G24" s="171"/>
      <c r="H24" s="170"/>
      <c r="I24" s="171"/>
      <c r="J24" s="170"/>
      <c r="K24" s="172"/>
      <c r="L24" s="173"/>
    </row>
    <row r="25" ht="18" customHeight="1" spans="1:12">
      <c r="A25" s="177" t="s">
        <v>61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9"/>
      <c r="L25" s="180"/>
    </row>
    <row r="26" ht="18" customHeight="1"/>
    <row r="27" ht="18" customHeight="1" spans="1:12">
      <c r="A27" s="181" t="s">
        <v>22</v>
      </c>
      <c r="B27" s="182" t="s">
        <v>62</v>
      </c>
      <c r="C27" s="183"/>
      <c r="D27" s="182" t="s">
        <v>63</v>
      </c>
      <c r="E27" s="183"/>
      <c r="F27" s="182" t="s">
        <v>64</v>
      </c>
      <c r="G27" s="183"/>
      <c r="H27" s="182" t="s">
        <v>65</v>
      </c>
      <c r="I27" s="183"/>
      <c r="J27" s="182" t="s">
        <v>66</v>
      </c>
      <c r="K27" s="184"/>
      <c r="L27" s="185"/>
    </row>
    <row r="28" ht="18" customHeight="1" spans="1:12">
      <c r="A28" s="186" t="s">
        <v>34</v>
      </c>
      <c r="B28" s="182" t="s">
        <v>67</v>
      </c>
      <c r="C28" s="183"/>
      <c r="D28" s="182" t="s">
        <v>68</v>
      </c>
      <c r="E28" s="183"/>
      <c r="F28" s="182" t="s">
        <v>69</v>
      </c>
      <c r="G28" s="183"/>
      <c r="H28" s="187">
        <v>1</v>
      </c>
      <c r="I28" s="183"/>
      <c r="J28" s="182" t="s">
        <v>70</v>
      </c>
      <c r="K28" s="184"/>
      <c r="L28" s="185"/>
    </row>
    <row r="29" ht="18" customHeight="1" spans="1:12">
      <c r="A29" s="186" t="s">
        <v>59</v>
      </c>
      <c r="B29" s="182"/>
      <c r="C29" s="183"/>
      <c r="D29" s="182"/>
      <c r="E29" s="183"/>
      <c r="F29" s="182"/>
      <c r="G29" s="183"/>
      <c r="H29" s="182"/>
      <c r="I29" s="183"/>
      <c r="J29" s="182"/>
      <c r="K29" s="184"/>
      <c r="L29" s="185"/>
    </row>
    <row r="30" ht="18" customHeight="1" spans="1:12">
      <c r="A30" s="186" t="s">
        <v>60</v>
      </c>
      <c r="B30" s="182"/>
      <c r="C30" s="183"/>
      <c r="D30" s="182"/>
      <c r="E30" s="183"/>
      <c r="F30" s="182"/>
      <c r="G30" s="183"/>
      <c r="H30" s="182"/>
      <c r="I30" s="183"/>
      <c r="J30" s="182"/>
      <c r="K30" s="184"/>
      <c r="L30" s="185"/>
    </row>
    <row r="31" ht="45" customHeight="1" spans="1:12">
      <c r="A31" s="188" t="s">
        <v>71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90"/>
    </row>
    <row r="32" customHeight="1" spans="1:12">
      <c r="A32" s="191"/>
      <c r="B32" s="191"/>
      <c r="C32" s="191"/>
    </row>
  </sheetData>
  <mergeCells count="75">
    <mergeCell ref="A1:L1"/>
    <mergeCell ref="A2:D2"/>
    <mergeCell ref="E2:G2"/>
    <mergeCell ref="H2:L2"/>
    <mergeCell ref="A3:D3"/>
    <mergeCell ref="E3:G3"/>
    <mergeCell ref="H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5:L15"/>
    <mergeCell ref="B16:C16"/>
    <mergeCell ref="I16:L16"/>
    <mergeCell ref="B17:C17"/>
    <mergeCell ref="B18:C18"/>
    <mergeCell ref="B19:C19"/>
    <mergeCell ref="A20:L20"/>
    <mergeCell ref="B21:C21"/>
    <mergeCell ref="D21:E21"/>
    <mergeCell ref="F21:G21"/>
    <mergeCell ref="H21:I21"/>
    <mergeCell ref="J21:L21"/>
    <mergeCell ref="B22:C22"/>
    <mergeCell ref="D22:E22"/>
    <mergeCell ref="F22:G22"/>
    <mergeCell ref="H22:I22"/>
    <mergeCell ref="J22:L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A25:L25"/>
    <mergeCell ref="B27:C27"/>
    <mergeCell ref="D27:E27"/>
    <mergeCell ref="F27:G27"/>
    <mergeCell ref="H27:I27"/>
    <mergeCell ref="J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A31:L31"/>
    <mergeCell ref="A32:J32"/>
    <mergeCell ref="I17:L19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40"/>
  <sheetViews>
    <sheetView zoomScale="60" zoomScaleNormal="60" topLeftCell="F1" workbookViewId="0">
      <selection activeCell="BZ44" sqref="BZ44"/>
    </sheetView>
  </sheetViews>
  <sheetFormatPr defaultColWidth="8.89090909090909" defaultRowHeight="14"/>
  <cols>
    <col min="1" max="1" width="12.7818181818182" customWidth="1"/>
    <col min="2" max="2" width="24.6" customWidth="1"/>
    <col min="3" max="3" width="7.63636363636364" customWidth="1"/>
    <col min="4" max="5" width="12.7818181818182" customWidth="1"/>
    <col min="6" max="103" width="3.57272727272727" customWidth="1"/>
  </cols>
  <sheetData>
    <row r="1" ht="40" customHeight="1" spans="1:103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3"/>
    </row>
    <row r="2" ht="20" customHeight="1" spans="1:103">
      <c r="A2" s="4" t="s">
        <v>73</v>
      </c>
      <c r="B2" s="5" t="s">
        <v>74</v>
      </c>
      <c r="C2" s="6" t="s">
        <v>10</v>
      </c>
      <c r="D2" s="6" t="s">
        <v>75</v>
      </c>
      <c r="E2" s="6" t="s">
        <v>76</v>
      </c>
      <c r="F2" s="7" t="s">
        <v>77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9"/>
    </row>
    <row r="3" ht="20" customHeight="1" spans="1:103">
      <c r="A3" s="10"/>
      <c r="B3" s="5"/>
      <c r="C3" s="6"/>
      <c r="D3" s="6"/>
      <c r="E3" s="6"/>
      <c r="F3" s="11" t="s">
        <v>78</v>
      </c>
      <c r="G3" s="11"/>
      <c r="H3" s="11"/>
      <c r="I3" s="11"/>
      <c r="J3" s="11"/>
      <c r="K3" s="11"/>
      <c r="L3" s="11"/>
      <c r="M3" s="11" t="s">
        <v>79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 t="s">
        <v>80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 t="s">
        <v>81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 t="s">
        <v>82</v>
      </c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 t="s">
        <v>83</v>
      </c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2" t="s">
        <v>84</v>
      </c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3"/>
    </row>
    <row r="4" ht="20" customHeight="1" spans="1:103">
      <c r="A4" s="10"/>
      <c r="B4" s="5"/>
      <c r="C4" s="6"/>
      <c r="D4" s="6"/>
      <c r="E4" s="6"/>
      <c r="F4" s="14">
        <v>20</v>
      </c>
      <c r="G4" s="14">
        <v>22</v>
      </c>
      <c r="H4" s="14">
        <v>24</v>
      </c>
      <c r="I4" s="14">
        <v>26</v>
      </c>
      <c r="J4" s="14">
        <v>28</v>
      </c>
      <c r="K4" s="14">
        <v>30</v>
      </c>
      <c r="L4" s="14">
        <v>31</v>
      </c>
      <c r="M4" s="12">
        <v>2</v>
      </c>
      <c r="N4" s="12">
        <v>4</v>
      </c>
      <c r="O4" s="12">
        <v>6</v>
      </c>
      <c r="P4" s="12">
        <v>8</v>
      </c>
      <c r="Q4" s="12">
        <v>10</v>
      </c>
      <c r="R4" s="12">
        <v>12</v>
      </c>
      <c r="S4" s="12">
        <v>14</v>
      </c>
      <c r="T4" s="12">
        <v>16</v>
      </c>
      <c r="U4" s="12">
        <v>18</v>
      </c>
      <c r="V4" s="12">
        <v>20</v>
      </c>
      <c r="W4" s="12">
        <v>22</v>
      </c>
      <c r="X4" s="12">
        <v>24</v>
      </c>
      <c r="Y4" s="12">
        <v>26</v>
      </c>
      <c r="Z4" s="12">
        <v>28</v>
      </c>
      <c r="AA4" s="12">
        <v>2</v>
      </c>
      <c r="AB4" s="12">
        <v>4</v>
      </c>
      <c r="AC4" s="12">
        <v>6</v>
      </c>
      <c r="AD4" s="12">
        <v>8</v>
      </c>
      <c r="AE4" s="12">
        <v>10</v>
      </c>
      <c r="AF4" s="12">
        <v>12</v>
      </c>
      <c r="AG4" s="12">
        <v>14</v>
      </c>
      <c r="AH4" s="12">
        <v>16</v>
      </c>
      <c r="AI4" s="12">
        <v>17</v>
      </c>
      <c r="AJ4" s="12">
        <v>18</v>
      </c>
      <c r="AK4" s="12">
        <v>20</v>
      </c>
      <c r="AL4" s="12">
        <v>22</v>
      </c>
      <c r="AM4" s="12">
        <v>24</v>
      </c>
      <c r="AN4" s="12">
        <v>26</v>
      </c>
      <c r="AO4" s="12">
        <v>28</v>
      </c>
      <c r="AP4" s="12">
        <v>30</v>
      </c>
      <c r="AQ4" s="12">
        <v>2</v>
      </c>
      <c r="AR4" s="12">
        <v>4</v>
      </c>
      <c r="AS4" s="12">
        <v>6</v>
      </c>
      <c r="AT4" s="12">
        <v>8</v>
      </c>
      <c r="AU4" s="12">
        <v>10</v>
      </c>
      <c r="AV4" s="12">
        <v>12</v>
      </c>
      <c r="AW4" s="12">
        <v>14</v>
      </c>
      <c r="AX4" s="12">
        <v>16</v>
      </c>
      <c r="AY4" s="12">
        <v>18</v>
      </c>
      <c r="AZ4" s="12">
        <v>20</v>
      </c>
      <c r="BA4" s="12">
        <v>22</v>
      </c>
      <c r="BB4" s="12">
        <v>24</v>
      </c>
      <c r="BC4" s="12">
        <v>25</v>
      </c>
      <c r="BD4" s="12">
        <v>26</v>
      </c>
      <c r="BE4" s="12">
        <v>28</v>
      </c>
      <c r="BF4" s="12">
        <v>30</v>
      </c>
      <c r="BG4" s="12">
        <v>2</v>
      </c>
      <c r="BH4" s="12">
        <v>4</v>
      </c>
      <c r="BI4" s="12">
        <v>6</v>
      </c>
      <c r="BJ4" s="12">
        <v>8</v>
      </c>
      <c r="BK4" s="12">
        <v>10</v>
      </c>
      <c r="BL4" s="12">
        <v>12</v>
      </c>
      <c r="BM4" s="12">
        <v>14</v>
      </c>
      <c r="BN4" s="12">
        <v>16</v>
      </c>
      <c r="BO4" s="12">
        <v>18</v>
      </c>
      <c r="BP4" s="12">
        <v>20</v>
      </c>
      <c r="BQ4" s="12">
        <v>22</v>
      </c>
      <c r="BR4" s="12">
        <v>24</v>
      </c>
      <c r="BS4" s="12">
        <v>26</v>
      </c>
      <c r="BT4" s="12">
        <v>28</v>
      </c>
      <c r="BU4" s="12">
        <v>30</v>
      </c>
      <c r="BV4" s="12">
        <v>2</v>
      </c>
      <c r="BW4" s="12">
        <v>4</v>
      </c>
      <c r="BX4" s="12">
        <v>6</v>
      </c>
      <c r="BY4" s="12">
        <v>8</v>
      </c>
      <c r="BZ4" s="12">
        <v>10</v>
      </c>
      <c r="CA4" s="12">
        <v>12</v>
      </c>
      <c r="CB4" s="12">
        <v>14</v>
      </c>
      <c r="CC4" s="12">
        <v>16</v>
      </c>
      <c r="CD4" s="12">
        <v>18</v>
      </c>
      <c r="CE4" s="12">
        <v>20</v>
      </c>
      <c r="CF4" s="12">
        <v>22</v>
      </c>
      <c r="CG4" s="12">
        <v>24</v>
      </c>
      <c r="CH4" s="12">
        <v>26</v>
      </c>
      <c r="CI4" s="12">
        <v>28</v>
      </c>
      <c r="CJ4" s="12">
        <v>30</v>
      </c>
      <c r="CK4" s="12">
        <v>2</v>
      </c>
      <c r="CL4" s="12">
        <v>4</v>
      </c>
      <c r="CM4" s="12">
        <v>6</v>
      </c>
      <c r="CN4" s="12">
        <v>8</v>
      </c>
      <c r="CO4" s="12">
        <v>10</v>
      </c>
      <c r="CP4" s="12">
        <v>12</v>
      </c>
      <c r="CQ4" s="12">
        <v>14</v>
      </c>
      <c r="CR4" s="12">
        <v>16</v>
      </c>
      <c r="CS4" s="12">
        <v>18</v>
      </c>
      <c r="CT4" s="12">
        <v>20</v>
      </c>
      <c r="CU4" s="12">
        <v>22</v>
      </c>
      <c r="CV4" s="12">
        <v>24</v>
      </c>
      <c r="CW4" s="12">
        <v>26</v>
      </c>
      <c r="CX4" s="12">
        <v>28</v>
      </c>
      <c r="CY4" s="13">
        <v>30</v>
      </c>
    </row>
    <row r="5" ht="20" customHeight="1" spans="1:103">
      <c r="A5" s="15" t="s">
        <v>85</v>
      </c>
      <c r="B5" s="16" t="s">
        <v>86</v>
      </c>
      <c r="C5" s="17" t="s">
        <v>87</v>
      </c>
      <c r="D5" s="18">
        <v>46042</v>
      </c>
      <c r="E5" s="18">
        <v>46053</v>
      </c>
      <c r="F5" s="19"/>
      <c r="G5" s="19"/>
      <c r="H5" s="19"/>
      <c r="I5" s="19"/>
      <c r="J5" s="19"/>
      <c r="K5" s="19"/>
      <c r="L5" s="19"/>
      <c r="M5" s="20"/>
      <c r="N5" s="20"/>
      <c r="O5" s="20"/>
      <c r="P5" s="20"/>
      <c r="Q5" s="20"/>
      <c r="R5" s="21" t="s">
        <v>88</v>
      </c>
      <c r="S5" s="22"/>
      <c r="T5" s="22"/>
      <c r="U5" s="22"/>
      <c r="V5" s="22"/>
      <c r="W5" s="22"/>
      <c r="X5" s="23"/>
      <c r="Y5" s="24"/>
      <c r="Z5" s="24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6"/>
      <c r="CX5" s="26"/>
      <c r="CY5" s="27"/>
    </row>
    <row r="6" ht="20" customHeight="1" spans="1:103">
      <c r="A6" s="15"/>
      <c r="B6" s="28"/>
      <c r="C6" s="17" t="s">
        <v>89</v>
      </c>
      <c r="D6" s="18">
        <v>46044</v>
      </c>
      <c r="E6" s="18">
        <v>46055</v>
      </c>
      <c r="F6" s="20"/>
      <c r="G6" s="29"/>
      <c r="H6" s="29"/>
      <c r="I6" s="29"/>
      <c r="J6" s="29"/>
      <c r="K6" s="29"/>
      <c r="L6" s="29"/>
      <c r="M6" s="29"/>
      <c r="N6" s="20"/>
      <c r="O6" s="20"/>
      <c r="P6" s="20"/>
      <c r="Q6" s="20"/>
      <c r="R6" s="30"/>
      <c r="S6" s="31"/>
      <c r="T6" s="31"/>
      <c r="U6" s="31"/>
      <c r="V6" s="31"/>
      <c r="W6" s="31"/>
      <c r="X6" s="32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6"/>
      <c r="CX6" s="26"/>
      <c r="CY6" s="27"/>
    </row>
    <row r="7" ht="20" customHeight="1" spans="1:103">
      <c r="A7" s="15"/>
      <c r="B7" s="16" t="s">
        <v>90</v>
      </c>
      <c r="C7" s="17" t="s">
        <v>87</v>
      </c>
      <c r="D7" s="18">
        <v>46054</v>
      </c>
      <c r="E7" s="18">
        <v>46078</v>
      </c>
      <c r="F7" s="20"/>
      <c r="G7" s="20"/>
      <c r="H7" s="20"/>
      <c r="I7" s="20"/>
      <c r="J7" s="20"/>
      <c r="K7" s="20"/>
      <c r="L7" s="2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19"/>
      <c r="Y7" s="19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5" t="s">
        <v>91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7"/>
      <c r="BB7" s="25"/>
      <c r="BC7" s="25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6"/>
      <c r="CX7" s="26"/>
      <c r="CY7" s="27"/>
    </row>
    <row r="8" ht="20" customHeight="1" spans="1:103">
      <c r="A8" s="15"/>
      <c r="B8" s="28"/>
      <c r="C8" s="17" t="s">
        <v>89</v>
      </c>
      <c r="D8" s="18">
        <v>46056</v>
      </c>
      <c r="E8" s="18">
        <v>46093</v>
      </c>
      <c r="F8" s="20"/>
      <c r="G8" s="20"/>
      <c r="H8" s="20"/>
      <c r="I8" s="20"/>
      <c r="J8" s="20"/>
      <c r="K8" s="20"/>
      <c r="L8" s="20"/>
      <c r="M8" s="2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0"/>
      <c r="AH8" s="20"/>
      <c r="AI8" s="38"/>
      <c r="AJ8" s="39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1"/>
      <c r="BB8" s="25"/>
      <c r="BC8" s="25"/>
      <c r="BD8" s="25"/>
      <c r="BE8" s="25"/>
      <c r="BF8" s="25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6"/>
      <c r="CX8" s="26"/>
      <c r="CY8" s="27"/>
    </row>
    <row r="9" ht="20" customHeight="1" spans="1:103">
      <c r="A9" s="15"/>
      <c r="B9" s="16" t="s">
        <v>92</v>
      </c>
      <c r="C9" s="17" t="s">
        <v>87</v>
      </c>
      <c r="D9" s="18">
        <v>46054</v>
      </c>
      <c r="E9" s="18">
        <v>46078</v>
      </c>
      <c r="F9" s="20"/>
      <c r="G9" s="20"/>
      <c r="H9" s="17"/>
      <c r="I9" s="17"/>
      <c r="J9" s="17"/>
      <c r="K9" s="20"/>
      <c r="L9" s="20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35" t="s">
        <v>93</v>
      </c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3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6"/>
      <c r="CX9" s="26"/>
      <c r="CY9" s="27"/>
    </row>
    <row r="10" ht="20" customHeight="1" spans="1:103">
      <c r="A10" s="15"/>
      <c r="B10" s="28"/>
      <c r="C10" s="17" t="s">
        <v>89</v>
      </c>
      <c r="D10" s="18">
        <v>46056</v>
      </c>
      <c r="E10" s="18">
        <v>46098</v>
      </c>
      <c r="F10" s="20"/>
      <c r="G10" s="20"/>
      <c r="H10" s="17"/>
      <c r="I10" s="17"/>
      <c r="J10" s="17"/>
      <c r="K10" s="20"/>
      <c r="L10" s="20"/>
      <c r="M10" s="2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5"/>
      <c r="AK10" s="25"/>
      <c r="AL10" s="25"/>
      <c r="AM10" s="44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6"/>
      <c r="BF10" s="25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6"/>
      <c r="CX10" s="26"/>
      <c r="CY10" s="27"/>
    </row>
    <row r="11" ht="20" customHeight="1" spans="1:103">
      <c r="A11" s="15"/>
      <c r="B11" s="16" t="s">
        <v>94</v>
      </c>
      <c r="C11" s="17" t="s">
        <v>87</v>
      </c>
      <c r="D11" s="18">
        <v>46079</v>
      </c>
      <c r="E11" s="18">
        <v>46103</v>
      </c>
      <c r="F11" s="20"/>
      <c r="G11" s="20"/>
      <c r="H11" s="17"/>
      <c r="I11" s="17"/>
      <c r="J11" s="17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47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20"/>
      <c r="AN11" s="20"/>
      <c r="AO11" s="20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35" t="s">
        <v>95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3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6"/>
      <c r="CX11" s="26"/>
      <c r="CY11" s="27"/>
    </row>
    <row r="12" ht="20" customHeight="1" spans="1:103">
      <c r="A12" s="15"/>
      <c r="B12" s="28"/>
      <c r="C12" s="17" t="s">
        <v>89</v>
      </c>
      <c r="D12" s="18">
        <v>46095</v>
      </c>
      <c r="E12" s="18">
        <v>46132</v>
      </c>
      <c r="F12" s="20"/>
      <c r="G12" s="20"/>
      <c r="H12" s="17"/>
      <c r="I12" s="17"/>
      <c r="J12" s="17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30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2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6"/>
      <c r="CX12" s="26"/>
      <c r="CY12" s="27"/>
    </row>
    <row r="13" ht="20" customHeight="1" spans="1:103">
      <c r="A13" s="15"/>
      <c r="B13" s="16" t="s">
        <v>96</v>
      </c>
      <c r="C13" s="17" t="s">
        <v>87</v>
      </c>
      <c r="D13" s="18">
        <v>46079</v>
      </c>
      <c r="E13" s="18">
        <v>46103</v>
      </c>
      <c r="F13" s="20"/>
      <c r="G13" s="20"/>
      <c r="H13" s="17"/>
      <c r="I13" s="17"/>
      <c r="J13" s="17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20"/>
      <c r="AN13" s="20"/>
      <c r="AO13" s="20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48"/>
      <c r="BD13" s="35" t="s">
        <v>97</v>
      </c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3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6"/>
      <c r="CX13" s="26"/>
      <c r="CY13" s="27"/>
    </row>
    <row r="14" ht="20" customHeight="1" spans="1:103">
      <c r="A14" s="15"/>
      <c r="B14" s="28"/>
      <c r="C14" s="17" t="s">
        <v>89</v>
      </c>
      <c r="D14" s="18">
        <v>46099</v>
      </c>
      <c r="E14" s="18">
        <v>46137</v>
      </c>
      <c r="F14" s="20"/>
      <c r="G14" s="20"/>
      <c r="H14" s="17"/>
      <c r="I14" s="17"/>
      <c r="J14" s="17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49"/>
      <c r="BD14" s="44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6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6"/>
      <c r="CX14" s="26"/>
      <c r="CY14" s="27"/>
    </row>
    <row r="15" ht="20" customHeight="1" spans="1:103">
      <c r="A15" s="15"/>
      <c r="B15" s="16" t="s">
        <v>98</v>
      </c>
      <c r="C15" s="17" t="s">
        <v>87</v>
      </c>
      <c r="D15" s="18">
        <v>46104</v>
      </c>
      <c r="E15" s="18">
        <v>46129</v>
      </c>
      <c r="F15" s="20"/>
      <c r="G15" s="20"/>
      <c r="H15" s="17"/>
      <c r="I15" s="17"/>
      <c r="J15" s="17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50" t="s">
        <v>99</v>
      </c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6"/>
      <c r="CX15" s="26"/>
      <c r="CY15" s="27"/>
    </row>
    <row r="16" ht="20" customHeight="1" spans="1:103">
      <c r="A16" s="15"/>
      <c r="B16" s="28"/>
      <c r="C16" s="17" t="s">
        <v>89</v>
      </c>
      <c r="D16" s="18">
        <v>46133</v>
      </c>
      <c r="E16" s="18"/>
      <c r="F16" s="20"/>
      <c r="G16" s="20"/>
      <c r="H16" s="17"/>
      <c r="I16" s="17"/>
      <c r="J16" s="17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9"/>
      <c r="BB16" s="29"/>
      <c r="BC16" s="29"/>
      <c r="BD16" s="29"/>
      <c r="BE16" s="29"/>
      <c r="BF16" s="29"/>
      <c r="BG16" s="52"/>
      <c r="BH16" s="52"/>
      <c r="BI16" s="52"/>
      <c r="BJ16" s="52"/>
      <c r="BK16" s="52"/>
      <c r="BL16" s="52"/>
      <c r="BM16" s="52"/>
      <c r="BN16" s="53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6"/>
      <c r="CX16" s="26"/>
      <c r="CY16" s="27"/>
    </row>
    <row r="17" ht="20" customHeight="1" spans="1:103">
      <c r="A17" s="15"/>
      <c r="B17" s="16" t="s">
        <v>100</v>
      </c>
      <c r="C17" s="17" t="s">
        <v>87</v>
      </c>
      <c r="D17" s="18">
        <v>46104</v>
      </c>
      <c r="E17" s="18">
        <v>46129</v>
      </c>
      <c r="F17" s="20"/>
      <c r="G17" s="20"/>
      <c r="H17" s="17"/>
      <c r="I17" s="17"/>
      <c r="J17" s="17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50" t="s">
        <v>101</v>
      </c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6"/>
      <c r="CX17" s="26"/>
      <c r="CY17" s="27"/>
    </row>
    <row r="18" ht="20" customHeight="1" spans="1:103">
      <c r="A18" s="15"/>
      <c r="B18" s="28"/>
      <c r="C18" s="17" t="s">
        <v>89</v>
      </c>
      <c r="D18" s="18">
        <v>46138</v>
      </c>
      <c r="E18" s="18"/>
      <c r="F18" s="20"/>
      <c r="G18" s="20"/>
      <c r="H18" s="17"/>
      <c r="I18" s="17"/>
      <c r="J18" s="17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53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6"/>
      <c r="CX18" s="26"/>
      <c r="CY18" s="27"/>
    </row>
    <row r="19" ht="20" customHeight="1" spans="1:103">
      <c r="A19" s="15"/>
      <c r="B19" s="16" t="s">
        <v>102</v>
      </c>
      <c r="C19" s="17" t="s">
        <v>87</v>
      </c>
      <c r="D19" s="18">
        <v>46130</v>
      </c>
      <c r="E19" s="18">
        <v>46154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50" t="s">
        <v>103</v>
      </c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6"/>
      <c r="CX19" s="26"/>
      <c r="CY19" s="27"/>
    </row>
    <row r="20" ht="20" customHeight="1" spans="1:103">
      <c r="A20" s="15"/>
      <c r="B20" s="28"/>
      <c r="C20" s="17" t="s">
        <v>89</v>
      </c>
      <c r="D20" s="18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9"/>
      <c r="BO20" s="29"/>
      <c r="BP20" s="29"/>
      <c r="BQ20" s="29"/>
      <c r="BR20" s="29"/>
      <c r="BS20" s="29"/>
      <c r="BT20" s="29"/>
      <c r="BU20" s="29"/>
      <c r="BV20" s="55"/>
      <c r="BW20" s="55"/>
      <c r="BX20" s="55"/>
      <c r="BY20" s="55"/>
      <c r="BZ20" s="53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6"/>
      <c r="CX20" s="26"/>
      <c r="CY20" s="27"/>
    </row>
    <row r="21" ht="20" customHeight="1" spans="1:103">
      <c r="A21" s="15"/>
      <c r="B21" s="16" t="s">
        <v>104</v>
      </c>
      <c r="C21" s="17" t="s">
        <v>87</v>
      </c>
      <c r="D21" s="18">
        <v>46130</v>
      </c>
      <c r="E21" s="18">
        <v>46154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20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0" t="s">
        <v>105</v>
      </c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8"/>
      <c r="CN21" s="56"/>
      <c r="CO21" s="56"/>
      <c r="CP21" s="56"/>
      <c r="CQ21" s="56"/>
      <c r="CR21" s="56"/>
      <c r="CS21" s="56"/>
      <c r="CT21" s="56"/>
      <c r="CU21" s="56"/>
      <c r="CV21" s="56"/>
      <c r="CW21" s="26"/>
      <c r="CX21" s="26"/>
      <c r="CY21" s="27"/>
    </row>
    <row r="22" ht="20" customHeight="1" spans="1:103">
      <c r="A22" s="15"/>
      <c r="B22" s="28"/>
      <c r="C22" s="17" t="s">
        <v>89</v>
      </c>
      <c r="D22" s="18"/>
      <c r="E22" s="18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20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9"/>
      <c r="BR22" s="59"/>
      <c r="BS22" s="59"/>
      <c r="BT22" s="59"/>
      <c r="BU22" s="59"/>
      <c r="BV22" s="60"/>
      <c r="BW22" s="60"/>
      <c r="BX22" s="60"/>
      <c r="BY22" s="60"/>
      <c r="BZ22" s="60"/>
      <c r="CA22" s="60"/>
      <c r="CB22" s="53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8"/>
      <c r="CN22" s="56"/>
      <c r="CO22" s="56"/>
      <c r="CP22" s="56"/>
      <c r="CQ22" s="56"/>
      <c r="CR22" s="56"/>
      <c r="CS22" s="56"/>
      <c r="CT22" s="56"/>
      <c r="CU22" s="56"/>
      <c r="CV22" s="56"/>
      <c r="CW22" s="26"/>
      <c r="CX22" s="26"/>
      <c r="CY22" s="27"/>
    </row>
    <row r="23" ht="20" customHeight="1" spans="1:103">
      <c r="A23" s="15"/>
      <c r="B23" s="61" t="s">
        <v>106</v>
      </c>
      <c r="C23" s="17" t="s">
        <v>87</v>
      </c>
      <c r="D23" s="18">
        <v>46155</v>
      </c>
      <c r="E23" s="18">
        <v>46164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20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7"/>
      <c r="BN23" s="57"/>
      <c r="BO23" s="57"/>
      <c r="BP23" s="57"/>
      <c r="BQ23" s="57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26"/>
      <c r="CX23" s="26"/>
      <c r="CY23" s="27"/>
    </row>
    <row r="24" ht="20" customHeight="1" spans="1:103">
      <c r="A24" s="15"/>
      <c r="B24" s="62"/>
      <c r="C24" s="17" t="s">
        <v>89</v>
      </c>
      <c r="D24" s="18"/>
      <c r="E24" s="18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20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26"/>
      <c r="CX24" s="26"/>
      <c r="CY24" s="27"/>
    </row>
    <row r="25" ht="20" customHeight="1" spans="1:103">
      <c r="A25" s="64" t="s">
        <v>107</v>
      </c>
      <c r="B25" s="65" t="s">
        <v>108</v>
      </c>
      <c r="C25" s="17" t="s">
        <v>87</v>
      </c>
      <c r="D25" s="18">
        <v>46088</v>
      </c>
      <c r="E25" s="18">
        <v>46168</v>
      </c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20"/>
      <c r="AB25" s="56"/>
      <c r="AC25" s="56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26"/>
      <c r="CX25" s="26"/>
      <c r="CY25" s="27"/>
    </row>
    <row r="26" ht="20" customHeight="1" spans="1:103">
      <c r="A26" s="66"/>
      <c r="B26" s="62"/>
      <c r="C26" s="17" t="s">
        <v>89</v>
      </c>
      <c r="D26" s="18"/>
      <c r="E26" s="18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20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26"/>
      <c r="CX26" s="26"/>
      <c r="CY26" s="27"/>
    </row>
    <row r="27" ht="20" customHeight="1" spans="1:103">
      <c r="A27" s="66"/>
      <c r="B27" s="68" t="s">
        <v>109</v>
      </c>
      <c r="C27" s="17" t="s">
        <v>87</v>
      </c>
      <c r="D27" s="18">
        <v>46102</v>
      </c>
      <c r="E27" s="18">
        <v>46168</v>
      </c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20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26"/>
      <c r="CX27" s="26"/>
      <c r="CY27" s="27"/>
    </row>
    <row r="28" ht="20" customHeight="1" spans="1:103">
      <c r="A28" s="66"/>
      <c r="B28" s="69"/>
      <c r="C28" s="17" t="s">
        <v>89</v>
      </c>
      <c r="D28" s="18"/>
      <c r="E28" s="18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20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26"/>
      <c r="CX28" s="26"/>
      <c r="CY28" s="27"/>
    </row>
    <row r="29" ht="20" customHeight="1" spans="1:103">
      <c r="A29" s="66"/>
      <c r="B29" s="68" t="s">
        <v>110</v>
      </c>
      <c r="C29" s="17" t="s">
        <v>87</v>
      </c>
      <c r="D29" s="18">
        <v>46123</v>
      </c>
      <c r="E29" s="18">
        <v>46179</v>
      </c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20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26"/>
      <c r="CX29" s="26"/>
      <c r="CY29" s="27"/>
    </row>
    <row r="30" ht="20" customHeight="1" spans="1:103">
      <c r="A30" s="66"/>
      <c r="B30" s="69"/>
      <c r="C30" s="17" t="s">
        <v>89</v>
      </c>
      <c r="D30" s="18"/>
      <c r="E30" s="18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20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26"/>
      <c r="CX30" s="26"/>
      <c r="CY30" s="27"/>
    </row>
    <row r="31" ht="20" customHeight="1" spans="1:103">
      <c r="A31" s="66"/>
      <c r="B31" s="68" t="s">
        <v>111</v>
      </c>
      <c r="C31" s="17" t="s">
        <v>87</v>
      </c>
      <c r="D31" s="18">
        <v>46169</v>
      </c>
      <c r="E31" s="18">
        <v>46199</v>
      </c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20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26"/>
      <c r="CX31" s="26"/>
      <c r="CY31" s="27"/>
    </row>
    <row r="32" ht="20" customHeight="1" spans="1:103">
      <c r="A32" s="70"/>
      <c r="B32" s="69"/>
      <c r="C32" s="17" t="s">
        <v>89</v>
      </c>
      <c r="D32" s="18"/>
      <c r="E32" s="18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20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26"/>
      <c r="CX32" s="26"/>
      <c r="CY32" s="27"/>
    </row>
    <row r="33" ht="20" customHeight="1" spans="1:103">
      <c r="A33" s="71" t="s">
        <v>112</v>
      </c>
      <c r="B33" s="68" t="s">
        <v>113</v>
      </c>
      <c r="C33" s="17" t="s">
        <v>87</v>
      </c>
      <c r="D33" s="18">
        <v>46200</v>
      </c>
      <c r="E33" s="18">
        <v>46205</v>
      </c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20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7"/>
      <c r="CJ33" s="57"/>
      <c r="CK33" s="57"/>
      <c r="CL33" s="56"/>
      <c r="CM33" s="56"/>
      <c r="CN33" s="56"/>
      <c r="CO33" s="56"/>
      <c r="CP33" s="56"/>
      <c r="CQ33" s="56"/>
      <c r="CR33" s="56"/>
      <c r="CS33" s="63"/>
      <c r="CT33" s="63"/>
      <c r="CU33" s="56"/>
      <c r="CV33" s="56"/>
      <c r="CW33" s="26"/>
      <c r="CX33" s="26"/>
      <c r="CY33" s="27"/>
    </row>
    <row r="34" ht="20" customHeight="1" spans="1:103">
      <c r="A34" s="72"/>
      <c r="B34" s="69"/>
      <c r="C34" s="17" t="s">
        <v>89</v>
      </c>
      <c r="D34" s="18"/>
      <c r="E34" s="18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20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63"/>
      <c r="CL34" s="63"/>
      <c r="CM34" s="63"/>
      <c r="CN34" s="63"/>
      <c r="CO34" s="63"/>
      <c r="CP34" s="63"/>
      <c r="CQ34" s="63"/>
      <c r="CR34" s="56"/>
      <c r="CS34" s="63"/>
      <c r="CT34" s="63"/>
      <c r="CU34" s="56"/>
      <c r="CV34" s="56"/>
      <c r="CW34" s="26"/>
      <c r="CX34" s="26"/>
      <c r="CY34" s="27"/>
    </row>
    <row r="35" ht="20" customHeight="1" spans="1:103">
      <c r="A35" s="72"/>
      <c r="B35" s="68" t="s">
        <v>114</v>
      </c>
      <c r="C35" s="17" t="s">
        <v>87</v>
      </c>
      <c r="D35" s="18">
        <v>46206</v>
      </c>
      <c r="E35" s="18">
        <v>46215</v>
      </c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20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7"/>
      <c r="CM35" s="57"/>
      <c r="CN35" s="57"/>
      <c r="CO35" s="57"/>
      <c r="CP35" s="57"/>
      <c r="CQ35" s="56"/>
      <c r="CR35" s="56"/>
      <c r="CS35" s="63"/>
      <c r="CT35" s="63"/>
      <c r="CU35" s="56"/>
      <c r="CV35" s="56"/>
      <c r="CW35" s="26"/>
      <c r="CX35" s="26"/>
      <c r="CY35" s="27"/>
    </row>
    <row r="36" ht="20" customHeight="1" spans="1:103">
      <c r="A36" s="73"/>
      <c r="B36" s="69"/>
      <c r="C36" s="17" t="s">
        <v>89</v>
      </c>
      <c r="D36" s="18"/>
      <c r="E36" s="18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20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63"/>
      <c r="CT36" s="63"/>
      <c r="CU36" s="56"/>
      <c r="CV36" s="56"/>
      <c r="CW36" s="26"/>
      <c r="CX36" s="26"/>
      <c r="CY36" s="27"/>
    </row>
    <row r="37" ht="20" customHeight="1" spans="1:103">
      <c r="A37" s="10" t="s">
        <v>115</v>
      </c>
      <c r="B37" s="11" t="s">
        <v>116</v>
      </c>
      <c r="C37" s="17" t="s">
        <v>87</v>
      </c>
      <c r="D37" s="18">
        <v>46216</v>
      </c>
      <c r="E37" s="18">
        <v>46223</v>
      </c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20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7"/>
      <c r="CR37" s="57"/>
      <c r="CS37" s="57"/>
      <c r="CT37" s="57"/>
      <c r="CU37" s="56"/>
      <c r="CV37" s="56"/>
      <c r="CW37" s="26"/>
      <c r="CX37" s="26"/>
      <c r="CY37" s="27"/>
    </row>
    <row r="38" ht="20" customHeight="1" spans="1:103">
      <c r="A38" s="10"/>
      <c r="B38" s="11"/>
      <c r="C38" s="17" t="s">
        <v>89</v>
      </c>
      <c r="D38" s="18"/>
      <c r="E38" s="18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20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26"/>
      <c r="CX38" s="26"/>
      <c r="CY38" s="27"/>
    </row>
    <row r="39" ht="20" customHeight="1" spans="1:103">
      <c r="A39" s="74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6" t="s">
        <v>117</v>
      </c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7"/>
    </row>
    <row r="40" ht="20" customHeight="1" spans="1:103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80">
        <v>46144</v>
      </c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2"/>
    </row>
  </sheetData>
  <mergeCells count="47">
    <mergeCell ref="A1:CY1"/>
    <mergeCell ref="F2:CY2"/>
    <mergeCell ref="F3:L3"/>
    <mergeCell ref="M3:Z3"/>
    <mergeCell ref="AA3:AP3"/>
    <mergeCell ref="AQ3:BF3"/>
    <mergeCell ref="BG3:BU3"/>
    <mergeCell ref="BV3:CJ3"/>
    <mergeCell ref="CK3:CY3"/>
    <mergeCell ref="CL39:CY39"/>
    <mergeCell ref="CL40:CY40"/>
    <mergeCell ref="A2:A4"/>
    <mergeCell ref="A5:A24"/>
    <mergeCell ref="A25:A32"/>
    <mergeCell ref="A33:A36"/>
    <mergeCell ref="A37:A38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C2:C4"/>
    <mergeCell ref="D2:D4"/>
    <mergeCell ref="E2:E4"/>
    <mergeCell ref="R5:X6"/>
    <mergeCell ref="AJ7:BA8"/>
    <mergeCell ref="AM9:BE10"/>
    <mergeCell ref="BD13:BQ14"/>
    <mergeCell ref="BA11:BM12"/>
    <mergeCell ref="A39:CK40"/>
    <mergeCell ref="BN15:BX16"/>
    <mergeCell ref="BQ17:CA18"/>
    <mergeCell ref="BZ19:CJ20"/>
    <mergeCell ref="CB21:CL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施工进度计划与实际进度对比表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杨超</cp:lastModifiedBy>
  <dcterms:created xsi:type="dcterms:W3CDTF">2025-09-30T02:34:00Z</dcterms:created>
  <dcterms:modified xsi:type="dcterms:W3CDTF">2026-06-08T11:58:34Z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3C3708AA64CA4AEF84EDBA23D19C566D_13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