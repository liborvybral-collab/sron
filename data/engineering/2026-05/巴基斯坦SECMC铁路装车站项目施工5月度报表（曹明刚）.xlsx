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施工月度报表" sheetId="1" r:id="rId1"/>
    <sheet name="施工进度计划与实际进度对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<sst xmlns="http://schemas.openxmlformats.org/spreadsheetml/2006/main" count="193" uniqueCount="130">
  <si>
    <t>项目业财融合施工2026年（5）月度报表</t>
  </si>
  <si>
    <t>项目名称：巴基斯坦SECMC铁路装车站项目</t>
  </si>
  <si>
    <t>项目规模：1座装车楼、通廊和皮带机及附属设备</t>
  </si>
  <si>
    <t>项目地址：巴基斯坦信德省塔尔煤田二区块</t>
  </si>
  <si>
    <t>计划开工时间：2026年2月1日</t>
  </si>
  <si>
    <t>计划完工时间：2026年11月27日</t>
  </si>
  <si>
    <t>项目经理：曹明刚</t>
  </si>
  <si>
    <t>一、项目施工目标</t>
  </si>
  <si>
    <t>目标分项名称</t>
  </si>
  <si>
    <t>目标值</t>
  </si>
  <si>
    <t>备注</t>
  </si>
  <si>
    <t>施工总成本目标（万元）</t>
  </si>
  <si>
    <t>1867.3万元（土建1089万元+钢结构机电778.3万元）</t>
  </si>
  <si>
    <t>分项成本目标见附表1安装施工成本预算</t>
  </si>
  <si>
    <t>施工总进度目标</t>
  </si>
  <si>
    <t>300天（土建工期135天+钢结构机电设备安装调试165天）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</si>
  <si>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</si>
  <si>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</si>
  <si>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</si>
  <si>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</si>
  <si>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</si>
  <si>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</si>
  <si>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</si>
  <si>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</si>
  <si>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</si>
  <si>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</si>
  <si>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</si>
  <si>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</si>
  <si>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</si>
  <si>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</si>
  <si>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</si>
  <si>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</si>
  <si>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</si>
  <si>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</si>
  <si>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土建部分施工</t>
  </si>
  <si>
    <t>钢结构机电设备安装调试</t>
  </si>
  <si>
    <t>合计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</si>
  <si>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</si>
  <si>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</si>
  <si>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</si>
  <si>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</si>
  <si>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</si>
  <si>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</si>
  <si>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</si>
  <si>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</si>
  <si>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业主施工安装队伍3月份斋月上班半天工期延误，费用超支；4月份土建第二笔里程碑付款业主审核时间过长（27天），OK公司资金不足，组织材料机械进场不力，导致工期延误，费用超支。5月份OK公司增加人员数量超过200人，于5月9日开始采取两班倒赶工，但目前进度仍滞后。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</si>
  <si>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</si>
  <si>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</si>
  <si>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</si>
  <si>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</si>
  <si>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</si>
  <si>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</si>
  <si>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现场材料由安装公司下料</t>
  </si>
  <si>
    <t>与施工同步</t>
  </si>
  <si>
    <t>施工质量问题已按要求整改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</si>
  <si>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</si>
  <si>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</si>
  <si>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</si>
  <si>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</si>
  <si>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</si>
  <si>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</si>
  <si>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</si>
  <si>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</si>
  <si>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</si>
  <si>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</si>
  <si>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项目经理：曹明刚                                                                                                                                                                                                                                                                        
                                                                                                                                                                                                                                                                                                                                2026/5/31</t>
  </si>
  <si>
    <t>2026年巴基斯坦SECMC铁路装车站项目施工进度计划与实际进度对比表</t>
  </si>
  <si>
    <t>工程阶段</t>
  </si>
  <si>
    <t xml:space="preserve">                  时间  
 分项名称</t>
  </si>
  <si>
    <t xml:space="preserve">
开始时间</t>
  </si>
  <si>
    <t xml:space="preserve">
完成时间</t>
  </si>
  <si>
    <t>工期：300（天数）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</si>
  <si>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</si>
  <si>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</si>
  <si>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</si>
  <si>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</si>
  <si>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</si>
  <si>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</si>
  <si>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</si>
  <si>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</si>
  <si>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</si>
  <si>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</si>
  <si>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土
建
部
分</t>
  </si>
  <si>
    <t>现场动员工作</t>
  </si>
  <si>
    <t>三通一平（清表修路）</t>
  </si>
  <si>
    <t>计划</t>
  </si>
  <si>
    <t>备注：因OK公司2月9号收到工程款后才开始械动员，实际开始工作为2月13号，机械为陆续进场，造成延误20天。</t>
  </si>
  <si>
    <t>实际</t>
  </si>
  <si>
    <t>场内动员临建</t>
  </si>
  <si>
    <t>备注：因OK公司2月9号收到工程款后才开始动员，实际开始工作为2月19号，机械为陆续进场，前期业主HSE要求苛刻，机械作业时间有限以及斋月影响，造成延误28天。</t>
  </si>
  <si>
    <t>装车楼、配电室及整平框架部分</t>
  </si>
  <si>
    <t>土方开挖</t>
  </si>
  <si>
    <t>备注：因OK公司2月9号收到工程款后才开始机械动员，前期复核坐标，机械陆续进场，实际开始开挖时间为2月25号，进场后HSE管理苛刻，OK公司自身机械组织不力以及斋月因素，造成延误15天。</t>
  </si>
  <si>
    <t>筏板基础及外墙施工
（含垫层）</t>
  </si>
  <si>
    <t>备注：截止5月31日BPB03基础混凝土已浇筑，装车楼部分工期延误约40天，已于5月9日还是两班倒赶工期。预计6月28日筏板全部完成</t>
  </si>
  <si>
    <t>筏板以上梁板柱施工</t>
  </si>
  <si>
    <t>备注：预计装车楼主体结构施工至7月20日全部结束</t>
  </si>
  <si>
    <t>回填土</t>
  </si>
  <si>
    <t>消防水池、生活水箱、变压器、沉淀池、空压机房、抑尘设备基础</t>
  </si>
  <si>
    <t>基础施工（含垫层）</t>
  </si>
  <si>
    <t>TT4至平直段皮带机部分轴（跨路及水平段支架53个基础）</t>
  </si>
  <si>
    <t>备注：非关键线路，本项工作推迟至5月11日开始，两班倒工作5月31日完成开挖工作。</t>
  </si>
  <si>
    <t>备注：非关键线路，本项工作推迟至5月21日开始，计划两班倒工作预计6月20日完成全部工作。</t>
  </si>
  <si>
    <t>T1~T27支架基础（含驱动装置基础）</t>
  </si>
  <si>
    <t>备注：预计6月10日全部完成开挖工作。</t>
  </si>
  <si>
    <t>备注：实际开始时间为4月21日，OK公司自身机械原因，
预计6月30日全部完成，滞后约35天。</t>
  </si>
  <si>
    <t>高压配电室</t>
  </si>
  <si>
    <t>基础以下施工（含电缆沟）</t>
  </si>
  <si>
    <t>备注：地面以下基础施工预计6.15日完成</t>
  </si>
  <si>
    <t>主体结构施工（含二次结构）</t>
  </si>
  <si>
    <t>装饰装修</t>
  </si>
  <si>
    <t>永久围蔽</t>
  </si>
  <si>
    <t>永久围蔽基础和栏管</t>
  </si>
  <si>
    <t>硬化地面、柱脚及人行道含亮化</t>
  </si>
  <si>
    <t>地面硬化及柱脚（钢结构施工完成后施工）</t>
  </si>
  <si>
    <t>土建收尾验收</t>
  </si>
  <si>
    <t>钢
结
构
设
备
电
气
安
装
及
调
试</t>
  </si>
  <si>
    <t>钢结构机电安装工程</t>
  </si>
  <si>
    <t>装车楼塔架钢结构及筒仓安装</t>
  </si>
  <si>
    <t>皮带机输送走廊钢结构安装</t>
  </si>
  <si>
    <t>工艺管道设备安装工程</t>
  </si>
  <si>
    <t>电气自控安装工程</t>
  </si>
  <si>
    <t>设备调试</t>
  </si>
  <si>
    <t>设备单机调试</t>
  </si>
  <si>
    <t>设备联动调试、空载调试完成</t>
  </si>
  <si>
    <t>带料调试竣工移交</t>
  </si>
  <si>
    <t>带料调试消缺竣工验收移交</t>
  </si>
  <si>
    <t>不计入工期</t>
  </si>
  <si>
    <t>河南实荣筒仓工程有限公司工程部：曹明刚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</si>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</sst>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theme="0"/>
      <name val="宋体"/>
      <charset val="134"/>
      <scheme val="minor"/>
    </font>
    <font>
      <b/>
      <sz val="20"/>
      <name val="宋体"/>
      <charset val="134"/>
    </font>
    <font>
      <b/>
      <sz val="20"/>
      <name val="微软雅黑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4"/>
      <name val="微软雅黑"/>
      <charset val="134"/>
    </font>
    <font>
      <sz val="11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010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40" applyNumberFormat="0" applyAlignment="0" applyProtection="0">
      <alignment vertical="center"/>
    </xf>
    <xf numFmtId="0" fontId="25" fillId="16" borderId="41" applyNumberFormat="0" applyAlignment="0" applyProtection="0">
      <alignment vertical="center"/>
    </xf>
    <xf numFmtId="0" fontId="26" fillId="16" borderId="40" applyNumberFormat="0" applyAlignment="0" applyProtection="0">
      <alignment vertical="center"/>
    </xf>
    <xf numFmtId="0" fontId="27" fillId="17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21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57" fontId="2" fillId="2" borderId="5" xfId="0" applyNumberFormat="1" applyFont="1" applyFill="1" applyBorder="1" applyAlignment="1">
      <alignment horizontal="center" vertical="center"/>
    </xf>
    <xf numFmtId="57" fontId="2" fillId="2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top" wrapText="1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top" wrapText="1"/>
    </xf>
    <xf numFmtId="0" fontId="2" fillId="0" borderId="17" xfId="0" applyFont="1" applyFill="1" applyBorder="1" applyAlignment="1">
      <alignment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21" xfId="0" applyFont="1" applyFill="1" applyBorder="1" applyAlignment="1">
      <alignment horizontal="center" vertical="top" wrapText="1"/>
    </xf>
    <xf numFmtId="0" fontId="3" fillId="0" borderId="22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/>
    </xf>
    <xf numFmtId="14" fontId="3" fillId="0" borderId="25" xfId="0" applyNumberFormat="1" applyFont="1" applyFill="1" applyBorder="1" applyAlignment="1">
      <alignment horizontal="center" vertical="center"/>
    </xf>
    <xf numFmtId="14" fontId="3" fillId="0" borderId="26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176" fontId="11" fillId="6" borderId="5" xfId="0" applyNumberFormat="1" applyFont="1" applyFill="1" applyBorder="1" applyAlignment="1">
      <alignment horizontal="center" vertical="center" wrapText="1"/>
    </xf>
    <xf numFmtId="10" fontId="14" fillId="6" borderId="5" xfId="0" applyNumberFormat="1" applyFont="1" applyFill="1" applyBorder="1" applyAlignment="1">
      <alignment horizontal="center" vertical="center"/>
    </xf>
    <xf numFmtId="4" fontId="11" fillId="6" borderId="5" xfId="0" applyNumberFormat="1" applyFont="1" applyFill="1" applyBorder="1" applyAlignment="1">
      <alignment horizontal="center" vertical="center"/>
    </xf>
    <xf numFmtId="4" fontId="14" fillId="6" borderId="5" xfId="0" applyNumberFormat="1" applyFont="1" applyFill="1" applyBorder="1" applyAlignment="1">
      <alignment horizontal="center" vertical="center"/>
    </xf>
    <xf numFmtId="10" fontId="11" fillId="5" borderId="5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/>
    </xf>
    <xf numFmtId="9" fontId="11" fillId="5" borderId="27" xfId="3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vertical="center"/>
    </xf>
    <xf numFmtId="10" fontId="14" fillId="6" borderId="5" xfId="3" applyNumberFormat="1" applyFont="1" applyFill="1" applyBorder="1" applyAlignment="1" applyProtection="1">
      <alignment horizontal="center" vertical="center"/>
    </xf>
    <xf numFmtId="10" fontId="14" fillId="6" borderId="5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176" fontId="10" fillId="6" borderId="5" xfId="0" applyNumberFormat="1" applyFont="1" applyFill="1" applyBorder="1" applyAlignment="1">
      <alignment horizontal="center" vertical="center"/>
    </xf>
    <xf numFmtId="10" fontId="10" fillId="6" borderId="5" xfId="3" applyNumberFormat="1" applyFont="1" applyFill="1" applyBorder="1" applyAlignment="1">
      <alignment horizontal="center" vertical="center"/>
    </xf>
    <xf numFmtId="10" fontId="10" fillId="6" borderId="5" xfId="0" applyNumberFormat="1" applyFont="1" applyFill="1" applyBorder="1" applyAlignment="1" applyProtection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176" fontId="11" fillId="10" borderId="27" xfId="0" applyNumberFormat="1" applyFont="1" applyFill="1" applyBorder="1" applyAlignment="1">
      <alignment horizontal="center" vertical="center" wrapText="1"/>
    </xf>
    <xf numFmtId="176" fontId="11" fillId="10" borderId="28" xfId="0" applyNumberFormat="1" applyFont="1" applyFill="1" applyBorder="1" applyAlignment="1">
      <alignment horizontal="center" vertical="center" wrapText="1"/>
    </xf>
    <xf numFmtId="4" fontId="14" fillId="10" borderId="5" xfId="0" applyNumberFormat="1" applyFont="1" applyFill="1" applyBorder="1" applyAlignment="1">
      <alignment horizontal="center" vertical="center"/>
    </xf>
    <xf numFmtId="10" fontId="11" fillId="11" borderId="5" xfId="0" applyNumberFormat="1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1" fillId="10" borderId="10" xfId="0" applyFont="1" applyFill="1" applyBorder="1" applyAlignment="1">
      <alignment horizontal="left" vertical="center" wrapText="1"/>
    </xf>
    <xf numFmtId="0" fontId="11" fillId="10" borderId="29" xfId="0" applyFont="1" applyFill="1" applyBorder="1" applyAlignment="1">
      <alignment horizontal="left" vertical="center" wrapText="1"/>
    </xf>
    <xf numFmtId="0" fontId="11" fillId="10" borderId="15" xfId="0" applyFont="1" applyFill="1" applyBorder="1" applyAlignment="1">
      <alignment horizontal="left" vertical="center" wrapText="1"/>
    </xf>
    <xf numFmtId="0" fontId="11" fillId="10" borderId="0" xfId="0" applyFont="1" applyFill="1" applyAlignment="1">
      <alignment horizontal="left" vertical="center" wrapText="1"/>
    </xf>
    <xf numFmtId="0" fontId="11" fillId="10" borderId="30" xfId="0" applyFont="1" applyFill="1" applyBorder="1" applyAlignment="1">
      <alignment horizontal="left" vertical="center" wrapText="1"/>
    </xf>
    <xf numFmtId="176" fontId="11" fillId="10" borderId="5" xfId="0" applyNumberFormat="1" applyFont="1" applyFill="1" applyBorder="1" applyAlignment="1">
      <alignment horizontal="center" vertical="center" wrapText="1"/>
    </xf>
    <xf numFmtId="4" fontId="11" fillId="10" borderId="5" xfId="0" applyNumberFormat="1" applyFont="1" applyFill="1" applyBorder="1" applyAlignment="1">
      <alignment horizontal="center" vertical="center"/>
    </xf>
    <xf numFmtId="176" fontId="11" fillId="10" borderId="5" xfId="0" applyNumberFormat="1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left" vertical="center" wrapText="1"/>
    </xf>
    <xf numFmtId="0" fontId="11" fillId="10" borderId="13" xfId="0" applyFont="1" applyFill="1" applyBorder="1" applyAlignment="1">
      <alignment horizontal="left" vertical="center" wrapText="1"/>
    </xf>
    <xf numFmtId="0" fontId="11" fillId="10" borderId="31" xfId="0" applyFont="1" applyFill="1" applyBorder="1" applyAlignment="1">
      <alignment horizontal="left" vertical="center" wrapText="1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 vertical="center"/>
    </xf>
    <xf numFmtId="0" fontId="11" fillId="12" borderId="28" xfId="0" applyFont="1" applyFill="1" applyBorder="1" applyAlignment="1">
      <alignment horizontal="center" vertical="center"/>
    </xf>
    <xf numFmtId="0" fontId="11" fillId="12" borderId="32" xfId="0" applyFont="1" applyFill="1" applyBorder="1" applyAlignment="1">
      <alignment horizontal="center" vertical="center"/>
    </xf>
    <xf numFmtId="0" fontId="11" fillId="12" borderId="33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 wrapText="1"/>
    </xf>
    <xf numFmtId="9" fontId="10" fillId="12" borderId="27" xfId="0" applyNumberFormat="1" applyFont="1" applyFill="1" applyBorder="1" applyAlignment="1">
      <alignment horizontal="center" vertical="center"/>
    </xf>
    <xf numFmtId="9" fontId="11" fillId="12" borderId="27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horizontal="center"/>
    </xf>
    <xf numFmtId="0" fontId="15" fillId="13" borderId="28" xfId="0" applyFont="1" applyFill="1" applyBorder="1" applyAlignment="1">
      <alignment horizontal="center"/>
    </xf>
    <xf numFmtId="0" fontId="15" fillId="13" borderId="32" xfId="0" applyFont="1" applyFill="1" applyBorder="1" applyAlignment="1">
      <alignment horizontal="center"/>
    </xf>
    <xf numFmtId="0" fontId="15" fillId="13" borderId="33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 vertical="center" wrapText="1"/>
    </xf>
    <xf numFmtId="9" fontId="15" fillId="13" borderId="27" xfId="0" applyNumberFormat="1" applyFont="1" applyFill="1" applyBorder="1" applyAlignment="1">
      <alignment horizontal="center"/>
    </xf>
    <xf numFmtId="31" fontId="15" fillId="0" borderId="34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</xdr:colOff>
      <xdr:row>1</xdr:row>
      <xdr:rowOff>8890</xdr:rowOff>
    </xdr:from>
    <xdr:to>
      <xdr:col>2</xdr:col>
      <xdr:colOff>1823720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2337435" y="516890"/>
          <a:ext cx="1814195" cy="7531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80" zoomScaleNormal="80" workbookViewId="0">
      <selection activeCell="L36" sqref="L36"/>
    </sheetView>
  </sheetViews>
  <sheetFormatPr defaultColWidth="9.12727272727273" defaultRowHeight="15" customHeight="1"/>
  <cols>
    <col min="1" max="1" width="30.5545454545455" customWidth="1"/>
    <col min="2" max="2" width="16.3909090909091" customWidth="1"/>
    <col min="3" max="3" width="15.6909090909091" customWidth="1"/>
    <col min="4" max="4" width="16.6636363636364" customWidth="1"/>
    <col min="5" max="5" width="22.2181818181818" customWidth="1"/>
    <col min="6" max="6" width="18.3363636363636" customWidth="1"/>
    <col min="7" max="8" width="23.1909090909091" customWidth="1"/>
    <col min="9" max="10" width="15.7818181818182" customWidth="1"/>
    <col min="11" max="11" width="18.4727272727273" customWidth="1"/>
    <col min="12" max="12" width="17.7818181818182" customWidth="1"/>
    <col min="14" max="14" width="12.8909090909091"/>
  </cols>
  <sheetData>
    <row r="1" ht="30" customHeight="1" spans="1:12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ht="25" customHeight="1" spans="1:12">
      <c r="A2" s="113" t="s">
        <v>1</v>
      </c>
      <c r="B2" s="113"/>
      <c r="C2" s="113"/>
      <c r="D2" s="113"/>
      <c r="E2" s="113" t="s">
        <v>2</v>
      </c>
      <c r="F2" s="113"/>
      <c r="G2" s="113"/>
      <c r="H2" s="113"/>
      <c r="I2" s="113" t="s">
        <v>3</v>
      </c>
      <c r="J2" s="113"/>
      <c r="K2" s="113"/>
      <c r="L2" s="113"/>
    </row>
    <row r="3" ht="25" customHeight="1" spans="1:12">
      <c r="A3" s="114" t="s">
        <v>4</v>
      </c>
      <c r="B3" s="114"/>
      <c r="C3" s="114"/>
      <c r="D3" s="114"/>
      <c r="E3" s="114" t="s">
        <v>5</v>
      </c>
      <c r="F3" s="114"/>
      <c r="G3" s="114"/>
      <c r="H3" s="114"/>
      <c r="I3" s="114" t="s">
        <v>6</v>
      </c>
      <c r="J3" s="114"/>
      <c r="K3" s="114"/>
      <c r="L3" s="114"/>
    </row>
    <row r="4" ht="18" customHeight="1" spans="1:12">
      <c r="A4" s="115" t="s">
        <v>7</v>
      </c>
      <c r="B4" s="116"/>
      <c r="C4" s="116"/>
      <c r="D4" s="116"/>
      <c r="E4" s="116"/>
      <c r="F4" s="116"/>
      <c r="G4" s="116"/>
      <c r="H4" s="116"/>
      <c r="I4" s="116"/>
      <c r="J4" s="116"/>
      <c r="K4" s="117"/>
      <c r="L4" s="118"/>
    </row>
    <row r="5" ht="18" customHeight="1" spans="1:12">
      <c r="A5" s="119" t="s">
        <v>8</v>
      </c>
      <c r="B5" s="120"/>
      <c r="C5" s="120"/>
      <c r="D5" s="120"/>
      <c r="E5" s="121" t="s">
        <v>9</v>
      </c>
      <c r="F5" s="121"/>
      <c r="G5" s="121"/>
      <c r="H5" s="121" t="s">
        <v>10</v>
      </c>
      <c r="I5" s="121"/>
      <c r="J5" s="121"/>
      <c r="K5" s="122"/>
      <c r="L5" s="123"/>
    </row>
    <row r="6" ht="18" customHeight="1" spans="1:12">
      <c r="A6" s="124" t="s">
        <v>11</v>
      </c>
      <c r="B6" s="125"/>
      <c r="C6" s="125"/>
      <c r="D6" s="125"/>
      <c r="E6" s="126" t="s">
        <v>12</v>
      </c>
      <c r="F6" s="126"/>
      <c r="G6" s="126"/>
      <c r="H6" s="121" t="s">
        <v>13</v>
      </c>
      <c r="I6" s="121"/>
      <c r="J6" s="121"/>
      <c r="K6" s="122"/>
      <c r="L6" s="123"/>
    </row>
    <row r="7" ht="18" customHeight="1" spans="1:12">
      <c r="A7" s="124" t="s">
        <v>14</v>
      </c>
      <c r="B7" s="125"/>
      <c r="C7" s="125"/>
      <c r="D7" s="125"/>
      <c r="E7" s="126" t="s">
        <v>15</v>
      </c>
      <c r="F7" s="126"/>
      <c r="G7" s="126"/>
      <c r="H7" s="121" t="s">
        <v>16</v>
      </c>
      <c r="I7" s="121"/>
      <c r="J7" s="121"/>
      <c r="K7" s="122"/>
      <c r="L7" s="123"/>
    </row>
    <row r="8" ht="18" customHeight="1" spans="1:12">
      <c r="A8" s="124" t="s">
        <v>17</v>
      </c>
      <c r="B8" s="125"/>
      <c r="C8" s="125"/>
      <c r="D8" s="125"/>
      <c r="E8" s="126" t="s">
        <v>18</v>
      </c>
      <c r="F8" s="126"/>
      <c r="G8" s="126"/>
      <c r="H8" s="121"/>
      <c r="I8" s="121"/>
      <c r="J8" s="121"/>
      <c r="K8" s="122"/>
      <c r="L8" s="123"/>
    </row>
    <row r="9" ht="18" customHeight="1" spans="1:12">
      <c r="A9" s="124" t="s">
        <v>19</v>
      </c>
      <c r="B9" s="125"/>
      <c r="C9" s="125"/>
      <c r="D9" s="125"/>
      <c r="E9" s="126" t="s">
        <v>20</v>
      </c>
      <c r="F9" s="126"/>
      <c r="G9" s="126"/>
      <c r="H9" s="121"/>
      <c r="I9" s="121"/>
      <c r="J9" s="121"/>
      <c r="K9" s="122"/>
      <c r="L9" s="123"/>
    </row>
    <row r="10" ht="18" customHeight="1" spans="1:12">
      <c r="A10" s="127" t="s">
        <v>21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30"/>
    </row>
    <row r="11" ht="30" customHeight="1" spans="1:12">
      <c r="A11" s="131" t="s">
        <v>22</v>
      </c>
      <c r="B11" s="132" t="s">
        <v>23</v>
      </c>
      <c r="C11" s="132" t="s">
        <v>24</v>
      </c>
      <c r="D11" s="132" t="s">
        <v>25</v>
      </c>
      <c r="E11" s="132" t="s">
        <v>26</v>
      </c>
      <c r="F11" s="132" t="s">
        <v>27</v>
      </c>
      <c r="G11" s="132" t="s">
        <v>28</v>
      </c>
      <c r="H11" s="132" t="s">
        <v>29</v>
      </c>
      <c r="I11" s="133" t="s">
        <v>30</v>
      </c>
      <c r="J11" s="134" t="s">
        <v>31</v>
      </c>
      <c r="K11" s="135" t="s">
        <v>32</v>
      </c>
      <c r="L11" s="132" t="s">
        <v>33</v>
      </c>
    </row>
    <row r="12" ht="18" customHeight="1" spans="1:12">
      <c r="A12" s="136" t="s">
        <v>34</v>
      </c>
      <c r="B12" s="137">
        <v>135</v>
      </c>
      <c r="C12" s="138">
        <v>1089</v>
      </c>
      <c r="D12" s="139">
        <v>0.16</v>
      </c>
      <c r="E12" s="140">
        <f>C12*D12</f>
        <v>174.24</v>
      </c>
      <c r="F12" s="139">
        <v>0.62</v>
      </c>
      <c r="G12" s="140">
        <f>C12*F12</f>
        <v>675.18</v>
      </c>
      <c r="H12" s="141">
        <f>C12/B12*30</f>
        <v>242</v>
      </c>
      <c r="I12" s="142">
        <f>E12/H12</f>
        <v>0.72</v>
      </c>
      <c r="J12" s="143">
        <v>968</v>
      </c>
      <c r="K12" s="144">
        <f>G12/J12</f>
        <v>0.6975</v>
      </c>
      <c r="L12" s="145">
        <v>15</v>
      </c>
    </row>
    <row r="13" ht="18" customHeight="1" spans="1:12">
      <c r="A13" s="136" t="s">
        <v>35</v>
      </c>
      <c r="B13" s="137">
        <v>165</v>
      </c>
      <c r="C13" s="138">
        <v>778.3</v>
      </c>
      <c r="D13" s="146">
        <v>0</v>
      </c>
      <c r="E13" s="140">
        <f>C13*D13</f>
        <v>0</v>
      </c>
      <c r="F13" s="147">
        <v>0</v>
      </c>
      <c r="G13" s="140">
        <f>C13*F13</f>
        <v>0</v>
      </c>
      <c r="H13" s="141">
        <f>C13/B13*0</f>
        <v>0</v>
      </c>
      <c r="I13" s="142" t="e">
        <f>E13/H13</f>
        <v>#DIV/0!</v>
      </c>
      <c r="J13" s="143">
        <f>C13/B13*0</f>
        <v>0</v>
      </c>
      <c r="K13" s="144" t="e">
        <f>G13/J13</f>
        <v>#DIV/0!</v>
      </c>
      <c r="L13" s="145">
        <v>165</v>
      </c>
    </row>
    <row r="14" ht="18" customHeight="1" spans="1:12">
      <c r="A14" s="131" t="s">
        <v>36</v>
      </c>
      <c r="B14" s="148">
        <v>300</v>
      </c>
      <c r="C14" s="149">
        <f>SUM(C12:C13)</f>
        <v>1867.3</v>
      </c>
      <c r="D14" s="150">
        <f>E14/C14</f>
        <v>0.0933111979863975</v>
      </c>
      <c r="E14" s="140">
        <f>SUM(E12:E13)</f>
        <v>174.24</v>
      </c>
      <c r="F14" s="151">
        <f>G14/C14</f>
        <v>0.36158089219729</v>
      </c>
      <c r="G14" s="140">
        <f>SUM(G12:G13)</f>
        <v>675.18</v>
      </c>
      <c r="H14" s="140">
        <f>SUM(H12:H13)</f>
        <v>242</v>
      </c>
      <c r="I14" s="142">
        <f>E14/H14</f>
        <v>0.72</v>
      </c>
      <c r="J14" s="140">
        <f>SUM(J12:J13)</f>
        <v>968</v>
      </c>
      <c r="K14" s="144">
        <f>G14/J14</f>
        <v>0.6975</v>
      </c>
      <c r="L14" s="145">
        <v>180</v>
      </c>
    </row>
    <row r="15" ht="18" customHeight="1" spans="1:12">
      <c r="A15" s="152" t="s">
        <v>37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4"/>
      <c r="L15" s="155"/>
    </row>
    <row r="16" ht="30" customHeight="1" spans="1:12">
      <c r="A16" s="156" t="s">
        <v>22</v>
      </c>
      <c r="B16" s="157" t="s">
        <v>38</v>
      </c>
      <c r="C16" s="158"/>
      <c r="D16" s="157" t="s">
        <v>39</v>
      </c>
      <c r="E16" s="133" t="s">
        <v>40</v>
      </c>
      <c r="F16" s="157" t="s">
        <v>41</v>
      </c>
      <c r="G16" s="133" t="s">
        <v>42</v>
      </c>
      <c r="H16" s="159" t="s">
        <v>43</v>
      </c>
      <c r="I16" s="160" t="s">
        <v>44</v>
      </c>
      <c r="J16" s="160"/>
      <c r="K16" s="161"/>
      <c r="L16" s="162"/>
    </row>
    <row r="17" ht="18" customHeight="1" spans="1:12">
      <c r="A17" s="163" t="s">
        <v>34</v>
      </c>
      <c r="B17" s="164">
        <v>1089</v>
      </c>
      <c r="C17" s="165"/>
      <c r="D17" s="166">
        <v>5</v>
      </c>
      <c r="E17" s="142">
        <f>D17/E12</f>
        <v>0.0286960514233242</v>
      </c>
      <c r="F17" s="166">
        <v>558.8</v>
      </c>
      <c r="G17" s="142">
        <f>F17/G12</f>
        <v>0.827631150211795</v>
      </c>
      <c r="H17" s="167">
        <f>F17/B17</f>
        <v>0.513131313131313</v>
      </c>
      <c r="I17" s="168" t="s">
        <v>45</v>
      </c>
      <c r="J17" s="169"/>
      <c r="K17" s="169"/>
      <c r="L17" s="170"/>
    </row>
    <row r="18" ht="18" customHeight="1" spans="1:12">
      <c r="A18" s="163" t="s">
        <v>35</v>
      </c>
      <c r="B18" s="164">
        <v>778.3</v>
      </c>
      <c r="C18" s="165"/>
      <c r="D18" s="166">
        <v>0</v>
      </c>
      <c r="E18" s="142" t="e">
        <f>D18/E13</f>
        <v>#DIV/0!</v>
      </c>
      <c r="F18" s="166">
        <v>0</v>
      </c>
      <c r="G18" s="142" t="e">
        <f>F18/G13</f>
        <v>#DIV/0!</v>
      </c>
      <c r="H18" s="167">
        <f>F18/B18</f>
        <v>0</v>
      </c>
      <c r="I18" s="171"/>
      <c r="J18" s="172"/>
      <c r="K18" s="172"/>
      <c r="L18" s="173"/>
    </row>
    <row r="19" ht="18" customHeight="1" spans="1:12">
      <c r="A19" s="156" t="s">
        <v>36</v>
      </c>
      <c r="B19" s="174">
        <f>SUM(B17:B18)</f>
        <v>1867.3</v>
      </c>
      <c r="C19" s="174"/>
      <c r="D19" s="175">
        <f>SUM(D17:D18)</f>
        <v>5</v>
      </c>
      <c r="E19" s="142">
        <f>D19/E14</f>
        <v>0.0286960514233242</v>
      </c>
      <c r="F19" s="176">
        <f>SUM(F17:F18)</f>
        <v>558.8</v>
      </c>
      <c r="G19" s="142">
        <f>F19/G14</f>
        <v>0.827631150211795</v>
      </c>
      <c r="H19" s="167">
        <f>F19/B19</f>
        <v>0.29925560970385</v>
      </c>
      <c r="I19" s="177"/>
      <c r="J19" s="178"/>
      <c r="K19" s="178"/>
      <c r="L19" s="179"/>
    </row>
    <row r="20" ht="18" customHeight="1" spans="1:12">
      <c r="A20" s="180" t="s">
        <v>46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2"/>
      <c r="L20" s="183"/>
    </row>
    <row r="21" ht="18" customHeight="1" spans="1:12">
      <c r="A21" s="184" t="s">
        <v>22</v>
      </c>
      <c r="B21" s="185" t="s">
        <v>47</v>
      </c>
      <c r="C21" s="186"/>
      <c r="D21" s="185" t="s">
        <v>48</v>
      </c>
      <c r="E21" s="186"/>
      <c r="F21" s="187" t="s">
        <v>49</v>
      </c>
      <c r="G21" s="188"/>
      <c r="H21" s="187" t="s">
        <v>50</v>
      </c>
      <c r="I21" s="188"/>
      <c r="J21" s="187" t="s">
        <v>51</v>
      </c>
      <c r="K21" s="189"/>
      <c r="L21" s="190"/>
    </row>
    <row r="22" ht="18" customHeight="1" spans="1:12">
      <c r="A22" s="191" t="s">
        <v>34</v>
      </c>
      <c r="B22" s="192">
        <v>1</v>
      </c>
      <c r="C22" s="186"/>
      <c r="D22" s="185" t="s">
        <v>52</v>
      </c>
      <c r="E22" s="186"/>
      <c r="F22" s="193">
        <v>1</v>
      </c>
      <c r="G22" s="188"/>
      <c r="H22" s="187" t="s">
        <v>53</v>
      </c>
      <c r="I22" s="188"/>
      <c r="J22" s="187" t="s">
        <v>54</v>
      </c>
      <c r="K22" s="189"/>
      <c r="L22" s="190"/>
    </row>
    <row r="23" ht="18" customHeight="1" spans="1:12">
      <c r="A23" s="191"/>
      <c r="B23" s="185"/>
      <c r="C23" s="186"/>
      <c r="D23" s="185"/>
      <c r="E23" s="186"/>
      <c r="F23" s="187"/>
      <c r="G23" s="188"/>
      <c r="H23" s="187"/>
      <c r="I23" s="188"/>
      <c r="J23" s="187"/>
      <c r="K23" s="189"/>
      <c r="L23" s="190"/>
    </row>
    <row r="24" ht="18" customHeight="1" spans="1:12">
      <c r="A24" s="191"/>
      <c r="B24" s="185"/>
      <c r="C24" s="186"/>
      <c r="D24" s="185"/>
      <c r="E24" s="186"/>
      <c r="F24" s="187"/>
      <c r="G24" s="188"/>
      <c r="H24" s="187"/>
      <c r="I24" s="188"/>
      <c r="J24" s="187"/>
      <c r="K24" s="189"/>
      <c r="L24" s="190"/>
    </row>
    <row r="25" ht="18" customHeight="1" spans="1:12">
      <c r="A25" s="191"/>
      <c r="B25" s="185"/>
      <c r="C25" s="186"/>
      <c r="D25" s="185"/>
      <c r="E25" s="186"/>
      <c r="F25" s="187"/>
      <c r="G25" s="188"/>
      <c r="H25" s="187"/>
      <c r="I25" s="188"/>
      <c r="J25" s="187"/>
      <c r="K25" s="189"/>
      <c r="L25" s="190"/>
    </row>
    <row r="26" ht="18" customHeight="1" spans="1:12">
      <c r="A26" s="194"/>
      <c r="B26" s="185"/>
      <c r="C26" s="186"/>
      <c r="D26" s="185"/>
      <c r="E26" s="186"/>
      <c r="F26" s="187"/>
      <c r="G26" s="188"/>
      <c r="H26" s="187"/>
      <c r="I26" s="188"/>
      <c r="J26" s="187"/>
      <c r="K26" s="189"/>
      <c r="L26" s="190"/>
    </row>
    <row r="27" ht="18" customHeight="1" spans="1:12">
      <c r="A27" s="195" t="s">
        <v>55</v>
      </c>
      <c r="B27" s="196"/>
      <c r="C27" s="196"/>
      <c r="D27" s="196"/>
      <c r="E27" s="196"/>
      <c r="F27" s="196"/>
      <c r="G27" s="196"/>
      <c r="H27" s="196"/>
      <c r="I27" s="196"/>
      <c r="J27" s="196"/>
      <c r="K27" s="197"/>
      <c r="L27" s="198"/>
    </row>
    <row r="28" ht="18" customHeight="1" spans="1:12">
      <c r="A28" s="199" t="s">
        <v>22</v>
      </c>
      <c r="B28" s="200" t="s">
        <v>56</v>
      </c>
      <c r="C28" s="201"/>
      <c r="D28" s="200" t="s">
        <v>57</v>
      </c>
      <c r="E28" s="201"/>
      <c r="F28" s="200" t="s">
        <v>58</v>
      </c>
      <c r="G28" s="201"/>
      <c r="H28" s="200" t="s">
        <v>59</v>
      </c>
      <c r="I28" s="201"/>
      <c r="J28" s="200" t="s">
        <v>60</v>
      </c>
      <c r="K28" s="202"/>
      <c r="L28" s="203"/>
    </row>
    <row r="29" ht="18" customHeight="1" spans="1:12">
      <c r="A29" s="204" t="s">
        <v>34</v>
      </c>
      <c r="B29" s="200" t="s">
        <v>61</v>
      </c>
      <c r="C29" s="201"/>
      <c r="D29" s="200" t="s">
        <v>62</v>
      </c>
      <c r="E29" s="201"/>
      <c r="F29" s="200" t="s">
        <v>63</v>
      </c>
      <c r="G29" s="201"/>
      <c r="H29" s="205">
        <v>1</v>
      </c>
      <c r="I29" s="201"/>
      <c r="J29" s="200" t="s">
        <v>64</v>
      </c>
      <c r="K29" s="202"/>
      <c r="L29" s="203"/>
    </row>
    <row r="30" ht="18" customHeight="1" spans="1:12">
      <c r="A30" s="204"/>
      <c r="B30" s="200"/>
      <c r="C30" s="201"/>
      <c r="D30" s="200"/>
      <c r="E30" s="201"/>
      <c r="F30" s="200"/>
      <c r="G30" s="201"/>
      <c r="H30" s="200"/>
      <c r="I30" s="201"/>
      <c r="J30" s="200"/>
      <c r="K30" s="202"/>
      <c r="L30" s="203"/>
    </row>
    <row r="31" ht="18" customHeight="1" spans="1:12">
      <c r="A31" s="204"/>
      <c r="B31" s="200"/>
      <c r="C31" s="201"/>
      <c r="D31" s="200"/>
      <c r="E31" s="201"/>
      <c r="F31" s="200"/>
      <c r="G31" s="201"/>
      <c r="H31" s="200"/>
      <c r="I31" s="201"/>
      <c r="J31" s="200"/>
      <c r="K31" s="202"/>
      <c r="L31" s="203"/>
    </row>
    <row r="32" ht="45" customHeight="1" spans="1:12">
      <c r="A32" s="206" t="s">
        <v>65</v>
      </c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8"/>
    </row>
    <row r="33" customHeight="1" spans="1:3">
      <c r="A33" s="209"/>
      <c r="B33" s="209"/>
      <c r="C33" s="209"/>
    </row>
  </sheetData>
  <mergeCells count="80">
    <mergeCell ref="A1:L1"/>
    <mergeCell ref="A2:D2"/>
    <mergeCell ref="E2:H2"/>
    <mergeCell ref="I2:L2"/>
    <mergeCell ref="A3:D3"/>
    <mergeCell ref="E3:H3"/>
    <mergeCell ref="I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7"/>
  <sheetViews>
    <sheetView zoomScale="60" zoomScaleNormal="60" workbookViewId="0">
      <selection activeCell="BF16" sqref="BF16"/>
    </sheetView>
  </sheetViews>
  <sheetFormatPr defaultColWidth="8.89090909090909" defaultRowHeight="14"/>
  <cols>
    <col min="1" max="1" width="5.18181818181818" customWidth="1"/>
    <col min="2" max="2" width="28.1454545454545" customWidth="1"/>
    <col min="3" max="3" width="30.7363636363636" customWidth="1"/>
    <col min="4" max="4" width="10" customWidth="1"/>
    <col min="5" max="5" width="12.7818181818182" customWidth="1"/>
    <col min="6" max="6" width="12.4090909090909" customWidth="1"/>
    <col min="7" max="101" width="3.57272727272727" customWidth="1"/>
  </cols>
  <sheetData>
    <row r="1" ht="40" customHeight="1" spans="1:66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20" customHeight="1" spans="1:66">
      <c r="A2" s="4" t="s">
        <v>67</v>
      </c>
      <c r="B2" s="5"/>
      <c r="C2" s="6" t="s">
        <v>68</v>
      </c>
      <c r="D2" s="5" t="s">
        <v>10</v>
      </c>
      <c r="E2" s="5" t="s">
        <v>69</v>
      </c>
      <c r="F2" s="5" t="s">
        <v>70</v>
      </c>
      <c r="G2" s="7" t="s">
        <v>71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8"/>
    </row>
    <row r="3" ht="20" customHeight="1" spans="1:66">
      <c r="A3" s="4"/>
      <c r="B3" s="5"/>
      <c r="C3" s="6"/>
      <c r="D3" s="5"/>
      <c r="E3" s="5"/>
      <c r="F3" s="5"/>
      <c r="G3" s="9" t="s">
        <v>72</v>
      </c>
      <c r="H3" s="9"/>
      <c r="I3" s="9"/>
      <c r="J3" s="9"/>
      <c r="K3" s="9"/>
      <c r="L3" s="9"/>
      <c r="M3" s="9" t="s">
        <v>73</v>
      </c>
      <c r="N3" s="9"/>
      <c r="O3" s="9"/>
      <c r="P3" s="9"/>
      <c r="Q3" s="9"/>
      <c r="R3" s="9"/>
      <c r="S3" s="9" t="s">
        <v>74</v>
      </c>
      <c r="T3" s="9"/>
      <c r="U3" s="9"/>
      <c r="V3" s="9"/>
      <c r="W3" s="9"/>
      <c r="X3" s="9"/>
      <c r="Y3" s="9" t="s">
        <v>75</v>
      </c>
      <c r="Z3" s="9"/>
      <c r="AA3" s="9"/>
      <c r="AB3" s="9"/>
      <c r="AC3" s="9"/>
      <c r="AD3" s="9"/>
      <c r="AE3" s="9" t="s">
        <v>76</v>
      </c>
      <c r="AF3" s="9"/>
      <c r="AG3" s="9"/>
      <c r="AH3" s="9"/>
      <c r="AI3" s="9"/>
      <c r="AJ3" s="9"/>
      <c r="AK3" s="9" t="s">
        <v>77</v>
      </c>
      <c r="AL3" s="9"/>
      <c r="AM3" s="9"/>
      <c r="AN3" s="9"/>
      <c r="AO3" s="9"/>
      <c r="AP3" s="9"/>
      <c r="AQ3" s="9" t="s">
        <v>78</v>
      </c>
      <c r="AR3" s="9"/>
      <c r="AS3" s="9"/>
      <c r="AT3" s="9"/>
      <c r="AU3" s="9"/>
      <c r="AV3" s="9"/>
      <c r="AW3" s="9" t="s">
        <v>79</v>
      </c>
      <c r="AX3" s="9"/>
      <c r="AY3" s="9"/>
      <c r="AZ3" s="9"/>
      <c r="BA3" s="9"/>
      <c r="BB3" s="9"/>
      <c r="BC3" s="9" t="s">
        <v>80</v>
      </c>
      <c r="BD3" s="9"/>
      <c r="BE3" s="9"/>
      <c r="BF3" s="9"/>
      <c r="BG3" s="9"/>
      <c r="BH3" s="9"/>
      <c r="BI3" s="10" t="s">
        <v>81</v>
      </c>
      <c r="BJ3" s="10"/>
      <c r="BK3" s="10"/>
      <c r="BL3" s="10"/>
      <c r="BM3" s="10"/>
      <c r="BN3" s="11"/>
    </row>
    <row r="4" ht="20" customHeight="1" spans="1:66">
      <c r="A4" s="4"/>
      <c r="B4" s="5"/>
      <c r="C4" s="6"/>
      <c r="D4" s="5"/>
      <c r="E4" s="5"/>
      <c r="F4" s="5"/>
      <c r="G4" s="12">
        <v>5</v>
      </c>
      <c r="H4" s="12">
        <v>10</v>
      </c>
      <c r="I4" s="12">
        <v>15</v>
      </c>
      <c r="J4" s="12">
        <v>20</v>
      </c>
      <c r="K4" s="12">
        <v>25</v>
      </c>
      <c r="L4" s="12">
        <v>28</v>
      </c>
      <c r="M4" s="13">
        <v>5</v>
      </c>
      <c r="N4" s="13">
        <v>10</v>
      </c>
      <c r="O4" s="13">
        <v>15</v>
      </c>
      <c r="P4" s="13">
        <v>20</v>
      </c>
      <c r="Q4" s="13">
        <v>25</v>
      </c>
      <c r="R4" s="13">
        <v>31</v>
      </c>
      <c r="S4" s="13">
        <v>5</v>
      </c>
      <c r="T4" s="13">
        <v>10</v>
      </c>
      <c r="U4" s="13">
        <v>15</v>
      </c>
      <c r="V4" s="13">
        <v>20</v>
      </c>
      <c r="W4" s="13">
        <v>25</v>
      </c>
      <c r="X4" s="13">
        <v>30</v>
      </c>
      <c r="Y4" s="13">
        <v>5</v>
      </c>
      <c r="Z4" s="13">
        <v>10</v>
      </c>
      <c r="AA4" s="9">
        <v>15</v>
      </c>
      <c r="AB4" s="13">
        <v>20</v>
      </c>
      <c r="AC4" s="13">
        <v>25</v>
      </c>
      <c r="AD4" s="9">
        <v>31</v>
      </c>
      <c r="AE4" s="9">
        <v>5</v>
      </c>
      <c r="AF4" s="9">
        <v>10</v>
      </c>
      <c r="AG4" s="13">
        <v>15</v>
      </c>
      <c r="AH4" s="9">
        <v>20</v>
      </c>
      <c r="AI4" s="13">
        <v>25</v>
      </c>
      <c r="AJ4" s="13">
        <v>30</v>
      </c>
      <c r="AK4" s="13">
        <v>5</v>
      </c>
      <c r="AL4" s="13">
        <v>10</v>
      </c>
      <c r="AM4" s="13">
        <v>15</v>
      </c>
      <c r="AN4" s="13">
        <v>20</v>
      </c>
      <c r="AO4" s="13">
        <v>25</v>
      </c>
      <c r="AP4" s="13">
        <v>31</v>
      </c>
      <c r="AQ4" s="13">
        <v>5</v>
      </c>
      <c r="AR4" s="13">
        <v>10</v>
      </c>
      <c r="AS4" s="13">
        <v>15</v>
      </c>
      <c r="AT4" s="13">
        <v>20</v>
      </c>
      <c r="AU4" s="13">
        <v>25</v>
      </c>
      <c r="AV4" s="13">
        <v>31</v>
      </c>
      <c r="AW4" s="13">
        <v>5</v>
      </c>
      <c r="AX4" s="9">
        <v>10</v>
      </c>
      <c r="AY4" s="13">
        <v>15</v>
      </c>
      <c r="AZ4" s="13">
        <v>20</v>
      </c>
      <c r="BA4" s="13">
        <v>25</v>
      </c>
      <c r="BB4" s="13">
        <v>30</v>
      </c>
      <c r="BC4" s="9">
        <v>5</v>
      </c>
      <c r="BD4" s="9">
        <v>10</v>
      </c>
      <c r="BE4" s="13">
        <v>15</v>
      </c>
      <c r="BF4" s="13">
        <v>20</v>
      </c>
      <c r="BG4" s="13">
        <v>25</v>
      </c>
      <c r="BH4" s="13">
        <v>31</v>
      </c>
      <c r="BI4" s="10">
        <v>5</v>
      </c>
      <c r="BJ4" s="10">
        <v>10</v>
      </c>
      <c r="BK4" s="10">
        <v>15</v>
      </c>
      <c r="BL4" s="10">
        <v>20</v>
      </c>
      <c r="BM4" s="10">
        <v>25</v>
      </c>
      <c r="BN4" s="11">
        <v>27</v>
      </c>
    </row>
    <row r="5" ht="20" customHeight="1" spans="1:66">
      <c r="A5" s="14" t="s">
        <v>82</v>
      </c>
      <c r="B5" s="5" t="s">
        <v>83</v>
      </c>
      <c r="C5" s="9" t="s">
        <v>84</v>
      </c>
      <c r="D5" s="9" t="s">
        <v>85</v>
      </c>
      <c r="E5" s="15">
        <v>46054</v>
      </c>
      <c r="F5" s="15">
        <v>46078</v>
      </c>
      <c r="G5" s="16"/>
      <c r="H5" s="17"/>
      <c r="I5" s="16"/>
      <c r="J5" s="16"/>
      <c r="K5" s="18"/>
      <c r="L5" s="19"/>
      <c r="M5" s="9"/>
      <c r="N5" s="9"/>
      <c r="O5" s="9"/>
      <c r="P5" s="20"/>
      <c r="Q5" s="20"/>
      <c r="R5" s="21"/>
      <c r="S5" s="22" t="s">
        <v>86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23"/>
      <c r="BJ5" s="23"/>
      <c r="BK5" s="23"/>
      <c r="BL5" s="23"/>
      <c r="BM5" s="23"/>
      <c r="BN5" s="24"/>
    </row>
    <row r="6" ht="20" customHeight="1" spans="1:66">
      <c r="A6" s="25"/>
      <c r="B6" s="5"/>
      <c r="C6" s="9"/>
      <c r="D6" s="19" t="s">
        <v>87</v>
      </c>
      <c r="E6" s="15">
        <v>46066</v>
      </c>
      <c r="F6" s="15">
        <v>46096</v>
      </c>
      <c r="G6" s="26"/>
      <c r="H6" s="26"/>
      <c r="I6" s="27"/>
      <c r="J6" s="27"/>
      <c r="K6" s="27"/>
      <c r="L6" s="27"/>
      <c r="M6" s="27"/>
      <c r="N6" s="27"/>
      <c r="O6" s="27"/>
      <c r="P6" s="20"/>
      <c r="Q6" s="20"/>
      <c r="R6" s="21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9"/>
      <c r="AM6" s="19"/>
      <c r="AN6" s="19"/>
      <c r="AO6" s="19"/>
      <c r="AP6" s="19"/>
      <c r="AQ6" s="19"/>
      <c r="AR6" s="19"/>
      <c r="AS6" s="19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3"/>
      <c r="BJ6" s="23"/>
      <c r="BK6" s="23"/>
      <c r="BL6" s="23"/>
      <c r="BM6" s="23"/>
      <c r="BN6" s="24"/>
    </row>
    <row r="7" ht="20" customHeight="1" spans="1:66">
      <c r="A7" s="25"/>
      <c r="B7" s="5"/>
      <c r="C7" s="19" t="s">
        <v>88</v>
      </c>
      <c r="D7" s="19" t="s">
        <v>85</v>
      </c>
      <c r="E7" s="15">
        <v>46054</v>
      </c>
      <c r="F7" s="15">
        <v>46078</v>
      </c>
      <c r="G7" s="29"/>
      <c r="H7" s="29"/>
      <c r="I7" s="17"/>
      <c r="J7" s="17"/>
      <c r="K7" s="17"/>
      <c r="L7" s="28"/>
      <c r="M7" s="28"/>
      <c r="N7" s="28"/>
      <c r="O7" s="28"/>
      <c r="P7" s="28"/>
      <c r="Q7" s="28"/>
      <c r="R7" s="26"/>
      <c r="S7" s="30"/>
      <c r="T7" s="30"/>
      <c r="U7" s="22" t="s">
        <v>89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19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3"/>
      <c r="BJ7" s="23"/>
      <c r="BK7" s="23"/>
      <c r="BL7" s="23"/>
      <c r="BM7" s="23"/>
      <c r="BN7" s="24"/>
    </row>
    <row r="8" ht="20" customHeight="1" spans="1:66">
      <c r="A8" s="25"/>
      <c r="B8" s="5"/>
      <c r="C8" s="19"/>
      <c r="D8" s="19" t="s">
        <v>87</v>
      </c>
      <c r="E8" s="15">
        <v>46072</v>
      </c>
      <c r="F8" s="15">
        <v>46106</v>
      </c>
      <c r="G8" s="26"/>
      <c r="H8" s="26"/>
      <c r="I8" s="28"/>
      <c r="J8" s="28"/>
      <c r="K8" s="27"/>
      <c r="L8" s="27"/>
      <c r="M8" s="27"/>
      <c r="N8" s="27"/>
      <c r="O8" s="27"/>
      <c r="P8" s="27"/>
      <c r="Q8" s="27"/>
      <c r="R8" s="26"/>
      <c r="S8" s="30"/>
      <c r="T8" s="30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19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3"/>
      <c r="BJ8" s="23"/>
      <c r="BK8" s="23"/>
      <c r="BL8" s="23"/>
      <c r="BM8" s="23"/>
      <c r="BN8" s="24"/>
    </row>
    <row r="9" ht="20" customHeight="1" spans="1:66">
      <c r="A9" s="25"/>
      <c r="B9" s="26" t="s">
        <v>90</v>
      </c>
      <c r="C9" s="19" t="s">
        <v>91</v>
      </c>
      <c r="D9" s="19" t="s">
        <v>85</v>
      </c>
      <c r="E9" s="15">
        <v>46069</v>
      </c>
      <c r="F9" s="15">
        <v>46096</v>
      </c>
      <c r="G9" s="26"/>
      <c r="H9" s="26"/>
      <c r="I9" s="31"/>
      <c r="J9" s="17"/>
      <c r="K9" s="17"/>
      <c r="L9" s="17"/>
      <c r="M9" s="17"/>
      <c r="N9" s="17"/>
      <c r="O9" s="17"/>
      <c r="P9" s="28"/>
      <c r="Q9" s="28"/>
      <c r="R9" s="28"/>
      <c r="S9" s="30"/>
      <c r="T9" s="30"/>
      <c r="U9" s="30"/>
      <c r="V9" s="30"/>
      <c r="W9" s="32" t="s">
        <v>92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4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3"/>
      <c r="BJ9" s="23"/>
      <c r="BK9" s="23"/>
      <c r="BL9" s="23"/>
      <c r="BM9" s="23"/>
      <c r="BN9" s="24"/>
    </row>
    <row r="10" ht="20" customHeight="1" spans="1:66">
      <c r="A10" s="25"/>
      <c r="B10" s="26"/>
      <c r="C10" s="19"/>
      <c r="D10" s="26" t="s">
        <v>87</v>
      </c>
      <c r="E10" s="15">
        <v>46078</v>
      </c>
      <c r="F10" s="15">
        <v>46112</v>
      </c>
      <c r="G10" s="28"/>
      <c r="H10" s="28"/>
      <c r="I10" s="28"/>
      <c r="J10" s="28"/>
      <c r="K10" s="28"/>
      <c r="L10" s="35"/>
      <c r="M10" s="27"/>
      <c r="N10" s="27"/>
      <c r="O10" s="27"/>
      <c r="P10" s="27"/>
      <c r="Q10" s="27"/>
      <c r="R10" s="27"/>
      <c r="S10" s="30"/>
      <c r="T10" s="30"/>
      <c r="U10" s="30"/>
      <c r="V10" s="30"/>
      <c r="W10" s="36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3"/>
      <c r="BJ10" s="23"/>
      <c r="BK10" s="23"/>
      <c r="BL10" s="23"/>
      <c r="BM10" s="23"/>
      <c r="BN10" s="24"/>
    </row>
    <row r="11" ht="23" customHeight="1" spans="1:66">
      <c r="A11" s="25"/>
      <c r="B11" s="26"/>
      <c r="C11" s="26" t="s">
        <v>93</v>
      </c>
      <c r="D11" s="26" t="s">
        <v>85</v>
      </c>
      <c r="E11" s="15">
        <v>46097</v>
      </c>
      <c r="F11" s="15">
        <v>46162</v>
      </c>
      <c r="G11" s="28"/>
      <c r="H11" s="28"/>
      <c r="I11" s="28"/>
      <c r="J11" s="28"/>
      <c r="K11" s="28"/>
      <c r="L11" s="30"/>
      <c r="M11" s="28"/>
      <c r="N11" s="28"/>
      <c r="O11" s="28"/>
      <c r="P11" s="39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28"/>
      <c r="AD11" s="28"/>
      <c r="AE11" s="28"/>
      <c r="AF11" s="28"/>
      <c r="AG11" s="28"/>
      <c r="AH11" s="28"/>
      <c r="AI11" s="28"/>
      <c r="AJ11" s="21"/>
      <c r="AK11" s="40" t="s">
        <v>94</v>
      </c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28"/>
      <c r="BB11" s="28"/>
      <c r="BC11" s="28"/>
      <c r="BD11" s="28"/>
      <c r="BE11" s="28"/>
      <c r="BF11" s="28"/>
      <c r="BG11" s="28"/>
      <c r="BH11" s="28"/>
      <c r="BI11" s="23"/>
      <c r="BJ11" s="23"/>
      <c r="BK11" s="23"/>
      <c r="BL11" s="23"/>
      <c r="BM11" s="23"/>
      <c r="BN11" s="24"/>
    </row>
    <row r="12" ht="28" customHeight="1" spans="1:66">
      <c r="A12" s="25"/>
      <c r="B12" s="26"/>
      <c r="C12" s="26"/>
      <c r="D12" s="19" t="s">
        <v>87</v>
      </c>
      <c r="E12" s="15">
        <v>46123</v>
      </c>
      <c r="F12" s="15"/>
      <c r="G12" s="28"/>
      <c r="H12" s="28"/>
      <c r="I12" s="28"/>
      <c r="J12" s="28"/>
      <c r="K12" s="26"/>
      <c r="L12" s="26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43"/>
      <c r="AF12" s="43"/>
      <c r="AG12" s="43"/>
      <c r="AH12" s="44"/>
      <c r="AI12" s="43"/>
      <c r="AJ12" s="45"/>
      <c r="AK12" s="46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8"/>
      <c r="BA12" s="28"/>
      <c r="BB12" s="28"/>
      <c r="BC12" s="28"/>
      <c r="BD12" s="28"/>
      <c r="BE12" s="28"/>
      <c r="BF12" s="28"/>
      <c r="BG12" s="28"/>
      <c r="BH12" s="28"/>
      <c r="BI12" s="23"/>
      <c r="BJ12" s="23"/>
      <c r="BK12" s="23"/>
      <c r="BL12" s="23"/>
      <c r="BM12" s="23"/>
      <c r="BN12" s="24"/>
    </row>
    <row r="13" ht="20" customHeight="1" spans="1:66">
      <c r="A13" s="25"/>
      <c r="B13" s="26"/>
      <c r="C13" s="19" t="s">
        <v>95</v>
      </c>
      <c r="D13" s="26" t="s">
        <v>85</v>
      </c>
      <c r="E13" s="15">
        <v>46143</v>
      </c>
      <c r="F13" s="15">
        <v>46162</v>
      </c>
      <c r="G13" s="28"/>
      <c r="H13" s="28"/>
      <c r="I13" s="28"/>
      <c r="J13" s="28"/>
      <c r="K13" s="26"/>
      <c r="L13" s="26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17"/>
      <c r="Z13" s="17"/>
      <c r="AA13" s="17"/>
      <c r="AB13" s="16"/>
      <c r="AC13" s="19"/>
      <c r="AD13" s="19"/>
      <c r="AE13" s="19"/>
      <c r="AF13" s="19"/>
      <c r="AG13" s="19"/>
      <c r="AH13" s="49"/>
      <c r="AI13" s="19"/>
      <c r="AJ13" s="19"/>
      <c r="AK13" s="19"/>
      <c r="AL13" s="19"/>
      <c r="AM13" s="19"/>
      <c r="AN13" s="19"/>
      <c r="AO13" s="32" t="s">
        <v>96</v>
      </c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4"/>
      <c r="BA13" s="28"/>
      <c r="BB13" s="28"/>
      <c r="BC13" s="28"/>
      <c r="BD13" s="28"/>
      <c r="BE13" s="28"/>
      <c r="BF13" s="28"/>
      <c r="BG13" s="28"/>
      <c r="BH13" s="28"/>
      <c r="BI13" s="23"/>
      <c r="BJ13" s="23"/>
      <c r="BK13" s="23"/>
      <c r="BL13" s="23"/>
      <c r="BM13" s="23"/>
      <c r="BN13" s="24"/>
    </row>
    <row r="14" ht="20" customHeight="1" spans="1:66">
      <c r="A14" s="25"/>
      <c r="B14" s="26"/>
      <c r="C14" s="19"/>
      <c r="D14" s="19" t="s">
        <v>87</v>
      </c>
      <c r="E14" s="15"/>
      <c r="F14" s="15"/>
      <c r="G14" s="28"/>
      <c r="H14" s="28"/>
      <c r="I14" s="28"/>
      <c r="J14" s="28"/>
      <c r="K14" s="26"/>
      <c r="L14" s="26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19"/>
      <c r="AC14" s="19"/>
      <c r="AD14" s="19"/>
      <c r="AE14" s="19"/>
      <c r="AF14" s="19"/>
      <c r="AG14" s="19"/>
      <c r="AH14" s="49"/>
      <c r="AI14" s="19"/>
      <c r="AJ14" s="19"/>
      <c r="AK14" s="50"/>
      <c r="AL14" s="50"/>
      <c r="AM14" s="50"/>
      <c r="AN14" s="50"/>
      <c r="AO14" s="51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3"/>
      <c r="BA14" s="28"/>
      <c r="BB14" s="28"/>
      <c r="BC14" s="28"/>
      <c r="BD14" s="28"/>
      <c r="BE14" s="28"/>
      <c r="BF14" s="28"/>
      <c r="BG14" s="28"/>
      <c r="BH14" s="28"/>
      <c r="BI14" s="23"/>
      <c r="BJ14" s="23"/>
      <c r="BK14" s="23"/>
      <c r="BL14" s="23"/>
      <c r="BM14" s="23"/>
      <c r="BN14" s="24"/>
    </row>
    <row r="15" ht="20" customHeight="1" spans="1:66">
      <c r="A15" s="25"/>
      <c r="B15" s="26"/>
      <c r="C15" s="9" t="s">
        <v>97</v>
      </c>
      <c r="D15" s="26" t="s">
        <v>85</v>
      </c>
      <c r="E15" s="15">
        <v>46158</v>
      </c>
      <c r="F15" s="15">
        <v>46167</v>
      </c>
      <c r="G15" s="28"/>
      <c r="H15" s="28"/>
      <c r="I15" s="28"/>
      <c r="J15" s="28"/>
      <c r="K15" s="28"/>
      <c r="L15" s="30"/>
      <c r="M15" s="28"/>
      <c r="N15" s="28"/>
      <c r="O15" s="30"/>
      <c r="P15" s="28"/>
      <c r="Q15" s="28"/>
      <c r="R15" s="28"/>
      <c r="S15" s="54"/>
      <c r="T15" s="54"/>
      <c r="U15" s="54"/>
      <c r="V15" s="54"/>
      <c r="W15" s="54"/>
      <c r="X15" s="54"/>
      <c r="Y15" s="54"/>
      <c r="Z15" s="54"/>
      <c r="AA15" s="54"/>
      <c r="AB15" s="16"/>
      <c r="AC15" s="16"/>
      <c r="AD15" s="19"/>
      <c r="AE15" s="19"/>
      <c r="AF15" s="19"/>
      <c r="AG15" s="19"/>
      <c r="AH15" s="49"/>
      <c r="AI15" s="19"/>
      <c r="AJ15" s="19"/>
      <c r="AK15" s="19"/>
      <c r="AL15" s="19"/>
      <c r="AM15" s="19"/>
      <c r="AN15" s="19"/>
      <c r="AO15" s="51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3"/>
      <c r="BA15" s="54"/>
      <c r="BB15" s="54"/>
      <c r="BC15" s="54"/>
      <c r="BD15" s="54"/>
      <c r="BE15" s="54"/>
      <c r="BF15" s="54"/>
      <c r="BG15" s="54"/>
      <c r="BH15" s="54"/>
      <c r="BI15" s="23"/>
      <c r="BJ15" s="23"/>
      <c r="BK15" s="23"/>
      <c r="BL15" s="23"/>
      <c r="BM15" s="23"/>
      <c r="BN15" s="24"/>
    </row>
    <row r="16" ht="20" customHeight="1" spans="1:66">
      <c r="A16" s="25"/>
      <c r="B16" s="26"/>
      <c r="C16" s="9"/>
      <c r="D16" s="19" t="s">
        <v>87</v>
      </c>
      <c r="E16" s="15"/>
      <c r="F16" s="15"/>
      <c r="G16" s="28"/>
      <c r="H16" s="28"/>
      <c r="I16" s="28"/>
      <c r="J16" s="28"/>
      <c r="K16" s="28"/>
      <c r="L16" s="30"/>
      <c r="M16" s="28"/>
      <c r="N16" s="28"/>
      <c r="O16" s="30"/>
      <c r="P16" s="28"/>
      <c r="Q16" s="28"/>
      <c r="R16" s="28"/>
      <c r="S16" s="54"/>
      <c r="T16" s="54"/>
      <c r="U16" s="54"/>
      <c r="V16" s="54"/>
      <c r="W16" s="54"/>
      <c r="X16" s="54"/>
      <c r="Y16" s="54"/>
      <c r="Z16" s="54"/>
      <c r="AA16" s="54"/>
      <c r="AB16" s="19"/>
      <c r="AC16" s="19"/>
      <c r="AD16" s="19"/>
      <c r="AE16" s="19"/>
      <c r="AF16" s="19"/>
      <c r="AG16" s="19"/>
      <c r="AH16" s="49"/>
      <c r="AI16" s="19"/>
      <c r="AJ16" s="19"/>
      <c r="AK16" s="19"/>
      <c r="AL16" s="19"/>
      <c r="AM16" s="19"/>
      <c r="AN16" s="19"/>
      <c r="AO16" s="51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3"/>
      <c r="BA16" s="54"/>
      <c r="BB16" s="54"/>
      <c r="BC16" s="54"/>
      <c r="BD16" s="54"/>
      <c r="BE16" s="54"/>
      <c r="BF16" s="54"/>
      <c r="BG16" s="54"/>
      <c r="BH16" s="54"/>
      <c r="BI16" s="23"/>
      <c r="BJ16" s="23"/>
      <c r="BK16" s="23"/>
      <c r="BL16" s="23"/>
      <c r="BM16" s="23"/>
      <c r="BN16" s="24"/>
    </row>
    <row r="17" ht="20" customHeight="1" spans="1:66">
      <c r="A17" s="25"/>
      <c r="B17" s="5" t="s">
        <v>98</v>
      </c>
      <c r="C17" s="55" t="s">
        <v>91</v>
      </c>
      <c r="D17" s="26" t="s">
        <v>85</v>
      </c>
      <c r="E17" s="15">
        <v>46163</v>
      </c>
      <c r="F17" s="15">
        <v>46167</v>
      </c>
      <c r="G17" s="28"/>
      <c r="H17" s="28"/>
      <c r="I17" s="28"/>
      <c r="J17" s="28"/>
      <c r="K17" s="28"/>
      <c r="L17" s="30"/>
      <c r="M17" s="28"/>
      <c r="N17" s="28"/>
      <c r="O17" s="30"/>
      <c r="P17" s="28"/>
      <c r="Q17" s="28"/>
      <c r="R17" s="28"/>
      <c r="S17" s="54"/>
      <c r="T17" s="54"/>
      <c r="U17" s="54"/>
      <c r="V17" s="54"/>
      <c r="W17" s="54"/>
      <c r="X17" s="54"/>
      <c r="Y17" s="54"/>
      <c r="Z17" s="54"/>
      <c r="AA17" s="54"/>
      <c r="AB17" s="19"/>
      <c r="AC17" s="56"/>
      <c r="AD17" s="19"/>
      <c r="AE17" s="19"/>
      <c r="AF17" s="19"/>
      <c r="AG17" s="19"/>
      <c r="AH17" s="49"/>
      <c r="AI17" s="19"/>
      <c r="AJ17" s="19"/>
      <c r="AK17" s="19"/>
      <c r="AL17" s="19"/>
      <c r="AM17" s="19"/>
      <c r="AN17" s="19"/>
      <c r="AO17" s="51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3"/>
      <c r="BA17" s="54"/>
      <c r="BB17" s="54"/>
      <c r="BC17" s="54"/>
      <c r="BD17" s="54"/>
      <c r="BE17" s="54"/>
      <c r="BF17" s="54"/>
      <c r="BG17" s="54"/>
      <c r="BH17" s="54"/>
      <c r="BI17" s="23"/>
      <c r="BJ17" s="23"/>
      <c r="BK17" s="23"/>
      <c r="BL17" s="23"/>
      <c r="BM17" s="23"/>
      <c r="BN17" s="24"/>
    </row>
    <row r="18" ht="20" customHeight="1" spans="1:66">
      <c r="A18" s="25"/>
      <c r="B18" s="5"/>
      <c r="C18" s="57"/>
      <c r="D18" s="19" t="s">
        <v>87</v>
      </c>
      <c r="E18" s="15"/>
      <c r="F18" s="15"/>
      <c r="G18" s="28"/>
      <c r="H18" s="28"/>
      <c r="I18" s="28"/>
      <c r="J18" s="28"/>
      <c r="K18" s="28"/>
      <c r="L18" s="30"/>
      <c r="M18" s="28"/>
      <c r="N18" s="28"/>
      <c r="O18" s="30"/>
      <c r="P18" s="28"/>
      <c r="Q18" s="28"/>
      <c r="R18" s="28"/>
      <c r="S18" s="54"/>
      <c r="T18" s="54"/>
      <c r="U18" s="54"/>
      <c r="V18" s="54"/>
      <c r="W18" s="5"/>
      <c r="X18" s="5"/>
      <c r="Y18" s="54"/>
      <c r="Z18" s="54"/>
      <c r="AA18" s="54"/>
      <c r="AB18" s="19"/>
      <c r="AC18" s="19"/>
      <c r="AD18" s="19"/>
      <c r="AE18" s="19"/>
      <c r="AF18" s="19"/>
      <c r="AG18" s="19"/>
      <c r="AH18" s="49"/>
      <c r="AI18" s="19"/>
      <c r="AJ18" s="19"/>
      <c r="AK18" s="19"/>
      <c r="AL18" s="19"/>
      <c r="AM18" s="19"/>
      <c r="AN18" s="19"/>
      <c r="AO18" s="51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3"/>
      <c r="BA18" s="54"/>
      <c r="BB18" s="54"/>
      <c r="BC18" s="54"/>
      <c r="BD18" s="54"/>
      <c r="BE18" s="54"/>
      <c r="BF18" s="54"/>
      <c r="BG18" s="54"/>
      <c r="BH18" s="54"/>
      <c r="BI18" s="23"/>
      <c r="BJ18" s="23"/>
      <c r="BK18" s="23"/>
      <c r="BL18" s="23"/>
      <c r="BM18" s="23"/>
      <c r="BN18" s="24"/>
    </row>
    <row r="19" ht="20" customHeight="1" spans="1:66">
      <c r="A19" s="25"/>
      <c r="B19" s="5"/>
      <c r="C19" s="55" t="s">
        <v>99</v>
      </c>
      <c r="D19" s="26" t="s">
        <v>85</v>
      </c>
      <c r="E19" s="15">
        <v>46168</v>
      </c>
      <c r="F19" s="15">
        <v>46188</v>
      </c>
      <c r="G19" s="28"/>
      <c r="H19" s="28"/>
      <c r="I19" s="28"/>
      <c r="J19" s="28"/>
      <c r="K19" s="28"/>
      <c r="L19" s="30"/>
      <c r="M19" s="28"/>
      <c r="N19" s="28"/>
      <c r="O19" s="30"/>
      <c r="P19" s="28"/>
      <c r="Q19" s="28"/>
      <c r="R19" s="28"/>
      <c r="S19" s="54"/>
      <c r="T19" s="54"/>
      <c r="U19" s="54"/>
      <c r="V19" s="54"/>
      <c r="W19" s="5"/>
      <c r="X19" s="5"/>
      <c r="Y19" s="54"/>
      <c r="Z19" s="54"/>
      <c r="AA19" s="54"/>
      <c r="AB19" s="19"/>
      <c r="AC19" s="19"/>
      <c r="AD19" s="16"/>
      <c r="AE19" s="16"/>
      <c r="AF19" s="16"/>
      <c r="AG19" s="16"/>
      <c r="AH19" s="49"/>
      <c r="AI19" s="19"/>
      <c r="AJ19" s="19"/>
      <c r="AK19" s="19"/>
      <c r="AL19" s="19"/>
      <c r="AM19" s="19"/>
      <c r="AN19" s="19"/>
      <c r="AO19" s="51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3"/>
      <c r="BA19" s="54"/>
      <c r="BB19" s="54"/>
      <c r="BC19" s="54"/>
      <c r="BD19" s="54"/>
      <c r="BE19" s="54"/>
      <c r="BF19" s="54"/>
      <c r="BG19" s="54"/>
      <c r="BH19" s="54"/>
      <c r="BI19" s="23"/>
      <c r="BJ19" s="23"/>
      <c r="BK19" s="23"/>
      <c r="BL19" s="23"/>
      <c r="BM19" s="23"/>
      <c r="BN19" s="24"/>
    </row>
    <row r="20" ht="20" customHeight="1" spans="1:66">
      <c r="A20" s="25"/>
      <c r="B20" s="5"/>
      <c r="C20" s="57"/>
      <c r="D20" s="19" t="s">
        <v>87</v>
      </c>
      <c r="E20" s="15"/>
      <c r="F20" s="15"/>
      <c r="G20" s="28"/>
      <c r="H20" s="28"/>
      <c r="I20" s="28"/>
      <c r="J20" s="28"/>
      <c r="K20" s="28"/>
      <c r="L20" s="30"/>
      <c r="M20" s="28"/>
      <c r="N20" s="28"/>
      <c r="O20" s="30"/>
      <c r="P20" s="28"/>
      <c r="Q20" s="28"/>
      <c r="R20" s="28"/>
      <c r="S20" s="54"/>
      <c r="T20" s="54"/>
      <c r="U20" s="54"/>
      <c r="V20" s="54"/>
      <c r="W20" s="9"/>
      <c r="X20" s="9"/>
      <c r="Y20" s="54"/>
      <c r="Z20" s="54"/>
      <c r="AA20" s="54"/>
      <c r="AB20" s="19"/>
      <c r="AC20" s="19"/>
      <c r="AD20" s="19"/>
      <c r="AE20" s="19"/>
      <c r="AF20" s="19"/>
      <c r="AG20" s="19"/>
      <c r="AH20" s="49"/>
      <c r="AI20" s="19"/>
      <c r="AJ20" s="19"/>
      <c r="AK20" s="19"/>
      <c r="AL20" s="19"/>
      <c r="AM20" s="19"/>
      <c r="AN20" s="19"/>
      <c r="AO20" s="36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8"/>
      <c r="BA20" s="54"/>
      <c r="BB20" s="54"/>
      <c r="BC20" s="54"/>
      <c r="BD20" s="54"/>
      <c r="BE20" s="54"/>
      <c r="BF20" s="54"/>
      <c r="BG20" s="54"/>
      <c r="BH20" s="54"/>
      <c r="BI20" s="23"/>
      <c r="BJ20" s="23"/>
      <c r="BK20" s="23"/>
      <c r="BL20" s="23"/>
      <c r="BM20" s="23"/>
      <c r="BN20" s="24"/>
    </row>
    <row r="21" ht="20" customHeight="1" spans="1:66">
      <c r="A21" s="25"/>
      <c r="B21" s="5" t="s">
        <v>100</v>
      </c>
      <c r="C21" s="55" t="s">
        <v>91</v>
      </c>
      <c r="D21" s="26" t="s">
        <v>85</v>
      </c>
      <c r="E21" s="15">
        <v>46082</v>
      </c>
      <c r="F21" s="15">
        <v>46106</v>
      </c>
      <c r="G21" s="28"/>
      <c r="H21" s="28"/>
      <c r="I21" s="28"/>
      <c r="J21" s="28"/>
      <c r="K21" s="28"/>
      <c r="L21" s="30"/>
      <c r="M21" s="58"/>
      <c r="N21" s="58"/>
      <c r="O21" s="59"/>
      <c r="P21" s="17"/>
      <c r="Q21" s="17"/>
      <c r="R21" s="28"/>
      <c r="S21" s="54"/>
      <c r="T21" s="54"/>
      <c r="U21" s="54"/>
      <c r="V21" s="54"/>
      <c r="W21" s="21"/>
      <c r="X21" s="21"/>
      <c r="Y21" s="21"/>
      <c r="Z21" s="21"/>
      <c r="AA21" s="21"/>
      <c r="AB21" s="21"/>
      <c r="AC21" s="21"/>
      <c r="AD21" s="60"/>
      <c r="AE21" s="40" t="s">
        <v>101</v>
      </c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2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23"/>
      <c r="BJ21" s="23"/>
      <c r="BK21" s="23"/>
      <c r="BL21" s="23"/>
      <c r="BM21" s="23"/>
      <c r="BN21" s="24"/>
    </row>
    <row r="22" ht="20" customHeight="1" spans="1:66">
      <c r="A22" s="25"/>
      <c r="B22" s="5"/>
      <c r="C22" s="57"/>
      <c r="D22" s="19" t="s">
        <v>87</v>
      </c>
      <c r="E22" s="15">
        <v>46097</v>
      </c>
      <c r="F22" s="15">
        <v>46173</v>
      </c>
      <c r="G22" s="28"/>
      <c r="H22" s="28"/>
      <c r="I22" s="28"/>
      <c r="J22" s="28"/>
      <c r="K22" s="28"/>
      <c r="L22" s="30"/>
      <c r="M22" s="28"/>
      <c r="N22" s="28"/>
      <c r="O22" s="30"/>
      <c r="P22" s="28"/>
      <c r="Q22" s="28"/>
      <c r="R22" s="28"/>
      <c r="S22" s="54"/>
      <c r="T22" s="54"/>
      <c r="U22" s="54"/>
      <c r="V22" s="54"/>
      <c r="W22" s="21"/>
      <c r="X22" s="21"/>
      <c r="Y22" s="21"/>
      <c r="Z22" s="21"/>
      <c r="AA22" s="61"/>
      <c r="AB22" s="61"/>
      <c r="AC22" s="61"/>
      <c r="AD22" s="62"/>
      <c r="AE22" s="46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8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23"/>
      <c r="BJ22" s="23"/>
      <c r="BK22" s="23"/>
      <c r="BL22" s="23"/>
      <c r="BM22" s="23"/>
      <c r="BN22" s="24"/>
    </row>
    <row r="23" ht="20" customHeight="1" spans="1:66">
      <c r="A23" s="25"/>
      <c r="B23" s="5"/>
      <c r="C23" s="55" t="s">
        <v>99</v>
      </c>
      <c r="D23" s="26" t="s">
        <v>85</v>
      </c>
      <c r="E23" s="15">
        <v>46107</v>
      </c>
      <c r="F23" s="15">
        <v>46167</v>
      </c>
      <c r="G23" s="28"/>
      <c r="H23" s="28"/>
      <c r="I23" s="28"/>
      <c r="J23" s="28"/>
      <c r="K23" s="28"/>
      <c r="L23" s="30"/>
      <c r="M23" s="28"/>
      <c r="N23" s="28"/>
      <c r="O23" s="30"/>
      <c r="P23" s="28"/>
      <c r="Q23" s="28"/>
      <c r="R23" s="17"/>
      <c r="S23" s="63"/>
      <c r="T23" s="63"/>
      <c r="U23" s="63"/>
      <c r="V23" s="63"/>
      <c r="W23" s="64"/>
      <c r="X23" s="64"/>
      <c r="Y23" s="63"/>
      <c r="Z23" s="63"/>
      <c r="AA23" s="63"/>
      <c r="AB23" s="16"/>
      <c r="AC23" s="16"/>
      <c r="AD23" s="19"/>
      <c r="AE23" s="19"/>
      <c r="AF23" s="19"/>
      <c r="AG23" s="19"/>
      <c r="AH23" s="49"/>
      <c r="AI23" s="19"/>
      <c r="AJ23" s="19"/>
      <c r="AK23" s="19"/>
      <c r="AL23" s="40" t="s">
        <v>102</v>
      </c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6"/>
      <c r="BD23" s="54"/>
      <c r="BE23" s="54"/>
      <c r="BF23" s="54"/>
      <c r="BG23" s="54"/>
      <c r="BH23" s="54"/>
      <c r="BI23" s="23"/>
      <c r="BJ23" s="23"/>
      <c r="BK23" s="23"/>
      <c r="BL23" s="23"/>
      <c r="BM23" s="23"/>
      <c r="BN23" s="24"/>
    </row>
    <row r="24" ht="20" customHeight="1" spans="1:66">
      <c r="A24" s="25"/>
      <c r="B24" s="5"/>
      <c r="C24" s="57"/>
      <c r="D24" s="19" t="s">
        <v>87</v>
      </c>
      <c r="E24" s="15">
        <v>46156</v>
      </c>
      <c r="F24" s="15"/>
      <c r="G24" s="28"/>
      <c r="H24" s="28"/>
      <c r="I24" s="28"/>
      <c r="J24" s="28"/>
      <c r="K24" s="28"/>
      <c r="L24" s="30"/>
      <c r="M24" s="31"/>
      <c r="N24" s="31"/>
      <c r="O24" s="67"/>
      <c r="P24" s="31"/>
      <c r="Q24" s="28"/>
      <c r="R24" s="28"/>
      <c r="S24" s="54"/>
      <c r="T24" s="54"/>
      <c r="U24" s="5"/>
      <c r="V24" s="5"/>
      <c r="W24" s="5"/>
      <c r="X24" s="5"/>
      <c r="Y24" s="5"/>
      <c r="Z24" s="5"/>
      <c r="AA24" s="68"/>
      <c r="AB24" s="68"/>
      <c r="AC24" s="68"/>
      <c r="AD24" s="68"/>
      <c r="AE24" s="69"/>
      <c r="AF24" s="69"/>
      <c r="AG24" s="69"/>
      <c r="AH24" s="70"/>
      <c r="AI24" s="19"/>
      <c r="AJ24" s="19"/>
      <c r="AK24" s="19"/>
      <c r="AL24" s="71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3"/>
      <c r="BD24" s="54"/>
      <c r="BE24" s="54"/>
      <c r="BF24" s="54"/>
      <c r="BG24" s="54"/>
      <c r="BH24" s="54"/>
      <c r="BI24" s="23"/>
      <c r="BJ24" s="23"/>
      <c r="BK24" s="23"/>
      <c r="BL24" s="23"/>
      <c r="BM24" s="23"/>
      <c r="BN24" s="24"/>
    </row>
    <row r="25" ht="20" customHeight="1" spans="1:66">
      <c r="A25" s="25"/>
      <c r="B25" s="5" t="s">
        <v>103</v>
      </c>
      <c r="C25" s="9" t="s">
        <v>91</v>
      </c>
      <c r="D25" s="9" t="s">
        <v>85</v>
      </c>
      <c r="E25" s="15">
        <v>46082</v>
      </c>
      <c r="F25" s="15">
        <v>46106</v>
      </c>
      <c r="G25" s="28"/>
      <c r="H25" s="28"/>
      <c r="I25" s="28"/>
      <c r="J25" s="28"/>
      <c r="K25" s="28"/>
      <c r="L25" s="30"/>
      <c r="M25" s="17"/>
      <c r="N25" s="17"/>
      <c r="O25" s="59"/>
      <c r="P25" s="17"/>
      <c r="Q25" s="17"/>
      <c r="R25" s="28"/>
      <c r="S25" s="54"/>
      <c r="T25" s="54"/>
      <c r="U25" s="20"/>
      <c r="V25" s="20"/>
      <c r="W25" s="21"/>
      <c r="X25" s="21"/>
      <c r="Y25" s="21"/>
      <c r="Z25" s="21"/>
      <c r="AA25" s="60"/>
      <c r="AB25" s="60"/>
      <c r="AC25" s="60"/>
      <c r="AD25" s="60"/>
      <c r="AE25" s="60"/>
      <c r="AF25" s="60"/>
      <c r="AG25" s="40" t="s">
        <v>104</v>
      </c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2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23"/>
      <c r="BJ25" s="23"/>
      <c r="BK25" s="23"/>
      <c r="BL25" s="23"/>
      <c r="BM25" s="23"/>
      <c r="BN25" s="24"/>
    </row>
    <row r="26" ht="20" customHeight="1" spans="1:66">
      <c r="A26" s="25"/>
      <c r="B26" s="5"/>
      <c r="C26" s="9"/>
      <c r="D26" s="9" t="s">
        <v>87</v>
      </c>
      <c r="E26" s="15">
        <v>46097</v>
      </c>
      <c r="F26" s="15"/>
      <c r="G26" s="28"/>
      <c r="H26" s="28"/>
      <c r="I26" s="28"/>
      <c r="J26" s="28"/>
      <c r="K26" s="28"/>
      <c r="L26" s="30"/>
      <c r="M26" s="28"/>
      <c r="N26" s="28"/>
      <c r="O26" s="30"/>
      <c r="P26" s="27"/>
      <c r="Q26" s="27"/>
      <c r="R26" s="27"/>
      <c r="S26" s="74"/>
      <c r="T26" s="74"/>
      <c r="U26" s="75"/>
      <c r="V26" s="75"/>
      <c r="W26" s="61"/>
      <c r="X26" s="61"/>
      <c r="Y26" s="61"/>
      <c r="Z26" s="61"/>
      <c r="AA26" s="62"/>
      <c r="AB26" s="62"/>
      <c r="AC26" s="62"/>
      <c r="AD26" s="62"/>
      <c r="AE26" s="76"/>
      <c r="AF26" s="76"/>
      <c r="AG26" s="46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8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23"/>
      <c r="BJ26" s="23"/>
      <c r="BK26" s="23"/>
      <c r="BL26" s="23"/>
      <c r="BM26" s="23"/>
      <c r="BN26" s="24"/>
    </row>
    <row r="27" ht="20" customHeight="1" spans="1:66">
      <c r="A27" s="25"/>
      <c r="B27" s="5"/>
      <c r="C27" s="9" t="s">
        <v>99</v>
      </c>
      <c r="D27" s="9" t="s">
        <v>85</v>
      </c>
      <c r="E27" s="15">
        <v>46107</v>
      </c>
      <c r="F27" s="15">
        <v>46167</v>
      </c>
      <c r="G27" s="28"/>
      <c r="H27" s="28"/>
      <c r="I27" s="28"/>
      <c r="J27" s="28"/>
      <c r="K27" s="28"/>
      <c r="L27" s="30"/>
      <c r="M27" s="28"/>
      <c r="N27" s="28"/>
      <c r="O27" s="30"/>
      <c r="P27" s="28"/>
      <c r="Q27" s="28"/>
      <c r="R27" s="17"/>
      <c r="S27" s="63"/>
      <c r="T27" s="63"/>
      <c r="U27" s="63"/>
      <c r="V27" s="63"/>
      <c r="W27" s="64"/>
      <c r="X27" s="64"/>
      <c r="Y27" s="63"/>
      <c r="Z27" s="63"/>
      <c r="AA27" s="63"/>
      <c r="AB27" s="16"/>
      <c r="AC27" s="16"/>
      <c r="AD27" s="19"/>
      <c r="AE27" s="19"/>
      <c r="AF27" s="19"/>
      <c r="AG27" s="19"/>
      <c r="AH27" s="19"/>
      <c r="AI27" s="19"/>
      <c r="AJ27" s="60"/>
      <c r="AK27" s="40" t="s">
        <v>105</v>
      </c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2"/>
      <c r="BA27" s="54"/>
      <c r="BB27" s="54"/>
      <c r="BC27" s="54"/>
      <c r="BD27" s="54"/>
      <c r="BE27" s="54"/>
      <c r="BF27" s="54"/>
      <c r="BG27" s="54"/>
      <c r="BH27" s="54"/>
      <c r="BI27" s="23"/>
      <c r="BJ27" s="23"/>
      <c r="BK27" s="23"/>
      <c r="BL27" s="23"/>
      <c r="BM27" s="23"/>
      <c r="BN27" s="24"/>
    </row>
    <row r="28" ht="20" customHeight="1" spans="1:66">
      <c r="A28" s="25"/>
      <c r="B28" s="5"/>
      <c r="C28" s="9"/>
      <c r="D28" s="9" t="s">
        <v>87</v>
      </c>
      <c r="E28" s="15">
        <v>46133</v>
      </c>
      <c r="F28" s="15"/>
      <c r="G28" s="28"/>
      <c r="H28" s="28"/>
      <c r="I28" s="28"/>
      <c r="J28" s="28"/>
      <c r="K28" s="28"/>
      <c r="L28" s="30"/>
      <c r="M28" s="28"/>
      <c r="N28" s="28"/>
      <c r="O28" s="30"/>
      <c r="P28" s="28"/>
      <c r="Q28" s="28"/>
      <c r="R28" s="28"/>
      <c r="S28" s="54"/>
      <c r="T28" s="54"/>
      <c r="U28" s="54"/>
      <c r="V28" s="54"/>
      <c r="W28" s="77"/>
      <c r="X28" s="77"/>
      <c r="Y28" s="74"/>
      <c r="Z28" s="74"/>
      <c r="AA28" s="74"/>
      <c r="AB28" s="78"/>
      <c r="AC28" s="78"/>
      <c r="AD28" s="78"/>
      <c r="AE28" s="79"/>
      <c r="AF28" s="79"/>
      <c r="AG28" s="79"/>
      <c r="AH28" s="79"/>
      <c r="AI28" s="79"/>
      <c r="AJ28" s="76"/>
      <c r="AK28" s="46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8"/>
      <c r="BA28" s="54"/>
      <c r="BB28" s="54"/>
      <c r="BC28" s="54"/>
      <c r="BD28" s="54"/>
      <c r="BE28" s="54"/>
      <c r="BF28" s="54"/>
      <c r="BG28" s="54"/>
      <c r="BH28" s="54"/>
      <c r="BI28" s="23"/>
      <c r="BJ28" s="23"/>
      <c r="BK28" s="23"/>
      <c r="BL28" s="23"/>
      <c r="BM28" s="23"/>
      <c r="BN28" s="24"/>
    </row>
    <row r="29" ht="20" customHeight="1" spans="1:66">
      <c r="A29" s="25"/>
      <c r="B29" s="80" t="s">
        <v>106</v>
      </c>
      <c r="C29" s="80" t="s">
        <v>107</v>
      </c>
      <c r="D29" s="9" t="s">
        <v>85</v>
      </c>
      <c r="E29" s="15">
        <v>46113</v>
      </c>
      <c r="F29" s="15">
        <v>46142</v>
      </c>
      <c r="G29" s="28"/>
      <c r="H29" s="28"/>
      <c r="I29" s="28"/>
      <c r="J29" s="28"/>
      <c r="K29" s="28"/>
      <c r="L29" s="30"/>
      <c r="M29" s="28"/>
      <c r="N29" s="28"/>
      <c r="O29" s="30"/>
      <c r="P29" s="28"/>
      <c r="Q29" s="28"/>
      <c r="R29" s="81"/>
      <c r="S29" s="63"/>
      <c r="T29" s="63"/>
      <c r="U29" s="63"/>
      <c r="V29" s="63"/>
      <c r="W29" s="64"/>
      <c r="X29" s="64"/>
      <c r="Y29" s="54"/>
      <c r="Z29" s="54"/>
      <c r="AA29" s="54"/>
      <c r="AB29" s="19"/>
      <c r="AC29" s="19"/>
      <c r="AD29" s="19"/>
      <c r="AE29" s="19"/>
      <c r="AF29" s="19"/>
      <c r="AG29" s="19"/>
      <c r="AH29" s="82" t="s">
        <v>108</v>
      </c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6"/>
      <c r="BC29" s="54"/>
      <c r="BD29" s="54"/>
      <c r="BE29" s="54"/>
      <c r="BF29" s="54"/>
      <c r="BG29" s="54"/>
      <c r="BH29" s="54"/>
      <c r="BI29" s="23"/>
      <c r="BJ29" s="23"/>
      <c r="BK29" s="23"/>
      <c r="BL29" s="23"/>
      <c r="BM29" s="23"/>
      <c r="BN29" s="24"/>
    </row>
    <row r="30" ht="20" customHeight="1" spans="1:66">
      <c r="A30" s="25"/>
      <c r="B30" s="83"/>
      <c r="C30" s="84"/>
      <c r="D30" s="9" t="s">
        <v>87</v>
      </c>
      <c r="E30" s="15">
        <v>46138</v>
      </c>
      <c r="F30" s="15"/>
      <c r="G30" s="28"/>
      <c r="H30" s="28"/>
      <c r="I30" s="28"/>
      <c r="J30" s="28"/>
      <c r="K30" s="28"/>
      <c r="L30" s="30"/>
      <c r="M30" s="28"/>
      <c r="N30" s="28"/>
      <c r="O30" s="30"/>
      <c r="P30" s="28"/>
      <c r="Q30" s="28"/>
      <c r="R30" s="28"/>
      <c r="S30" s="54"/>
      <c r="T30" s="54"/>
      <c r="U30" s="54"/>
      <c r="V30" s="54"/>
      <c r="W30" s="9"/>
      <c r="X30" s="77"/>
      <c r="Y30" s="74"/>
      <c r="Z30" s="74"/>
      <c r="AA30" s="74"/>
      <c r="AB30" s="78"/>
      <c r="AC30" s="78"/>
      <c r="AD30" s="78"/>
      <c r="AE30" s="79"/>
      <c r="AF30" s="79"/>
      <c r="AG30" s="79"/>
      <c r="AH30" s="71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3"/>
      <c r="BC30" s="54"/>
      <c r="BD30" s="54"/>
      <c r="BE30" s="54"/>
      <c r="BF30" s="54"/>
      <c r="BG30" s="54"/>
      <c r="BH30" s="54"/>
      <c r="BI30" s="23"/>
      <c r="BJ30" s="23"/>
      <c r="BK30" s="23"/>
      <c r="BL30" s="23"/>
      <c r="BM30" s="23"/>
      <c r="BN30" s="24"/>
    </row>
    <row r="31" ht="20" customHeight="1" spans="1:66">
      <c r="A31" s="25"/>
      <c r="B31" s="83"/>
      <c r="C31" s="80" t="s">
        <v>109</v>
      </c>
      <c r="D31" s="9" t="s">
        <v>85</v>
      </c>
      <c r="E31" s="15">
        <v>46143</v>
      </c>
      <c r="F31" s="15">
        <v>46173</v>
      </c>
      <c r="G31" s="28"/>
      <c r="H31" s="28"/>
      <c r="I31" s="28"/>
      <c r="J31" s="28"/>
      <c r="K31" s="28"/>
      <c r="L31" s="30"/>
      <c r="M31" s="28"/>
      <c r="N31" s="28"/>
      <c r="O31" s="30"/>
      <c r="P31" s="28"/>
      <c r="Q31" s="28"/>
      <c r="R31" s="28"/>
      <c r="S31" s="54"/>
      <c r="T31" s="54"/>
      <c r="U31" s="54"/>
      <c r="V31" s="54"/>
      <c r="W31" s="9"/>
      <c r="X31" s="9"/>
      <c r="Y31" s="63"/>
      <c r="Z31" s="63"/>
      <c r="AA31" s="63"/>
      <c r="AB31" s="16"/>
      <c r="AC31" s="16"/>
      <c r="AD31" s="16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23"/>
      <c r="BJ31" s="23"/>
      <c r="BK31" s="23"/>
      <c r="BL31" s="23"/>
      <c r="BM31" s="23"/>
      <c r="BN31" s="24"/>
    </row>
    <row r="32" ht="20" customHeight="1" spans="1:66">
      <c r="A32" s="25"/>
      <c r="B32" s="83"/>
      <c r="C32" s="84"/>
      <c r="D32" s="9" t="s">
        <v>87</v>
      </c>
      <c r="E32" s="15"/>
      <c r="F32" s="15"/>
      <c r="G32" s="28"/>
      <c r="H32" s="28"/>
      <c r="I32" s="28"/>
      <c r="J32" s="28"/>
      <c r="K32" s="28"/>
      <c r="L32" s="30"/>
      <c r="M32" s="28"/>
      <c r="N32" s="28"/>
      <c r="O32" s="30"/>
      <c r="P32" s="28"/>
      <c r="Q32" s="28"/>
      <c r="R32" s="28"/>
      <c r="S32" s="54"/>
      <c r="T32" s="54"/>
      <c r="U32" s="54"/>
      <c r="V32" s="54"/>
      <c r="W32" s="9"/>
      <c r="X32" s="9"/>
      <c r="Y32" s="54"/>
      <c r="Z32" s="54"/>
      <c r="AA32" s="54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23"/>
      <c r="BJ32" s="23"/>
      <c r="BK32" s="23"/>
      <c r="BL32" s="23"/>
      <c r="BM32" s="23"/>
      <c r="BN32" s="24"/>
    </row>
    <row r="33" ht="20" customHeight="1" spans="1:66">
      <c r="A33" s="25"/>
      <c r="B33" s="83"/>
      <c r="C33" s="55" t="s">
        <v>110</v>
      </c>
      <c r="D33" s="9" t="s">
        <v>85</v>
      </c>
      <c r="E33" s="15">
        <v>46174</v>
      </c>
      <c r="F33" s="15">
        <v>46188</v>
      </c>
      <c r="G33" s="28"/>
      <c r="H33" s="28"/>
      <c r="I33" s="28"/>
      <c r="J33" s="28"/>
      <c r="K33" s="28"/>
      <c r="L33" s="30"/>
      <c r="M33" s="28"/>
      <c r="N33" s="28"/>
      <c r="O33" s="30"/>
      <c r="P33" s="28"/>
      <c r="Q33" s="28"/>
      <c r="R33" s="28"/>
      <c r="S33" s="54"/>
      <c r="T33" s="54"/>
      <c r="U33" s="54"/>
      <c r="V33" s="54"/>
      <c r="W33" s="9"/>
      <c r="X33" s="9"/>
      <c r="Y33" s="54"/>
      <c r="Z33" s="54"/>
      <c r="AA33" s="54"/>
      <c r="AB33" s="19"/>
      <c r="AC33" s="19"/>
      <c r="AD33" s="19"/>
      <c r="AE33" s="16"/>
      <c r="AF33" s="16"/>
      <c r="AG33" s="16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23"/>
      <c r="BJ33" s="23"/>
      <c r="BK33" s="23"/>
      <c r="BL33" s="23"/>
      <c r="BM33" s="23"/>
      <c r="BN33" s="24"/>
    </row>
    <row r="34" ht="20" customHeight="1" spans="1:66">
      <c r="A34" s="25"/>
      <c r="B34" s="84"/>
      <c r="C34" s="57"/>
      <c r="D34" s="9" t="s">
        <v>87</v>
      </c>
      <c r="E34" s="15"/>
      <c r="F34" s="15"/>
      <c r="G34" s="28"/>
      <c r="H34" s="28"/>
      <c r="I34" s="28"/>
      <c r="J34" s="28"/>
      <c r="K34" s="28"/>
      <c r="L34" s="30"/>
      <c r="M34" s="28"/>
      <c r="N34" s="28"/>
      <c r="O34" s="30"/>
      <c r="P34" s="28"/>
      <c r="Q34" s="28"/>
      <c r="R34" s="28"/>
      <c r="S34" s="54"/>
      <c r="T34" s="54"/>
      <c r="U34" s="54"/>
      <c r="V34" s="54"/>
      <c r="W34" s="9"/>
      <c r="X34" s="9"/>
      <c r="Y34" s="54"/>
      <c r="Z34" s="54"/>
      <c r="AA34" s="54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23"/>
      <c r="BJ34" s="23"/>
      <c r="BK34" s="23"/>
      <c r="BL34" s="23"/>
      <c r="BM34" s="23"/>
      <c r="BN34" s="24"/>
    </row>
    <row r="35" ht="20" customHeight="1" spans="1:66">
      <c r="A35" s="25"/>
      <c r="B35" s="80" t="s">
        <v>111</v>
      </c>
      <c r="C35" s="55" t="s">
        <v>112</v>
      </c>
      <c r="D35" s="9" t="s">
        <v>85</v>
      </c>
      <c r="E35" s="15">
        <v>46189</v>
      </c>
      <c r="F35" s="15">
        <v>46208</v>
      </c>
      <c r="G35" s="28"/>
      <c r="H35" s="28"/>
      <c r="I35" s="28"/>
      <c r="J35" s="28"/>
      <c r="K35" s="28"/>
      <c r="L35" s="30"/>
      <c r="M35" s="28"/>
      <c r="N35" s="28"/>
      <c r="O35" s="30"/>
      <c r="P35" s="28"/>
      <c r="Q35" s="28"/>
      <c r="R35" s="28"/>
      <c r="S35" s="54"/>
      <c r="T35" s="54"/>
      <c r="U35" s="54"/>
      <c r="V35" s="54"/>
      <c r="W35" s="9"/>
      <c r="X35" s="9"/>
      <c r="Y35" s="54"/>
      <c r="Z35" s="54"/>
      <c r="AA35" s="54"/>
      <c r="AB35" s="19"/>
      <c r="AC35" s="19"/>
      <c r="AD35" s="19"/>
      <c r="AE35" s="19"/>
      <c r="AF35" s="19"/>
      <c r="AG35" s="19"/>
      <c r="AH35" s="16"/>
      <c r="AI35" s="16"/>
      <c r="AJ35" s="16"/>
      <c r="AK35" s="16"/>
      <c r="AL35" s="19"/>
      <c r="AM35" s="19"/>
      <c r="AN35" s="19"/>
      <c r="AO35" s="19"/>
      <c r="AP35" s="19"/>
      <c r="AQ35" s="19"/>
      <c r="AR35" s="19"/>
      <c r="AS35" s="19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23"/>
      <c r="BJ35" s="23"/>
      <c r="BK35" s="23"/>
      <c r="BL35" s="23"/>
      <c r="BM35" s="23"/>
      <c r="BN35" s="24"/>
    </row>
    <row r="36" ht="20" customHeight="1" spans="1:66">
      <c r="A36" s="25"/>
      <c r="B36" s="84"/>
      <c r="C36" s="57"/>
      <c r="D36" s="9" t="s">
        <v>87</v>
      </c>
      <c r="E36" s="15"/>
      <c r="F36" s="15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23"/>
      <c r="BJ36" s="23"/>
      <c r="BK36" s="23"/>
      <c r="BL36" s="23"/>
      <c r="BM36" s="23"/>
      <c r="BN36" s="24"/>
    </row>
    <row r="37" ht="20" customHeight="1" spans="1:66">
      <c r="A37" s="25"/>
      <c r="B37" s="80" t="s">
        <v>113</v>
      </c>
      <c r="C37" s="80" t="s">
        <v>114</v>
      </c>
      <c r="D37" s="9" t="s">
        <v>85</v>
      </c>
      <c r="E37" s="15">
        <v>46266</v>
      </c>
      <c r="F37" s="15">
        <v>46285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54"/>
      <c r="AU37" s="54"/>
      <c r="AV37" s="54"/>
      <c r="AW37" s="63"/>
      <c r="AX37" s="63"/>
      <c r="AY37" s="63"/>
      <c r="AZ37" s="63"/>
      <c r="BA37" s="54"/>
      <c r="BB37" s="54"/>
      <c r="BC37" s="54"/>
      <c r="BD37" s="54"/>
      <c r="BE37" s="54"/>
      <c r="BF37" s="54"/>
      <c r="BG37" s="54"/>
      <c r="BH37" s="54"/>
      <c r="BI37" s="23"/>
      <c r="BJ37" s="23"/>
      <c r="BK37" s="23"/>
      <c r="BL37" s="23"/>
      <c r="BM37" s="23"/>
      <c r="BN37" s="24"/>
    </row>
    <row r="38" ht="20" customHeight="1" spans="1:66">
      <c r="A38" s="25"/>
      <c r="B38" s="84"/>
      <c r="C38" s="84"/>
      <c r="D38" s="9" t="s">
        <v>87</v>
      </c>
      <c r="E38" s="15"/>
      <c r="F38" s="15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23"/>
      <c r="BJ38" s="23"/>
      <c r="BK38" s="23"/>
      <c r="BL38" s="23"/>
      <c r="BM38" s="23"/>
      <c r="BN38" s="24"/>
    </row>
    <row r="39" ht="20" customHeight="1" spans="1:66">
      <c r="A39" s="25"/>
      <c r="B39" s="80" t="s">
        <v>115</v>
      </c>
      <c r="C39" s="55" t="s">
        <v>115</v>
      </c>
      <c r="D39" s="9" t="s">
        <v>85</v>
      </c>
      <c r="E39" s="15">
        <v>46286</v>
      </c>
      <c r="F39" s="15">
        <v>46295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54"/>
      <c r="AU39" s="54"/>
      <c r="AV39" s="54"/>
      <c r="AW39" s="54"/>
      <c r="AX39" s="54"/>
      <c r="AY39" s="54"/>
      <c r="AZ39" s="54"/>
      <c r="BA39" s="63"/>
      <c r="BB39" s="63"/>
      <c r="BC39" s="85"/>
      <c r="BD39" s="54"/>
      <c r="BE39" s="54"/>
      <c r="BF39" s="54"/>
      <c r="BG39" s="54"/>
      <c r="BH39" s="54"/>
      <c r="BI39" s="23"/>
      <c r="BJ39" s="23"/>
      <c r="BK39" s="23"/>
      <c r="BL39" s="23"/>
      <c r="BM39" s="23"/>
      <c r="BN39" s="24"/>
    </row>
    <row r="40" ht="20" customHeight="1" spans="1:66">
      <c r="A40" s="86"/>
      <c r="B40" s="84"/>
      <c r="C40" s="57"/>
      <c r="D40" s="9" t="s">
        <v>87</v>
      </c>
      <c r="E40" s="15"/>
      <c r="F40" s="15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23"/>
      <c r="BJ40" s="23"/>
      <c r="BK40" s="23"/>
      <c r="BL40" s="23"/>
      <c r="BM40" s="23"/>
      <c r="BN40" s="24"/>
    </row>
    <row r="41" ht="20" customHeight="1" spans="1:66">
      <c r="A41" s="87" t="s">
        <v>116</v>
      </c>
      <c r="B41" s="80" t="s">
        <v>117</v>
      </c>
      <c r="C41" s="80" t="s">
        <v>118</v>
      </c>
      <c r="D41" s="9" t="s">
        <v>85</v>
      </c>
      <c r="E41" s="15">
        <v>46188</v>
      </c>
      <c r="F41" s="15">
        <v>46239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19"/>
      <c r="AC41" s="19"/>
      <c r="AD41" s="19"/>
      <c r="AE41" s="19"/>
      <c r="AF41" s="19"/>
      <c r="AG41" s="19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19"/>
      <c r="AS41" s="19"/>
      <c r="AT41" s="54"/>
      <c r="AU41" s="54"/>
      <c r="AV41" s="85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23"/>
      <c r="BJ41" s="23"/>
      <c r="BK41" s="23"/>
      <c r="BL41" s="23"/>
      <c r="BM41" s="23"/>
      <c r="BN41" s="24"/>
    </row>
    <row r="42" ht="20" customHeight="1" spans="1:66">
      <c r="A42" s="89"/>
      <c r="B42" s="83"/>
      <c r="C42" s="84"/>
      <c r="D42" s="9" t="s">
        <v>87</v>
      </c>
      <c r="E42" s="15"/>
      <c r="F42" s="15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23"/>
      <c r="BJ42" s="23"/>
      <c r="BK42" s="23"/>
      <c r="BL42" s="23"/>
      <c r="BM42" s="23"/>
      <c r="BN42" s="24"/>
    </row>
    <row r="43" ht="20" customHeight="1" spans="1:66">
      <c r="A43" s="89"/>
      <c r="B43" s="83"/>
      <c r="C43" s="80" t="s">
        <v>119</v>
      </c>
      <c r="D43" s="9" t="s">
        <v>85</v>
      </c>
      <c r="E43" s="15">
        <v>46213</v>
      </c>
      <c r="F43" s="15">
        <v>46265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6"/>
      <c r="AN43" s="16"/>
      <c r="AO43" s="16"/>
      <c r="AP43" s="16"/>
      <c r="AQ43" s="16"/>
      <c r="AR43" s="16"/>
      <c r="AS43" s="16"/>
      <c r="AT43" s="63"/>
      <c r="AU43" s="63"/>
      <c r="AV43" s="90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23"/>
      <c r="BJ43" s="23"/>
      <c r="BK43" s="23"/>
      <c r="BL43" s="23"/>
      <c r="BM43" s="23"/>
      <c r="BN43" s="24"/>
    </row>
    <row r="44" ht="20" customHeight="1" spans="1:66">
      <c r="A44" s="89"/>
      <c r="B44" s="83"/>
      <c r="C44" s="84"/>
      <c r="D44" s="9" t="s">
        <v>87</v>
      </c>
      <c r="E44" s="15"/>
      <c r="F44" s="15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23"/>
      <c r="BJ44" s="23"/>
      <c r="BK44" s="23"/>
      <c r="BL44" s="23"/>
      <c r="BM44" s="23"/>
      <c r="BN44" s="24"/>
    </row>
    <row r="45" ht="20" customHeight="1" spans="1:66">
      <c r="A45" s="89"/>
      <c r="B45" s="83"/>
      <c r="C45" s="55" t="s">
        <v>120</v>
      </c>
      <c r="D45" s="9" t="s">
        <v>85</v>
      </c>
      <c r="E45" s="15">
        <v>46240</v>
      </c>
      <c r="F45" s="15">
        <v>46305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6"/>
      <c r="AS45" s="16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54"/>
      <c r="BF45" s="54"/>
      <c r="BG45" s="54"/>
      <c r="BH45" s="54"/>
      <c r="BI45" s="23"/>
      <c r="BJ45" s="23"/>
      <c r="BK45" s="23"/>
      <c r="BL45" s="23"/>
      <c r="BM45" s="23"/>
      <c r="BN45" s="24"/>
    </row>
    <row r="46" ht="20" customHeight="1" spans="1:66">
      <c r="A46" s="89"/>
      <c r="B46" s="83"/>
      <c r="C46" s="57"/>
      <c r="D46" s="9" t="s">
        <v>87</v>
      </c>
      <c r="E46" s="15"/>
      <c r="F46" s="15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23"/>
      <c r="BJ46" s="23"/>
      <c r="BK46" s="23"/>
      <c r="BL46" s="23"/>
      <c r="BM46" s="23"/>
      <c r="BN46" s="24"/>
    </row>
    <row r="47" ht="20" customHeight="1" spans="1:66">
      <c r="A47" s="89"/>
      <c r="B47" s="83"/>
      <c r="C47" s="55" t="s">
        <v>121</v>
      </c>
      <c r="D47" s="9" t="s">
        <v>85</v>
      </c>
      <c r="E47" s="15">
        <v>46266</v>
      </c>
      <c r="F47" s="15">
        <v>46336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54"/>
      <c r="AU47" s="54"/>
      <c r="AV47" s="54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18"/>
      <c r="BJ47" s="18"/>
      <c r="BK47" s="23"/>
      <c r="BL47" s="23"/>
      <c r="BM47" s="23"/>
      <c r="BN47" s="24"/>
    </row>
    <row r="48" ht="20" customHeight="1" spans="1:66">
      <c r="A48" s="89"/>
      <c r="B48" s="84"/>
      <c r="C48" s="57"/>
      <c r="D48" s="9" t="s">
        <v>87</v>
      </c>
      <c r="E48" s="15"/>
      <c r="F48" s="15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23"/>
      <c r="BJ48" s="23"/>
      <c r="BK48" s="23"/>
      <c r="BL48" s="23"/>
      <c r="BM48" s="23"/>
      <c r="BN48" s="24"/>
    </row>
    <row r="49" ht="20" customHeight="1" spans="1:66">
      <c r="A49" s="89"/>
      <c r="B49" s="80" t="s">
        <v>122</v>
      </c>
      <c r="C49" s="55" t="s">
        <v>123</v>
      </c>
      <c r="D49" s="9" t="s">
        <v>85</v>
      </c>
      <c r="E49" s="15">
        <v>46337</v>
      </c>
      <c r="F49" s="15">
        <v>46346</v>
      </c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23"/>
      <c r="BJ49" s="23"/>
      <c r="BK49" s="39"/>
      <c r="BL49" s="39"/>
      <c r="BM49" s="23"/>
      <c r="BN49" s="24"/>
    </row>
    <row r="50" ht="20" customHeight="1" spans="1:66">
      <c r="A50" s="89"/>
      <c r="B50" s="83"/>
      <c r="C50" s="57"/>
      <c r="D50" s="9" t="s">
        <v>87</v>
      </c>
      <c r="E50" s="15"/>
      <c r="F50" s="15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23"/>
      <c r="BJ50" s="23"/>
      <c r="BK50" s="23"/>
      <c r="BL50" s="23"/>
      <c r="BM50" s="23"/>
      <c r="BN50" s="24"/>
    </row>
    <row r="51" ht="20" customHeight="1" spans="1:66">
      <c r="A51" s="89"/>
      <c r="B51" s="83"/>
      <c r="C51" s="80" t="s">
        <v>124</v>
      </c>
      <c r="D51" s="9" t="s">
        <v>85</v>
      </c>
      <c r="E51" s="15">
        <v>46347</v>
      </c>
      <c r="F51" s="15">
        <v>46353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23"/>
      <c r="BJ51" s="23"/>
      <c r="BK51" s="23"/>
      <c r="BL51" s="23"/>
      <c r="BM51" s="18"/>
      <c r="BN51" s="91"/>
    </row>
    <row r="52" ht="20" customHeight="1" spans="1:66">
      <c r="A52" s="89"/>
      <c r="B52" s="84"/>
      <c r="C52" s="84"/>
      <c r="D52" s="9" t="s">
        <v>87</v>
      </c>
      <c r="E52" s="15"/>
      <c r="F52" s="15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23"/>
      <c r="BJ52" s="23"/>
      <c r="BK52" s="23"/>
      <c r="BL52" s="23"/>
      <c r="BM52" s="92"/>
      <c r="BN52" s="93"/>
    </row>
    <row r="53" ht="20" customHeight="1" spans="1:66">
      <c r="A53" s="89"/>
      <c r="B53" s="80" t="s">
        <v>125</v>
      </c>
      <c r="C53" s="80" t="s">
        <v>126</v>
      </c>
      <c r="D53" s="9" t="s">
        <v>85</v>
      </c>
      <c r="E53" s="94" t="s">
        <v>127</v>
      </c>
      <c r="F53" s="95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23"/>
      <c r="BJ53" s="23"/>
      <c r="BK53" s="23"/>
      <c r="BL53" s="23"/>
      <c r="BM53" s="23"/>
      <c r="BN53" s="24"/>
    </row>
    <row r="54" ht="20" customHeight="1" spans="1:66">
      <c r="A54" s="89"/>
      <c r="B54" s="84"/>
      <c r="C54" s="84"/>
      <c r="D54" s="96" t="s">
        <v>87</v>
      </c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100"/>
      <c r="BA54" s="100"/>
      <c r="BB54" s="100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2"/>
    </row>
    <row r="55" ht="20" customHeight="1" spans="1:66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96" t="s">
        <v>128</v>
      </c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105"/>
    </row>
    <row r="56" ht="20" customHeight="1" spans="1:66">
      <c r="A56" s="106"/>
      <c r="B56" s="107" t="s">
        <v>129</v>
      </c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9">
        <v>46173</v>
      </c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10"/>
    </row>
    <row r="57" ht="20" customHeight="1"/>
  </sheetData>
  <mergeCells count="69">
    <mergeCell ref="A1:BN1"/>
    <mergeCell ref="G2:BN2"/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BI3:BN3"/>
    <mergeCell ref="AZ55:BN55"/>
    <mergeCell ref="AZ56:BN56"/>
    <mergeCell ref="A5:A40"/>
    <mergeCell ref="A41:A54"/>
    <mergeCell ref="B5:B8"/>
    <mergeCell ref="B9:B16"/>
    <mergeCell ref="B17:B20"/>
    <mergeCell ref="B21:B24"/>
    <mergeCell ref="B25:B28"/>
    <mergeCell ref="B29:B34"/>
    <mergeCell ref="B35:B36"/>
    <mergeCell ref="B37:B38"/>
    <mergeCell ref="B39:B40"/>
    <mergeCell ref="B41:B48"/>
    <mergeCell ref="B49:B52"/>
    <mergeCell ref="B53:B54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D2:D4"/>
    <mergeCell ref="E2:E4"/>
    <mergeCell ref="F2:F4"/>
    <mergeCell ref="A2:B4"/>
    <mergeCell ref="S5:AK6"/>
    <mergeCell ref="U7:AR8"/>
    <mergeCell ref="E53:F54"/>
    <mergeCell ref="W9:AX10"/>
    <mergeCell ref="AL23:BC24"/>
    <mergeCell ref="AK11:AZ12"/>
    <mergeCell ref="AE21:AT22"/>
    <mergeCell ref="AK27:AZ28"/>
    <mergeCell ref="AG25:AW26"/>
    <mergeCell ref="AH29:BB30"/>
    <mergeCell ref="AO13:AZ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杨超</cp:lastModifiedBy>
  <dcterms:created xsi:type="dcterms:W3CDTF">2025-09-30T02:34:00Z</dcterms:created>
  <dcterms:modified xsi:type="dcterms:W3CDTF">2026-06-08T11:29:27Z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