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'4-前期调研清单'!$A$1:$H$18</definedName>
    <definedName name="_xlnm._FilterDatabase" localSheetId="6" hidden="1">'5-该结未结与重复'!$A$1:$I$23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86</v>
      </c>
      <c r="C21" s="5" t="n">
        <v>0.5212121212121212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16</v>
      </c>
      <c r="C23" s="5" t="n">
        <v>0.09696969696969697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2</v>
      </c>
      <c r="C25" s="5" t="n">
        <v>0.01212121212121212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77</v>
      </c>
      <c r="C29" s="5" t="n">
        <v>0.4666666666666667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17</v>
      </c>
      <c r="C31" s="5" t="n">
        <v>0.103030303030303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22</v>
      </c>
      <c r="C33" s="5" t="n">
        <v>0.1333333333333333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0.006060606060606061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个客户，占全部 10.3%</t>
        </is>
      </c>
    </row>
    <row r="39" ht="18" customHeight="1">
      <c r="A39" s="2" t="inlineStr">
        <is>
          <t>该关未关</t>
        </is>
      </c>
      <c r="B39" s="2" t="inlineStr">
        <is>
          <t>22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77</v>
      </c>
      <c r="E14" s="11" t="n">
        <v>1</v>
      </c>
      <c r="F14" s="11" t="n">
        <v>60</v>
      </c>
      <c r="G14" s="11" t="n">
        <v>16</v>
      </c>
      <c r="H14" s="11" t="n">
        <v>86</v>
      </c>
      <c r="I14" s="11" t="n">
        <v>2</v>
      </c>
      <c r="J14" s="11" t="n">
        <v>17</v>
      </c>
      <c r="K14" s="11" t="n">
        <v>16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6</v>
      </c>
      <c r="R14" s="11" t="n">
        <v>1</v>
      </c>
      <c r="S14" s="11" t="n">
        <v>23</v>
      </c>
      <c r="T14" s="11" t="n">
        <v>29</v>
      </c>
      <c r="U14" s="12" t="n">
        <v>0.1757575757575758</v>
      </c>
      <c r="V14" s="12" t="n">
        <v>0.4666666666666667</v>
      </c>
      <c r="W14" s="12" t="n">
        <v>0.3255813953488372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0.5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0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90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20260108 韩鸿彪 越南广宁水泥4*5000T筒仓配套装船钢结构雨棚</t>
        </is>
      </c>
      <c r="E9" s="7" t="inlineStr">
        <is>
          <t>未填</t>
        </is>
      </c>
      <c r="F9" s="22" t="inlineStr">
        <is>
          <t>重复开单</t>
        </is>
      </c>
      <c r="G9" s="7" t="inlineStr">
        <is>
          <t>与序号86重复，状态未填</t>
        </is>
      </c>
      <c r="H9" s="7" t="n"/>
      <c r="I9" s="7" t="inlineStr">
        <is>
          <t>与86重复</t>
        </is>
      </c>
    </row>
    <row r="10" ht="42" customHeight="1">
      <c r="A10" s="7" t="n">
        <v>104</v>
      </c>
      <c r="B10" s="7" t="inlineStr">
        <is>
          <t>苗恒</t>
        </is>
      </c>
      <c r="C10" s="7" t="inlineStr">
        <is>
          <t>C00009786</t>
        </is>
      </c>
      <c r="D10" s="7" t="inlineStr">
        <is>
          <t>C00009786｜苗恒｜粮食｜斯里兰卡10x2000吨稻谷仓项目｜方案V1</t>
        </is>
      </c>
      <c r="E10" s="7" t="inlineStr">
        <is>
          <t>进行中</t>
        </is>
      </c>
      <c r="F10" s="21" t="inlineStr">
        <is>
          <t>该结未结</t>
        </is>
      </c>
      <c r="G10" s="7" t="inlineStr">
        <is>
          <t>大概率探价比价，报价后反馈不积极</t>
        </is>
      </c>
      <c r="H10" s="7" t="n"/>
      <c r="I10" s="7" t="inlineStr">
        <is>
          <t>客户与土耳其ALTINBILEK有合作，上次报价大概率找我们探价和比价，报价后反馈不积极</t>
        </is>
      </c>
    </row>
    <row r="11" ht="42" customHeight="1">
      <c r="A11" s="7" t="n">
        <v>121</v>
      </c>
      <c r="B11" s="7" t="inlineStr">
        <is>
          <t>苗恒</t>
        </is>
      </c>
      <c r="C11" s="7" t="inlineStr">
        <is>
          <t>C00009883</t>
        </is>
      </c>
      <c r="D11" s="7" t="inlineStr">
        <is>
          <t>C00009883｜苗恒｜工业｜德国3x1600吨水泥仓+3个料斗投标项目｜方案V1</t>
        </is>
      </c>
      <c r="E11" s="7" t="inlineStr">
        <is>
          <t>进行中</t>
        </is>
      </c>
      <c r="F11" s="22" t="inlineStr">
        <is>
          <t>重复开单</t>
        </is>
      </c>
      <c r="G11" s="7" t="inlineStr">
        <is>
          <t>与伊拉克2万吨仓属同一项目等业主选方案</t>
        </is>
      </c>
      <c r="H11" s="7" t="n"/>
      <c r="I11" s="7" t="inlineStr">
        <is>
          <t>与上面伊拉克2x10000同属一个项目，需要等最终业主确认哪个方案</t>
        </is>
      </c>
    </row>
    <row r="12" ht="42" customHeight="1">
      <c r="A12" s="7" t="n">
        <v>125</v>
      </c>
      <c r="B12" s="7" t="inlineStr">
        <is>
          <t>司斌</t>
        </is>
      </c>
      <c r="C12" s="7" t="inlineStr">
        <is>
          <t>C00008345</t>
        </is>
      </c>
      <c r="D12" s="7" t="inlineStr">
        <is>
          <t>C00008345｜司斌｜粮食｜咖啡仓方仓 |方案V1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三次报价均无反馈，前期价格咨询</t>
        </is>
      </c>
      <c r="H12" s="7" t="n"/>
      <c r="I1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3" ht="42" customHeight="1">
      <c r="A13" s="7" t="n">
        <v>126</v>
      </c>
      <c r="B13" s="7" t="inlineStr">
        <is>
          <t>司斌</t>
        </is>
      </c>
      <c r="C13" s="7" t="inlineStr">
        <is>
          <t>C00009546</t>
        </is>
      </c>
      <c r="D13" s="7" t="inlineStr">
        <is>
          <t>C00009546｜司斌｜工业｜越南6*800+2*450灰仓｜方案V1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工程公司投标，技术无法澄清，胜率不高</t>
        </is>
      </c>
      <c r="H13" s="7" t="n"/>
      <c r="I1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4" ht="42" customHeight="1">
      <c r="A14" s="7" t="n">
        <v>127</v>
      </c>
      <c r="B14" s="7" t="inlineStr">
        <is>
          <t>司斌</t>
        </is>
      </c>
      <c r="C14" s="7" t="inlineStr">
        <is>
          <t>C00008345</t>
        </is>
      </c>
      <c r="D14" s="7" t="inlineStr">
        <is>
          <t>C00008345｜司斌｜粮食｜咖啡缓冲斗｜方案V1</t>
        </is>
      </c>
      <c r="E14" s="7" t="inlineStr">
        <is>
          <t>进行中</t>
        </is>
      </c>
      <c r="F14" s="22" t="inlineStr">
        <is>
          <t>重复开单</t>
        </is>
      </c>
      <c r="G14" s="7" t="inlineStr">
        <is>
          <t>与咖啡仓方仓同一客户C00008345</t>
        </is>
      </c>
      <c r="H14" s="7" t="n"/>
      <c r="I14" s="7" t="inlineStr">
        <is>
          <t>与123是同一个客户</t>
        </is>
      </c>
    </row>
    <row r="15" ht="42" customHeight="1">
      <c r="A15" s="7" t="n">
        <v>130</v>
      </c>
      <c r="B15" s="7" t="inlineStr">
        <is>
          <t>司斌</t>
        </is>
      </c>
      <c r="C15" s="7" t="inlineStr">
        <is>
          <t>C00001287</t>
        </is>
      </c>
      <c r="D15" s="7" t="inlineStr">
        <is>
          <t>C00001287｜司斌｜粮食｜越南咖啡仓改造项目｜方案V1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方案后无回复，可上可不上仍挂进行中</t>
        </is>
      </c>
      <c r="H15" s="7" t="n"/>
      <c r="I15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6" ht="42" customHeight="1">
      <c r="A16" s="7" t="n">
        <v>131</v>
      </c>
      <c r="B16" s="7" t="inlineStr">
        <is>
          <t>司斌</t>
        </is>
      </c>
      <c r="C16" s="7" t="inlineStr">
        <is>
          <t>C00008398</t>
        </is>
      </c>
      <c r="D16" s="7" t="inlineStr">
        <is>
          <t>C00008398｜司斌｜工业｜多米尼加塑料颗粒筒仓项目｜方案V1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报价后不再沟通，五个月级库龄仍进行中</t>
        </is>
      </c>
      <c r="H16" s="7" t="n"/>
      <c r="I16" s="7" t="inlineStr">
        <is>
          <t>客户公司是做木屑颗粒生产加工，目前是收集报价阶段，但是价格发送后不再沟通，初步判断价格不具有任何优势</t>
        </is>
      </c>
    </row>
    <row r="17" ht="42" customHeight="1">
      <c r="A17" s="7" t="n">
        <v>136</v>
      </c>
      <c r="B17" s="7" t="inlineStr">
        <is>
          <t>司斌</t>
        </is>
      </c>
      <c r="C17" s="7" t="inlineStr">
        <is>
          <t>C00008345</t>
        </is>
      </c>
      <c r="D17" s="7" t="inlineStr">
        <is>
          <t>C00008345｜司斌｜粮食｜Probat国内咖啡仓方仓 |方案V1</t>
        </is>
      </c>
      <c r="E17" s="7" t="inlineStr">
        <is>
          <t>进行中</t>
        </is>
      </c>
      <c r="F17" s="22" t="inlineStr">
        <is>
          <t>重复开单</t>
        </is>
      </c>
      <c r="G17" s="7" t="inlineStr">
        <is>
          <t>与C00008345咖啡仓同一客户</t>
        </is>
      </c>
      <c r="H17" s="7" t="n"/>
      <c r="I17" s="7" t="inlineStr">
        <is>
          <t>与123是同一个客户</t>
        </is>
      </c>
    </row>
    <row r="18" ht="42" customHeight="1">
      <c r="A18" s="7" t="n">
        <v>137</v>
      </c>
      <c r="B18" s="7" t="inlineStr">
        <is>
          <t>司斌</t>
        </is>
      </c>
      <c r="C18" s="7" t="inlineStr">
        <is>
          <t>C00009745</t>
        </is>
      </c>
      <c r="D18" s="7" t="inlineStr">
        <is>
          <t>C00009745｜司斌｜工业｜伊朗水净化项目石灰仓|方案V1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价格收集，战争结束前不可能上，仍进行中</t>
        </is>
      </c>
      <c r="H18" s="7" t="n"/>
      <c r="I18" s="7" t="inlineStr">
        <is>
          <t>对接公司是工程公司，项目所处阶段为价格收集，由于霍尔木兹海峡现状，我认为在战争结束前不可能上</t>
        </is>
      </c>
    </row>
    <row r="19" ht="42" customHeight="1">
      <c r="A19" s="7" t="n">
        <v>145</v>
      </c>
      <c r="B19" s="7" t="inlineStr">
        <is>
          <t>王伟乐</t>
        </is>
      </c>
      <c r="C19" s="7" t="inlineStr">
        <is>
          <t>C00006274</t>
        </is>
      </c>
      <c r="D19" s="7" t="inlineStr">
        <is>
          <t>C00006274| 王伟乐|工业|2026.6.15 |埃及 4*3000t 螺旋咬口仓项目| 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已报价未反馈，仅写可继续跟进</t>
        </is>
      </c>
      <c r="H19" s="7" t="n"/>
      <c r="I19" s="7" t="inlineStr">
        <is>
          <t>已报价，客户未反馈报价的情况，后期可以继续跟进</t>
        </is>
      </c>
    </row>
    <row r="20" ht="42" customHeight="1">
      <c r="A20" s="7" t="n">
        <v>153</v>
      </c>
      <c r="B20" s="7" t="inlineStr">
        <is>
          <t>尹韬越</t>
        </is>
      </c>
      <c r="C20" s="7" t="inlineStr">
        <is>
          <t>C00009303</t>
        </is>
      </c>
      <c r="D20" s="7" t="inlineStr">
        <is>
          <t>C00009303｜尹韬越｜工业｜乌兹别克斯坦尼什巴什一期储煤场末煤仓项目｜方案V1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仅写已报价，超90天无下一步</t>
        </is>
      </c>
      <c r="H20" s="7" t="n"/>
      <c r="I20" s="7" t="inlineStr">
        <is>
          <t>已报价</t>
        </is>
      </c>
    </row>
    <row r="21" ht="42" customHeight="1">
      <c r="A21" s="7" t="n">
        <v>154</v>
      </c>
      <c r="B21" s="7" t="inlineStr">
        <is>
          <t>尹韬越</t>
        </is>
      </c>
      <c r="C21" s="7" t="inlineStr">
        <is>
          <t>C00009297</t>
        </is>
      </c>
      <c r="D21" s="7" t="inlineStr">
        <is>
          <t>C00009297｜尹韬越｜粮食｜格鲁吉亚第比利斯3×1000吨玉米仓｜方案V1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仅写已报方案，无互动记录</t>
        </is>
      </c>
      <c r="H21" s="7" t="n"/>
      <c r="I21" s="7" t="inlineStr">
        <is>
          <t>已报方案</t>
        </is>
      </c>
    </row>
    <row r="22" ht="42" customHeight="1">
      <c r="A22" s="7" t="n">
        <v>158</v>
      </c>
      <c r="B22" s="7" t="inlineStr">
        <is>
          <t>尹韬越</t>
        </is>
      </c>
      <c r="C22" s="7" t="inlineStr">
        <is>
          <t>C00008577</t>
        </is>
      </c>
      <c r="D22" s="7" t="inlineStr">
        <is>
          <t>C00008577 尹韬越哈萨克斯坦4×3500吨粮食项目 方案1</t>
        </is>
      </c>
      <c r="E22" s="7" t="inlineStr">
        <is>
          <t>进行中</t>
        </is>
      </c>
      <c r="F22" s="22" t="inlineStr">
        <is>
          <t>重复开单</t>
        </is>
      </c>
      <c r="G22" s="7" t="inlineStr">
        <is>
          <t>与序号156同一征地项目V1/V2</t>
        </is>
      </c>
      <c r="H22" s="7" t="n"/>
      <c r="I22" s="7" t="inlineStr">
        <is>
          <t>已报方案，目前对方在征地</t>
        </is>
      </c>
    </row>
    <row r="23" ht="42" customHeight="1">
      <c r="A23" s="7" t="n">
        <v>169</v>
      </c>
      <c r="B23" s="7" t="inlineStr">
        <is>
          <t>张硕</t>
        </is>
      </c>
      <c r="C23" s="7" t="inlineStr">
        <is>
          <t>C00009866</t>
        </is>
      </c>
      <c r="D23" s="7" t="inlineStr">
        <is>
          <t>C00009866 | 张硕｜工业｜印尼工程公司PT REXLINE生物质30m³定量料斗项目｜方案V1</t>
        </is>
      </c>
      <c r="E23" s="7" t="inlineStr">
        <is>
          <t>进行中</t>
        </is>
      </c>
      <c r="F23" s="21" t="inlineStr">
        <is>
          <t>该结未结</t>
        </is>
      </c>
      <c r="G23" s="7" t="inlineStr">
        <is>
          <t>确认清单时多次无视邮件和Whatsapp</t>
        </is>
      </c>
      <c r="H23" s="7" t="n"/>
      <c r="I23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未填</t>
        </is>
      </c>
      <c r="I87" s="7" t="inlineStr"/>
      <c r="J87" s="22" t="inlineStr">
        <is>
          <t>重复开单</t>
        </is>
      </c>
      <c r="K87" s="7" t="inlineStr">
        <is>
          <t>与序号86重复，状态未填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未填</t>
        </is>
      </c>
      <c r="I164" s="7" t="inlineStr"/>
      <c r="J164" s="28" t="inlineStr">
        <is>
          <t>未跟进</t>
        </is>
      </c>
      <c r="K164" s="7" t="inlineStr">
        <is>
          <t>陈总发起哈利法港，本人未再跟进，状态未填</t>
        </is>
      </c>
      <c r="L164" s="7" t="inlineStr"/>
      <c r="M164" s="7" t="inlineStr"/>
      <c r="N164" s="7" t="inlineStr"/>
      <c r="O164" s="7" t="inlineStr"/>
      <c r="P164" s="7" t="inlineStr"/>
      <c r="Q164" s="7" t="inlineStr">
        <is>
          <t>此方案任务为陈总阿联酋哈利法港粮食码头项目发起，工艺工程师出具方案给陈总后，我未再做跟进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7" t="n">
        <v>0.1842105263157895</v>
      </c>
      <c r="K2" s="7" t="n">
        <v>16</v>
      </c>
      <c r="L2" s="7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7" t="n">
        <v>0.05555555555555555</v>
      </c>
      <c r="K3" s="7" t="n">
        <v>3</v>
      </c>
      <c r="L3" s="7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7" t="n">
        <v>0.1764705882352941</v>
      </c>
      <c r="K4" s="7" t="n">
        <v>5</v>
      </c>
      <c r="L4" s="7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7" t="n">
        <v>0.2352941176470588</v>
      </c>
      <c r="K5" s="7" t="n">
        <v>7</v>
      </c>
      <c r="L5" s="7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7" t="n">
        <v>0.25</v>
      </c>
      <c r="K6" s="7" t="n">
        <v>7</v>
      </c>
      <c r="L6" s="7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7" t="n">
        <v>0.1538461538461539</v>
      </c>
      <c r="K7" s="7" t="n">
        <v>4</v>
      </c>
      <c r="L7" s="7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7" t="n">
        <v>0.3636363636363636</v>
      </c>
      <c r="K8" s="7" t="n">
        <v>6</v>
      </c>
      <c r="L8" s="7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7" t="n">
        <v>0.09090909090909091</v>
      </c>
      <c r="K9" s="7" t="n">
        <v>3</v>
      </c>
      <c r="L9" s="7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7" t="n">
        <v>0.125</v>
      </c>
      <c r="K10" s="7" t="n">
        <v>3</v>
      </c>
      <c r="L10" s="7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7" t="n">
        <v>0.3333333333333333</v>
      </c>
      <c r="K11" s="7" t="n">
        <v>4</v>
      </c>
      <c r="L11" s="7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7" t="n">
        <v>0.2</v>
      </c>
      <c r="K12" s="7" t="n">
        <v>3</v>
      </c>
      <c r="L12" s="7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7" t="n">
        <v>0.2</v>
      </c>
      <c r="K13" s="7" t="n">
        <v>3</v>
      </c>
      <c r="L13" s="7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7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8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2</v>
      </c>
      <c r="K8" s="32" t="n">
        <v>0.1818181818181818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6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0.5</v>
      </c>
      <c r="J12" s="31" t="n">
        <v>1</v>
      </c>
      <c r="K12" s="32" t="n">
        <v>0.2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2026-08-30T13:41:52Z</dcterms:created>
  <dcterms:modified xsi:type="dcterms:W3CDTF">2026-08-30T13:41:52Z</dcterms:modified>
</cp:coreProperties>
</file>