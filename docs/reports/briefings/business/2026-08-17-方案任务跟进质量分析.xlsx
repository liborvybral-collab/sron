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场表" sheetId="1" state="visible" r:id="rId1"/>
    <sheet name="0-阅读说明" sheetId="2" state="visible" r:id="rId2"/>
    <sheet name="1-业务员总表" sheetId="3" state="visible" r:id="rId3"/>
    <sheet name="2-质量对比" sheetId="4" state="visible" r:id="rId4"/>
    <sheet name="2b-图数据" sheetId="5" state="visible" r:id="rId5"/>
    <sheet name="3-重点项目" sheetId="6" state="visible" r:id="rId6"/>
    <sheet name="3b-重点按人" sheetId="7" state="visible" r:id="rId7"/>
    <sheet name="4-前期调研清单" sheetId="8" state="visible" r:id="rId8"/>
    <sheet name="5-该结未结与重复" sheetId="9" state="visible" r:id="rId9"/>
    <sheet name="6-有效在手" sheetId="10" state="visible" r:id="rId10"/>
    <sheet name="7-全量明细" sheetId="11" state="visible" r:id="rId11"/>
    <sheet name="8-逐人要点" sheetId="12" state="visible" r:id="rId12"/>
    <sheet name="9-客户集中度" sheetId="13" state="visible" r:id="rId13"/>
    <sheet name="10-重复客户明细" sheetId="14" state="visible" r:id="rId14"/>
    <sheet name="9b-集中度图数据" sheetId="15" state="visible" r:id="rId15"/>
    <sheet name="11-打单能力排名" sheetId="16" state="visible" r:id="rId16"/>
    <sheet name="12-丢单排名" sheetId="17" state="visible" r:id="rId17"/>
    <sheet name="13-丢单明细" sheetId="18" state="visible" r:id="rId18"/>
    <sheet name="14-多项目客户排名" sheetId="19" state="visible" r:id="rId19"/>
    <sheet name="15-多项目客户明细" sheetId="20" state="visible" r:id="rId20"/>
    <sheet name="16-进行中阶段" sheetId="21" state="visible" r:id="rId21"/>
    <sheet name="17-进行中明细" sheetId="22" state="visible" r:id="rId22"/>
    <sheet name="18-丢单原因分类" sheetId="23" state="visible" r:id="rId23"/>
    <sheet name="19-丢单原因明细" sheetId="24" state="visible" r:id="rId24"/>
  </sheets>
  <definedNames>
    <definedName name="_xlnm._FilterDatabase" localSheetId="0" hidden="1">'开场表'!$A$3:$G$15</definedName>
    <definedName name="_xlnm._FilterDatabase" localSheetId="2" hidden="1">'1-业务员总表'!$A$1:$X$14</definedName>
    <definedName name="_xlnm._FilterDatabase" localSheetId="3" hidden="1">'2-质量对比'!$A$1:$N$13</definedName>
    <definedName name="_xlnm._FilterDatabase" localSheetId="4" hidden="1">'2b-图数据'!$A$1:$E$13</definedName>
    <definedName name="_xlnm._FilterDatabase" localSheetId="5" hidden="1">'3-重点项目'!$A$1:$J$16</definedName>
    <definedName name="_xlnm._FilterDatabase" localSheetId="6" hidden="1">'3b-重点按人'!$A$1:$F$13</definedName>
    <definedName name="_xlnm.Print_Titles" localSheetId="6">'3b-重点按人'!1:1</definedName>
    <definedName name="_xlnm._FilterDatabase" localSheetId="7" hidden="1">'4-前期调研清单'!$A$1:$H$19</definedName>
    <definedName name="_xlnm._FilterDatabase" localSheetId="8" hidden="1">'5-该结未结与重复'!$A$1:$I$22</definedName>
    <definedName name="_xlnm._FilterDatabase" localSheetId="9" hidden="1">'6-有效在手'!$A$1:$H$29</definedName>
    <definedName name="_xlnm._FilterDatabase" localSheetId="10" hidden="1">'7-全量明细'!$A$1:$Q$166</definedName>
    <definedName name="_xlnm._FilterDatabase" localSheetId="11" hidden="1">'8-逐人要点'!$A$1:$I$1</definedName>
    <definedName name="_xlnm._FilterDatabase" localSheetId="12" hidden="1">'9-客户集中度'!$A$1:$L$13</definedName>
    <definedName name="_xlnm._FilterDatabase" localSheetId="13" hidden="1">'10-重复客户明细'!$A$1:$G$46</definedName>
    <definedName name="_xlnm._FilterDatabase" localSheetId="15" hidden="1">'11-打单能力排名'!$A$1:$R$13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b val="1"/>
      <color rgb="001F4E79"/>
      <sz val="16"/>
    </font>
    <font>
      <name val="微软雅黑"/>
      <b val="1"/>
      <color rgb="001F4E79"/>
      <sz val="12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i val="1"/>
      <color rgb="00666666"/>
      <sz val="9"/>
    </font>
    <font>
      <name val="微软雅黑"/>
      <sz val="9"/>
    </font>
    <font>
      <name val="微软雅黑"/>
      <b val="1"/>
      <color rgb="001F4E79"/>
      <sz val="14"/>
    </font>
    <font>
      <name val="微软雅黑"/>
      <sz val="11"/>
    </font>
    <font>
      <name val="微软雅黑"/>
      <color rgb="00000000"/>
      <sz val="10"/>
    </font>
    <font>
      <name val="微软雅黑"/>
      <color rgb="00666666"/>
      <sz val="9"/>
    </font>
    <font>
      <name val="微软雅黑"/>
      <b val="1"/>
      <color rgb="00000000"/>
      <sz val="10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DCE4"/>
      </patternFill>
    </fill>
    <fill>
      <patternFill patternType="solid">
        <fgColor rgb="00375623"/>
      </patternFill>
    </fill>
    <fill>
      <patternFill patternType="solid">
        <fgColor rgb="00833C0C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BF8F00"/>
      </patternFill>
    </fill>
    <fill>
      <patternFill patternType="solid">
        <fgColor rgb="00C65911"/>
      </patternFill>
    </fill>
    <fill>
      <patternFill patternType="solid">
        <fgColor rgb="00BDD7EE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FFE69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9" fontId="1" fillId="3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9" fontId="1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9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 wrapText="1"/>
    </xf>
    <xf numFmtId="0" fontId="1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1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vertical="center" wrapText="1"/>
    </xf>
    <xf numFmtId="0" fontId="1" fillId="15" borderId="1" applyAlignment="1" pivotButton="0" quotePrefix="0" xfId="0">
      <alignment vertical="center" wrapText="1"/>
    </xf>
    <xf numFmtId="0" fontId="1" fillId="16" borderId="1" applyAlignment="1" pivotButton="0" quotePrefix="0" xfId="0">
      <alignment vertical="center" wrapText="1"/>
    </xf>
    <xf numFmtId="0" fontId="1" fillId="17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9" fontId="1" fillId="0" borderId="1" applyAlignment="1" pivotButton="0" quotePrefix="0" xfId="0">
      <alignment vertical="center" wrapText="1"/>
    </xf>
    <xf numFmtId="0" fontId="5" fillId="5" borderId="1" pivotButton="0" quotePrefix="0" xfId="0"/>
    <xf numFmtId="0" fontId="1" fillId="0" borderId="1" applyAlignment="1" pivotButton="0" quotePrefix="0" xfId="0">
      <alignment horizontal="center" vertical="center" wrapText="1"/>
    </xf>
    <xf numFmtId="9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4" fillId="18" borderId="1" applyAlignment="1" pivotButton="0" quotePrefix="0" xfId="0">
      <alignment vertical="center" wrapText="1"/>
    </xf>
    <xf numFmtId="0" fontId="1" fillId="18" borderId="1" applyAlignment="1" pivotButton="0" quotePrefix="0" xfId="0">
      <alignment vertical="center" wrapText="1"/>
    </xf>
    <xf numFmtId="0" fontId="4" fillId="1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17" borderId="1" applyAlignment="1" pivotButton="0" quotePrefix="0" xfId="0">
      <alignment vertical="center" wrapText="1"/>
    </xf>
    <xf numFmtId="0" fontId="7" fillId="19" borderId="1" applyAlignment="1" pivotButton="0" quotePrefix="0" xfId="0">
      <alignment vertical="center" wrapText="1"/>
    </xf>
    <xf numFmtId="0" fontId="7" fillId="1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9" fontId="5" fillId="0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4" fillId="8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wrapText="1"/>
    </xf>
    <xf numFmtId="0" fontId="12" fillId="0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2" fontId="12" fillId="17" borderId="2" applyAlignment="1" pivotButton="0" quotePrefix="0" xfId="0">
      <alignment horizontal="center" vertical="center" wrapText="1"/>
    </xf>
    <xf numFmtId="0" fontId="10" fillId="17" borderId="2" applyAlignment="1" pivotButton="0" quotePrefix="0" xfId="0">
      <alignment horizontal="center" vertical="center" wrapText="1"/>
    </xf>
    <xf numFmtId="9" fontId="10" fillId="0" borderId="2" applyAlignment="1" pivotButton="0" quotePrefix="0" xfId="0">
      <alignment horizontal="center" vertical="center" wrapText="1"/>
    </xf>
    <xf numFmtId="2" fontId="12" fillId="4" borderId="2" applyAlignment="1" pivotButton="0" quotePrefix="0" xfId="0">
      <alignment horizontal="center" vertical="center" wrapText="1"/>
    </xf>
    <xf numFmtId="2" fontId="10" fillId="0" borderId="2" applyAlignment="1" pivotButton="0" quotePrefix="0" xfId="0">
      <alignment horizontal="center" vertical="center" wrapText="1"/>
    </xf>
    <xf numFmtId="0" fontId="10" fillId="20" borderId="2" applyAlignment="1" pivotButton="0" quotePrefix="0" xfId="0">
      <alignment horizontal="center" vertical="center" wrapText="1"/>
    </xf>
    <xf numFmtId="0" fontId="10" fillId="16" borderId="2" applyAlignment="1" pivotButton="0" quotePrefix="0" xfId="0">
      <alignment horizontal="center" vertical="center" wrapText="1"/>
    </xf>
    <xf numFmtId="2" fontId="10" fillId="17" borderId="2" applyAlignment="1" pivotButton="0" quotePrefix="0" xfId="0">
      <alignment horizontal="center" vertical="center" wrapText="1"/>
    </xf>
    <xf numFmtId="2" fontId="10" fillId="5" borderId="2" applyAlignment="1" pivotButton="0" quotePrefix="0" xfId="0">
      <alignment horizontal="center" vertical="center" wrapText="1"/>
    </xf>
    <xf numFmtId="2" fontId="1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提报量 vs 有效在手 / 前期调研 / 该结未结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'2b-图数据'!B1</f>
            </strRef>
          </tx>
          <spPr>
            <a:ln>
              <a:prstDash val="solid"/>
            </a:ln>
          </spPr>
          <cat>
            <numRef>
              <f>'2b-图数据'!$A$2:$A$13</f>
            </numRef>
          </cat>
          <val>
            <numRef>
              <f>'2b-图数据'!$B$2:$B$13</f>
            </numRef>
          </val>
        </ser>
        <ser>
          <idx val="1"/>
          <order val="1"/>
          <tx>
            <strRef>
              <f>'2b-图数据'!C1</f>
            </strRef>
          </tx>
          <spPr>
            <a:ln>
              <a:prstDash val="solid"/>
            </a:ln>
          </spPr>
          <cat>
            <numRef>
              <f>'2b-图数据'!$A$2:$A$13</f>
            </numRef>
          </cat>
          <val>
            <numRef>
              <f>'2b-图数据'!$C$2:$C$13</f>
            </numRef>
          </val>
        </ser>
        <ser>
          <idx val="2"/>
          <order val="2"/>
          <tx>
            <strRef>
              <f>'2b-图数据'!D1</f>
            </strRef>
          </tx>
          <spPr>
            <a:ln>
              <a:prstDash val="solid"/>
            </a:ln>
          </spPr>
          <cat>
            <numRef>
              <f>'2b-图数据'!$A$2:$A$13</f>
            </numRef>
          </cat>
          <val>
            <numRef>
              <f>'2b-图数据'!$D$2:$D$13</f>
            </numRef>
          </val>
        </ser>
        <ser>
          <idx val="3"/>
          <order val="3"/>
          <tx>
            <strRef>
              <f>'2b-图数据'!E1</f>
            </strRef>
          </tx>
          <spPr>
            <a:ln>
              <a:prstDash val="solid"/>
            </a:ln>
          </spPr>
          <cat>
            <numRef>
              <f>'2b-图数据'!$A$2:$A$13</f>
            </numRef>
          </cat>
          <val>
            <numRef>
              <f>'2b-图数据'!$E$2:$E$13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任务条数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任务条数 vs 客户数（国际业务部；生力/MAK已并户）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'9b-集中度图数据'!B1</f>
            </strRef>
          </tx>
          <spPr>
            <a:ln>
              <a:prstDash val="solid"/>
            </a:ln>
          </spPr>
          <cat>
            <numRef>
              <f>'9b-集中度图数据'!$A$2:$A$13</f>
            </numRef>
          </cat>
          <val>
            <numRef>
              <f>'9b-集中度图数据'!$B$2:$B$13</f>
            </numRef>
          </val>
        </ser>
        <ser>
          <idx val="1"/>
          <order val="1"/>
          <tx>
            <strRef>
              <f>'9b-集中度图数据'!C1</f>
            </strRef>
          </tx>
          <spPr>
            <a:ln>
              <a:prstDash val="solid"/>
            </a:ln>
          </spPr>
          <cat>
            <numRef>
              <f>'9b-集中度图数据'!$A$2:$A$13</f>
            </numRef>
          </cat>
          <val>
            <numRef>
              <f>'9b-集中度图数据'!$C$2:$C$13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6" customWidth="1" min="5" max="5"/>
    <col width="10" customWidth="1" min="6" max="6"/>
    <col width="52" customWidth="1" min="7" max="7"/>
  </cols>
  <sheetData>
    <row r="1" ht="24" customHeight="1">
      <c r="A1" s="50" t="inlineStr">
        <is>
          <t>国际业务部方案任务开场表（截至 2026-08-17）</t>
        </is>
      </c>
    </row>
    <row r="2" ht="36" customHeight="1">
      <c r="A2" s="51" t="inlineStr">
        <is>
          <t>截止到8月17日，国际业务部累计创建方案设计任务165个，其中，已结项（签约）1个（蒙古MAK 2×150吨小仓）、已丢单（含暂停）77个，进行中87个。状态已全部标注。</t>
        </is>
      </c>
    </row>
    <row r="3" ht="28" customHeight="1">
      <c r="A3" s="6" t="inlineStr">
        <is>
          <t>组别</t>
        </is>
      </c>
      <c r="B3" s="6" t="inlineStr">
        <is>
          <t>业务员</t>
        </is>
      </c>
      <c r="C3" s="6" t="inlineStr">
        <is>
          <t>总提报任务量</t>
        </is>
      </c>
      <c r="D3" s="6" t="inlineStr">
        <is>
          <t>已结项（签约）</t>
        </is>
      </c>
      <c r="E3" s="6" t="inlineStr">
        <is>
          <t>丢单（含暂停）</t>
        </is>
      </c>
      <c r="F3" s="6" t="inlineStr">
        <is>
          <t>进行中</t>
        </is>
      </c>
      <c r="G3" s="6" t="inlineStr">
        <is>
          <t>打单评价</t>
        </is>
      </c>
    </row>
    <row r="4" ht="32" customHeight="1">
      <c r="A4" s="31" t="inlineStr">
        <is>
          <t>一组</t>
        </is>
      </c>
      <c r="B4" s="31" t="inlineStr">
        <is>
          <t>陈子凡</t>
        </is>
      </c>
      <c r="C4" s="31" t="n">
        <v>16</v>
      </c>
      <c r="D4" s="31" t="n">
        <v>1</v>
      </c>
      <c r="E4" s="31" t="n">
        <v>7</v>
      </c>
      <c r="F4" s="31" t="n">
        <v>8</v>
      </c>
      <c r="G4" s="7" t="inlineStr">
        <is>
          <t>唯一签约，生力/MAK跟得住；丢7条，进行中仍有该关的</t>
        </is>
      </c>
    </row>
    <row r="5" ht="32" customHeight="1">
      <c r="A5" s="31" t="inlineStr">
        <is>
          <t>一组</t>
        </is>
      </c>
      <c r="B5" s="31" t="inlineStr">
        <is>
          <t>张硕</t>
        </is>
      </c>
      <c r="C5" s="31" t="n">
        <v>5</v>
      </c>
      <c r="D5" s="31" t="n">
        <v>0</v>
      </c>
      <c r="E5" s="31" t="n">
        <v>2</v>
      </c>
      <c r="F5" s="31" t="n">
        <v>3</v>
      </c>
      <c r="G5" s="7" t="inlineStr">
        <is>
          <t>斯里兰卡跟到决策期；量少一人一客，还有一条该结</t>
        </is>
      </c>
    </row>
    <row r="6" ht="32" customHeight="1">
      <c r="A6" s="31" t="inlineStr">
        <is>
          <t>二组</t>
        </is>
      </c>
      <c r="B6" s="31" t="inlineStr">
        <is>
          <t>司斌</t>
        </is>
      </c>
      <c r="C6" s="31" t="n">
        <v>17</v>
      </c>
      <c r="D6" s="31" t="n">
        <v>0</v>
      </c>
      <c r="E6" s="31" t="n">
        <v>6</v>
      </c>
      <c r="F6" s="31" t="n">
        <v>11</v>
      </c>
      <c r="G6" s="7" t="inlineStr">
        <is>
          <t>斯里兰卡稻谷在决策期；挂账11条，大半该关没关</t>
        </is>
      </c>
    </row>
    <row r="7" ht="32" customHeight="1">
      <c r="A7" s="31" t="inlineStr">
        <is>
          <t>二组</t>
        </is>
      </c>
      <c r="B7" s="31" t="inlineStr">
        <is>
          <t>王伟超</t>
        </is>
      </c>
      <c r="C7" s="31" t="n">
        <v>5</v>
      </c>
      <c r="D7" s="31" t="n">
        <v>0</v>
      </c>
      <c r="E7" s="31" t="n">
        <v>2</v>
      </c>
      <c r="F7" s="31" t="n">
        <v>3</v>
      </c>
      <c r="G7" s="7" t="inlineStr">
        <is>
          <t>哥斯达黎加跟到决策期；量少、一人一客</t>
        </is>
      </c>
    </row>
    <row r="8" ht="32" customHeight="1">
      <c r="A8" s="31" t="inlineStr">
        <is>
          <t>三组</t>
        </is>
      </c>
      <c r="B8" s="31" t="inlineStr">
        <is>
          <t>王伟乐</t>
        </is>
      </c>
      <c r="C8" s="31" t="n">
        <v>8</v>
      </c>
      <c r="D8" s="31" t="n">
        <v>0</v>
      </c>
      <c r="E8" s="31" t="n">
        <v>4</v>
      </c>
      <c r="F8" s="31" t="n">
        <v>4</v>
      </c>
      <c r="G8" s="7" t="inlineStr">
        <is>
          <t>裕廊港还在推进；一半已丢，其余进行中偏浅</t>
        </is>
      </c>
    </row>
    <row r="9" ht="32" customHeight="1">
      <c r="A9" s="31" t="inlineStr">
        <is>
          <t>三组</t>
        </is>
      </c>
      <c r="B9" s="31" t="inlineStr">
        <is>
          <t>马鹏飞</t>
        </is>
      </c>
      <c r="C9" s="31" t="n">
        <v>11</v>
      </c>
      <c r="D9" s="31" t="n">
        <v>0</v>
      </c>
      <c r="E9" s="31" t="n">
        <v>7</v>
      </c>
      <c r="F9" s="31" t="n">
        <v>4</v>
      </c>
      <c r="G9" s="7" t="inlineStr">
        <is>
          <t>敢关账，冷却站还在跟；11条死7条，进行中多在观望</t>
        </is>
      </c>
    </row>
    <row r="10" ht="32" customHeight="1">
      <c r="A10" s="31" t="inlineStr">
        <is>
          <t>五组</t>
        </is>
      </c>
      <c r="B10" s="31" t="inlineStr">
        <is>
          <t>陈辉</t>
        </is>
      </c>
      <c r="C10" s="31" t="n">
        <v>17</v>
      </c>
      <c r="D10" s="31" t="n">
        <v>0</v>
      </c>
      <c r="E10" s="31" t="n">
        <v>5</v>
      </c>
      <c r="F10" s="31" t="n">
        <v>12</v>
      </c>
      <c r="G10" s="7" t="inlineStr">
        <is>
          <t>大宇、Lanwa还在跟；进行中12条大半仍是前期</t>
        </is>
      </c>
    </row>
    <row r="11" ht="32" customHeight="1">
      <c r="A11" s="31" t="inlineStr">
        <is>
          <t>五组</t>
        </is>
      </c>
      <c r="B11" s="31" t="inlineStr">
        <is>
          <t>冯乐</t>
        </is>
      </c>
      <c r="C11" s="31" t="n">
        <v>6</v>
      </c>
      <c r="D11" s="31" t="n">
        <v>0</v>
      </c>
      <c r="E11" s="31" t="n">
        <v>0</v>
      </c>
      <c r="F11" s="31" t="n">
        <v>6</v>
      </c>
      <c r="G11" s="7" t="inlineStr">
        <is>
          <t>坦桑、也门有澄清；6条一笔没关，不是没丢</t>
        </is>
      </c>
    </row>
    <row r="12" ht="32" customHeight="1">
      <c r="A12" s="31" t="inlineStr">
        <is>
          <t>六组</t>
        </is>
      </c>
      <c r="B12" s="31" t="inlineStr">
        <is>
          <t>韩鸿彪</t>
        </is>
      </c>
      <c r="C12" s="31" t="n">
        <v>11</v>
      </c>
      <c r="D12" s="31" t="n">
        <v>0</v>
      </c>
      <c r="E12" s="31" t="n">
        <v>5</v>
      </c>
      <c r="F12" s="31" t="n">
        <v>6</v>
      </c>
      <c r="G12" s="7" t="inlineStr">
        <is>
          <t>丢掉最少，QNC跟得住；进行中还有该关的</t>
        </is>
      </c>
    </row>
    <row r="13" ht="32" customHeight="1">
      <c r="A13" s="31" t="inlineStr">
        <is>
          <t>六组</t>
        </is>
      </c>
      <c r="B13" s="31" t="inlineStr">
        <is>
          <t>苗恒</t>
        </is>
      </c>
      <c r="C13" s="31" t="n">
        <v>18</v>
      </c>
      <c r="D13" s="31" t="n">
        <v>0</v>
      </c>
      <c r="E13" s="31" t="n">
        <v>11</v>
      </c>
      <c r="F13" s="31" t="n">
        <v>7</v>
      </c>
      <c r="G13" s="7" t="inlineStr">
        <is>
          <t>进行中质量最好（5条决策期）；客户最散，失联丢单多</t>
        </is>
      </c>
    </row>
    <row r="14" ht="32" customHeight="1">
      <c r="A14" s="31" t="inlineStr">
        <is>
          <t>俄语组</t>
        </is>
      </c>
      <c r="B14" s="31" t="inlineStr">
        <is>
          <t>崔阳</t>
        </is>
      </c>
      <c r="C14" s="31" t="n">
        <v>38</v>
      </c>
      <c r="D14" s="31" t="n">
        <v>0</v>
      </c>
      <c r="E14" s="31" t="n">
        <v>19</v>
      </c>
      <c r="F14" s="31" t="n">
        <v>19</v>
      </c>
      <c r="G14" s="7" t="inlineStr">
        <is>
          <t>关得勤，留下5条；提报、丢单、拆单都最多，挂账19条</t>
        </is>
      </c>
    </row>
    <row r="15" ht="32" customHeight="1">
      <c r="A15" s="31" t="inlineStr">
        <is>
          <t>俄语组</t>
        </is>
      </c>
      <c r="B15" s="31" t="inlineStr">
        <is>
          <t>尹韬越</t>
        </is>
      </c>
      <c r="C15" s="31" t="n">
        <v>13</v>
      </c>
      <c r="D15" s="31" t="n">
        <v>0</v>
      </c>
      <c r="E15" s="31" t="n">
        <v>9</v>
      </c>
      <c r="F15" s="31" t="n">
        <v>4</v>
      </c>
      <c r="G15" s="7" t="inlineStr">
        <is>
          <t>关账最勤；进行中多半只有「已报价」</t>
        </is>
      </c>
    </row>
    <row r="16" ht="24" customHeight="1">
      <c r="A16" s="52" t="inlineStr">
        <is>
          <t>合计</t>
        </is>
      </c>
      <c r="B16" s="52" t="inlineStr"/>
      <c r="C16" s="52" t="n">
        <v>165</v>
      </c>
      <c r="D16" s="52" t="n">
        <v>1</v>
      </c>
      <c r="E16" s="52" t="n">
        <v>77</v>
      </c>
      <c r="F16" s="52" t="n">
        <v>87</v>
      </c>
      <c r="G16" s="52" t="inlineStr"/>
    </row>
    <row r="18">
      <c r="A18" s="14" t="inlineStr">
        <is>
          <t>打单评价：先优点，后问题。丢单（含暂停）=已结项-丢单60+暂停17。进行中=状态栏写「进行中」的条数。组别口径与双周例会一致。</t>
        </is>
      </c>
    </row>
  </sheetData>
  <autoFilter ref="A3:G15"/>
  <mergeCells count="3">
    <mergeCell ref="A1:G1"/>
    <mergeCell ref="A2:G2"/>
    <mergeCell ref="A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  <col width="16" customWidth="1" min="3" max="3"/>
  </cols>
  <sheetData>
    <row r="1" ht="28" customHeight="1">
      <c r="A1" s="1" t="inlineStr">
        <is>
          <t>方案任务跟进质量分析（2026-01-01 至 2026-08-17）</t>
        </is>
      </c>
    </row>
    <row r="2" ht="18" customHeight="1">
      <c r="A2" s="2" t="inlineStr">
        <is>
          <t>数据截止</t>
        </is>
      </c>
      <c r="B2" s="2" t="inlineStr">
        <is>
          <t>2026-08-17；填报版本 0830（崔阳已补进展；2条空白状态已补：韩鸿彪暂停、张硕进行中）</t>
        </is>
      </c>
    </row>
    <row r="3" ht="18" customHeight="1">
      <c r="A3" s="2" t="inlineStr">
        <is>
          <t>样本</t>
        </is>
      </c>
      <c r="B3" s="2" t="inlineStr">
        <is>
          <t>国际业务部方案任务 165 条（已剔除国内业务部郭朝伟 4 条）；崔阳 38 条已补进展；状态已全部标注</t>
        </is>
      </c>
    </row>
    <row r="4" ht="18" customHeight="1"/>
    <row r="5" ht="18" customHeight="1">
      <c r="A5" s="3" t="inlineStr">
        <is>
          <t>口径说明</t>
        </is>
      </c>
    </row>
    <row r="6" ht="8" customHeight="1">
      <c r="A6" s="2" t="inlineStr">
        <is>
          <t>提报任务总数</t>
        </is>
      </c>
      <c r="B6" s="2" t="inlineStr">
        <is>
          <t>管家中该业务员累计创建的方案任务条数，同一客户多条分别计</t>
        </is>
      </c>
    </row>
    <row r="7" ht="18" customHeight="1">
      <c r="A7" s="2" t="inlineStr">
        <is>
          <t>已结项或暂停</t>
        </is>
      </c>
      <c r="B7" s="2" t="inlineStr">
        <is>
          <t>状态为已结项-签约 / 已结项-丢单 / 已结项 / 暂停 / 项目暂停</t>
        </is>
      </c>
    </row>
    <row r="8" ht="18" customHeight="1">
      <c r="A8" s="2" t="inlineStr">
        <is>
          <t>前期调研</t>
        </is>
      </c>
      <c r="B8" s="2" t="inlineStr">
        <is>
          <t>进展明确为规划、只要预算、了解价格、收集报价、找钱、非最终业主探价等，尚未进入实质商务推进</t>
        </is>
      </c>
    </row>
    <row r="9" ht="18" customHeight="1">
      <c r="A9" s="2" t="inlineStr">
        <is>
          <t>前期调研客户数</t>
        </is>
      </c>
      <c r="B9" s="2" t="inlineStr">
        <is>
          <t>按客户键去重（C编码；陈子凡生力/SMC/Manila01、MAK 已并户）</t>
        </is>
      </c>
    </row>
    <row r="10" ht="18" customHeight="1">
      <c r="A10" s="2" t="inlineStr">
        <is>
          <t>客户数（集中度）</t>
        </is>
      </c>
      <c r="B10" s="2" t="inlineStr">
        <is>
          <t>C编码去重；无编码各计1。业务确认：陈子凡未标编码的菲律宾生力集团/SMC/Manila01 并为一户，标题含MAK的并入蒙古MAK</t>
        </is>
      </c>
    </row>
    <row r="11" ht="18" customHeight="1">
      <c r="A11" s="2" t="inlineStr">
        <is>
          <t>重点项目</t>
        </is>
      </c>
      <c r="B11" s="2" t="inlineStr">
        <is>
          <t>标题标注「重点项目」；另补录业务确认的2条：菲律宾生力取料机、MAK 2×150吨小仓（已签约）</t>
        </is>
      </c>
    </row>
    <row r="12" ht="18" customHeight="1">
      <c r="A12" s="2" t="inlineStr">
        <is>
          <t>有效在手</t>
        </is>
      </c>
      <c r="B12" s="2" t="inlineStr">
        <is>
          <t>进行中且有真实互动或明确下一步（拜访、更新方案、授标、征地、约见面、技术澄清），排除纯预算和该结未结</t>
        </is>
      </c>
    </row>
    <row r="13" ht="18" customHeight="1">
      <c r="A13" s="2" t="inlineStr">
        <is>
          <t>浅层等待</t>
        </is>
      </c>
      <c r="B13" s="2" t="inlineStr">
        <is>
          <t>已报价/已出方案后被动等回复，尚有一线希望但跟进动作弱</t>
        </is>
      </c>
    </row>
    <row r="14" ht="18" customHeight="1">
      <c r="A14" s="2" t="inlineStr">
        <is>
          <t>该结未结</t>
        </is>
      </c>
      <c r="B14" s="2" t="inlineStr">
        <is>
          <t>失联、无反馈、希望不大、可上可不上、客户只要厂家等，仍挂「进行中」</t>
        </is>
      </c>
    </row>
    <row r="15" ht="18" customHeight="1">
      <c r="A15" s="2" t="inlineStr">
        <is>
          <t>重复开单</t>
        </is>
      </c>
      <c r="B15" s="2" t="inlineStr">
        <is>
          <t>同一客户拆多条任务且未合并，或明显重复任务</t>
        </is>
      </c>
    </row>
    <row r="16" ht="18" customHeight="1">
      <c r="A16" s="2" t="inlineStr">
        <is>
          <t>有效项目</t>
        </is>
      </c>
      <c r="B16" s="2" t="inlineStr">
        <is>
          <t>已签约 + 有效在手。这是「提报很多但有效项目不足」的核心观察口径</t>
        </is>
      </c>
    </row>
    <row r="17" ht="18" customHeight="1">
      <c r="A17" s="2" t="inlineStr">
        <is>
          <t>闭环率</t>
        </is>
      </c>
      <c r="B17" s="2" t="inlineStr">
        <is>
          <t>已结项或暂停 / 提报总数。敢结项是纪律，不代表能成交</t>
        </is>
      </c>
    </row>
    <row r="18" ht="18" customHeight="1"/>
    <row r="19" ht="18" customHeight="1">
      <c r="A19" s="3" t="inlineStr">
        <is>
          <t>全样本结构</t>
        </is>
      </c>
    </row>
    <row r="20" ht="18" customHeight="1">
      <c r="A20" s="4" t="inlineStr">
        <is>
          <t>状态</t>
        </is>
      </c>
      <c r="B20" s="4" t="inlineStr">
        <is>
          <t>条数</t>
        </is>
      </c>
      <c r="C20" s="4" t="inlineStr">
        <is>
          <t>占比</t>
        </is>
      </c>
    </row>
    <row r="21" ht="18" customHeight="1">
      <c r="A21" s="2" t="inlineStr">
        <is>
          <t>进行中</t>
        </is>
      </c>
      <c r="B21" s="2" t="n">
        <v>87</v>
      </c>
      <c r="C21" s="5" t="n">
        <v>0.5272727272727272</v>
      </c>
    </row>
    <row r="22" ht="18" customHeight="1">
      <c r="A22" s="2" t="inlineStr">
        <is>
          <t>已结项-丢单/其他</t>
        </is>
      </c>
      <c r="B22" s="2" t="n">
        <v>60</v>
      </c>
      <c r="C22" s="5" t="n">
        <v>0.3636363636363636</v>
      </c>
    </row>
    <row r="23" ht="18" customHeight="1">
      <c r="A23" s="2" t="inlineStr">
        <is>
          <t>暂停</t>
        </is>
      </c>
      <c r="B23" s="2" t="n">
        <v>17</v>
      </c>
      <c r="C23" s="5" t="n">
        <v>0.103030303030303</v>
      </c>
    </row>
    <row r="24" ht="18" customHeight="1">
      <c r="A24" s="2" t="inlineStr">
        <is>
          <t>已结项-签约</t>
        </is>
      </c>
      <c r="B24" s="2" t="n">
        <v>1</v>
      </c>
      <c r="C24" s="5" t="n">
        <v>0.006060606060606061</v>
      </c>
    </row>
    <row r="25" ht="18" customHeight="1">
      <c r="A25" s="2" t="inlineStr">
        <is>
          <t>未填</t>
        </is>
      </c>
      <c r="B25" s="2" t="n">
        <v>0</v>
      </c>
      <c r="C25" s="5" t="n">
        <v>0</v>
      </c>
    </row>
    <row r="26" ht="18" customHeight="1"/>
    <row r="27" ht="18" customHeight="1">
      <c r="A27" s="3" t="inlineStr">
        <is>
          <t>165 条跟进质量结构（国际业务部）</t>
        </is>
      </c>
    </row>
    <row r="28" ht="18" customHeight="1">
      <c r="A28" s="4" t="inlineStr">
        <is>
          <t>质量标签</t>
        </is>
      </c>
      <c r="B28" s="4" t="inlineStr">
        <is>
          <t>条数</t>
        </is>
      </c>
      <c r="C28" s="4" t="inlineStr">
        <is>
          <t>占比</t>
        </is>
      </c>
    </row>
    <row r="29" ht="18" customHeight="1">
      <c r="A29" s="2" t="inlineStr">
        <is>
          <t>规范闭环（该关已关）</t>
        </is>
      </c>
      <c r="B29" s="2" t="n">
        <v>78</v>
      </c>
      <c r="C29" s="5" t="n">
        <v>0.4727272727272727</v>
      </c>
    </row>
    <row r="30" ht="18" customHeight="1">
      <c r="A30" s="2" t="inlineStr">
        <is>
          <t>有效在手</t>
        </is>
      </c>
      <c r="B30" s="2" t="n">
        <v>28</v>
      </c>
      <c r="C30" s="5" t="n">
        <v>0.1696969696969697</v>
      </c>
    </row>
    <row r="31" ht="18" customHeight="1">
      <c r="A31" s="2" t="inlineStr">
        <is>
          <t>前期调研</t>
        </is>
      </c>
      <c r="B31" s="2" t="n">
        <v>18</v>
      </c>
      <c r="C31" s="5" t="n">
        <v>0.1090909090909091</v>
      </c>
    </row>
    <row r="32" ht="18" customHeight="1">
      <c r="A32" s="2" t="inlineStr">
        <is>
          <t>浅层等待</t>
        </is>
      </c>
      <c r="B32" s="2" t="n">
        <v>20</v>
      </c>
      <c r="C32" s="5" t="n">
        <v>0.1212121212121212</v>
      </c>
    </row>
    <row r="33" ht="18" customHeight="1">
      <c r="A33" s="2" t="inlineStr">
        <is>
          <t>该结未结+重复开单</t>
        </is>
      </c>
      <c r="B33" s="2" t="n">
        <v>21</v>
      </c>
      <c r="C33" s="5" t="n">
        <v>0.1272727272727273</v>
      </c>
    </row>
    <row r="34" ht="18" customHeight="1">
      <c r="A34" s="2" t="inlineStr">
        <is>
          <t>未跟进（张硕代填）</t>
        </is>
      </c>
      <c r="B34" s="2" t="n">
        <v>0</v>
      </c>
      <c r="C34" s="5" t="n">
        <v>0</v>
      </c>
    </row>
    <row r="35" ht="18" customHeight="1"/>
    <row r="36" ht="18" customHeight="1">
      <c r="A36" s="3" t="inlineStr">
        <is>
          <t>核心结论</t>
        </is>
      </c>
    </row>
    <row r="37" ht="18" customHeight="1">
      <c r="A37" s="2" t="inlineStr">
        <is>
          <t>有效项目</t>
        </is>
      </c>
      <c r="B37" s="2" t="inlineStr">
        <is>
          <t>29 条（1 签约 + 28 有效在手），占全部 17.6%</t>
        </is>
      </c>
    </row>
    <row r="38" ht="18" customHeight="1">
      <c r="A38" s="2" t="inlineStr">
        <is>
          <t>前期调研</t>
        </is>
      </c>
      <c r="B38" s="2" t="inlineStr">
        <is>
          <t>18 条 / 17 个客户，占全部 10.9%</t>
        </is>
      </c>
    </row>
    <row r="39" ht="18" customHeight="1">
      <c r="A39" s="2" t="inlineStr">
        <is>
          <t>该关未关</t>
        </is>
      </c>
      <c r="B39" s="2" t="inlineStr">
        <is>
          <t>21 条，直接虚增进行中盘子</t>
        </is>
      </c>
    </row>
    <row r="40" ht="18" customHeight="1">
      <c r="A40" s="2" t="inlineStr">
        <is>
          <t>失联/未反馈</t>
        </is>
      </c>
      <c r="B40" s="2" t="inlineStr">
        <is>
          <t>23 条已按失联或未反馈记录（含部分暂停备注）</t>
        </is>
      </c>
    </row>
    <row r="41" ht="18" customHeight="1">
      <c r="A41" s="2" t="inlineStr">
        <is>
          <t>签约</t>
        </is>
      </c>
      <c r="B41" s="2" t="inlineStr">
        <is>
          <t>165 条里可确认签约 1 条（陈子凡 / 蒙古MAK 2×150 吨）</t>
        </is>
      </c>
    </row>
    <row r="42" ht="18" customHeight="1">
      <c r="A42" s="2" t="inlineStr">
        <is>
          <t>崔阳补录</t>
        </is>
      </c>
      <c r="B42" s="2" t="inlineStr">
        <is>
          <t>38 条已填；关账勤但有效在手少，Powerz/Эннова/cotes 重复开单多；75万吨重点进展仍空</t>
        </is>
      </c>
    </row>
    <row r="44">
      <c r="A44" s="53" t="inlineStr">
        <is>
          <t>3-重点项目</t>
        </is>
      </c>
      <c r="B44" t="inlineStr">
        <is>
          <t>15 条重点明细，按开场表组别、业务员排（不再按序号）</t>
        </is>
      </c>
    </row>
    <row r="45">
      <c r="A45" s="53" t="inlineStr">
        <is>
          <t>3b-重点按人</t>
        </is>
      </c>
      <c r="B45" t="inlineStr">
        <is>
          <t>12 人汇总（与开场表同一顺序）；未标重点的 4 人为 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.2" customWidth="1" min="2" max="2"/>
    <col width="8" customWidth="1" min="3" max="3"/>
    <col width="12.2" customWidth="1" min="4" max="4"/>
    <col width="8.800000000000001" customWidth="1" min="5" max="5"/>
    <col width="8.800000000000001" customWidth="1" min="6" max="6"/>
    <col width="8.800000000000001" customWidth="1" min="7" max="7"/>
    <col width="8" customWidth="1" min="8" max="8"/>
    <col width="8.800000000000001" customWidth="1" min="9" max="9"/>
    <col width="12.2" customWidth="1" min="10" max="10"/>
    <col width="13.9" customWidth="1" min="11" max="11"/>
    <col width="10.5" customWidth="1" min="12" max="12"/>
    <col width="12.2" customWidth="1" min="13" max="13"/>
    <col width="8.800000000000001" customWidth="1" min="14" max="14"/>
    <col width="8.800000000000001" customWidth="1" min="15" max="15"/>
    <col width="8.800000000000001" customWidth="1" min="16" max="16"/>
    <col width="8.800000000000001" customWidth="1" min="17" max="17"/>
    <col width="10.5" customWidth="1" min="18" max="18"/>
    <col width="12.2" customWidth="1" min="19" max="19"/>
    <col width="10.5" customWidth="1" min="20" max="20"/>
    <col width="22" customWidth="1" min="21" max="21"/>
    <col width="21" customWidth="1" min="22" max="22"/>
    <col width="21" customWidth="1" min="23" max="23"/>
    <col width="15.6" customWidth="1" min="24" max="24"/>
  </cols>
  <sheetData>
    <row r="1" ht="32" customHeight="1">
      <c r="A1" s="6" t="inlineStr">
        <is>
          <t>业务员</t>
        </is>
      </c>
      <c r="B1" s="6" t="inlineStr">
        <is>
          <t>提报任务总数</t>
        </is>
      </c>
      <c r="C1" s="6" t="inlineStr">
        <is>
          <t>客户数</t>
        </is>
      </c>
      <c r="D1" s="6" t="inlineStr">
        <is>
          <t>已结项或暂停</t>
        </is>
      </c>
      <c r="E1" s="6" t="inlineStr">
        <is>
          <t>其中签约</t>
        </is>
      </c>
      <c r="F1" s="6" t="inlineStr">
        <is>
          <t>其中丢单</t>
        </is>
      </c>
      <c r="G1" s="6" t="inlineStr">
        <is>
          <t>其中暂停</t>
        </is>
      </c>
      <c r="H1" s="6" t="inlineStr">
        <is>
          <t>进行中</t>
        </is>
      </c>
      <c r="I1" s="6" t="inlineStr">
        <is>
          <t>状态未填</t>
        </is>
      </c>
      <c r="J1" s="6" t="inlineStr">
        <is>
          <t>前期调研任务</t>
        </is>
      </c>
      <c r="K1" s="6" t="inlineStr">
        <is>
          <t>前期调研客户数</t>
        </is>
      </c>
      <c r="L1" s="6" t="inlineStr">
        <is>
          <t>重点项目数</t>
        </is>
      </c>
      <c r="M1" s="6" t="inlineStr">
        <is>
          <t>重点有效跟进</t>
        </is>
      </c>
      <c r="N1" s="6" t="inlineStr">
        <is>
          <t>有效在手</t>
        </is>
      </c>
      <c r="O1" s="6" t="inlineStr">
        <is>
          <t>浅层等待</t>
        </is>
      </c>
      <c r="P1" s="6" t="inlineStr">
        <is>
          <t>该结未结</t>
        </is>
      </c>
      <c r="Q1" s="6" t="inlineStr">
        <is>
          <t>重复开单</t>
        </is>
      </c>
      <c r="R1" s="6" t="inlineStr">
        <is>
          <t>未更新条数</t>
        </is>
      </c>
      <c r="S1" s="6" t="inlineStr">
        <is>
          <t>失联或未反馈</t>
        </is>
      </c>
      <c r="T1" s="6" t="inlineStr">
        <is>
          <t>有效项目数</t>
        </is>
      </c>
      <c r="U1" s="6" t="inlineStr">
        <is>
          <t>有效项目率</t>
        </is>
      </c>
      <c r="V1" s="6" t="inlineStr">
        <is>
          <t>闭环率</t>
        </is>
      </c>
      <c r="W1" s="6" t="inlineStr">
        <is>
          <t>进行中跟住率</t>
        </is>
      </c>
      <c r="X1" s="6" t="inlineStr">
        <is>
          <t>进行中平均库龄天</t>
        </is>
      </c>
    </row>
    <row r="2" ht="22" customHeight="1">
      <c r="A2" s="7" t="inlineStr">
        <is>
          <t>崔阳</t>
        </is>
      </c>
      <c r="B2" s="7" t="n">
        <v>38</v>
      </c>
      <c r="C2" s="7" t="n">
        <v>22</v>
      </c>
      <c r="D2" s="7" t="n">
        <v>19</v>
      </c>
      <c r="E2" s="7" t="n">
        <v>0</v>
      </c>
      <c r="F2" s="7" t="n">
        <v>19</v>
      </c>
      <c r="G2" s="7" t="n">
        <v>0</v>
      </c>
      <c r="H2" s="7" t="n">
        <v>19</v>
      </c>
      <c r="I2" s="7" t="n">
        <v>0</v>
      </c>
      <c r="J2" s="7" t="n">
        <v>1</v>
      </c>
      <c r="K2" s="7" t="n">
        <v>1</v>
      </c>
      <c r="L2" s="7" t="n">
        <v>1</v>
      </c>
      <c r="M2" s="7" t="n">
        <v>0</v>
      </c>
      <c r="N2" s="7" t="n">
        <v>5</v>
      </c>
      <c r="O2" s="7" t="n">
        <v>8</v>
      </c>
      <c r="P2" s="7" t="n">
        <v>4</v>
      </c>
      <c r="Q2" s="7" t="n">
        <v>1</v>
      </c>
      <c r="R2" s="7" t="n">
        <v>0</v>
      </c>
      <c r="S2" s="7" t="n">
        <v>1</v>
      </c>
      <c r="T2" s="7" t="n">
        <v>5</v>
      </c>
      <c r="U2" s="8" t="n">
        <v>0.131578947368421</v>
      </c>
      <c r="V2" s="9" t="n">
        <v>0.5</v>
      </c>
      <c r="W2" s="9" t="n">
        <v>0.2631578947368421</v>
      </c>
      <c r="X2" s="7" t="n"/>
    </row>
    <row r="3" ht="22" customHeight="1">
      <c r="A3" s="7" t="inlineStr">
        <is>
          <t>苗恒</t>
        </is>
      </c>
      <c r="B3" s="7" t="n">
        <v>18</v>
      </c>
      <c r="C3" s="7" t="n">
        <v>18</v>
      </c>
      <c r="D3" s="7" t="n">
        <v>11</v>
      </c>
      <c r="E3" s="7" t="n">
        <v>0</v>
      </c>
      <c r="F3" s="7" t="n">
        <v>8</v>
      </c>
      <c r="G3" s="7" t="n">
        <v>3</v>
      </c>
      <c r="H3" s="7" t="n">
        <v>7</v>
      </c>
      <c r="I3" s="7" t="n">
        <v>0</v>
      </c>
      <c r="J3" s="7" t="n">
        <v>0</v>
      </c>
      <c r="K3" s="7" t="n">
        <v>0</v>
      </c>
      <c r="L3" s="7" t="n">
        <v>2</v>
      </c>
      <c r="M3" s="7" t="n">
        <v>1</v>
      </c>
      <c r="N3" s="7" t="n">
        <v>5</v>
      </c>
      <c r="O3" s="7" t="n">
        <v>0</v>
      </c>
      <c r="P3" s="7" t="n">
        <v>1</v>
      </c>
      <c r="Q3" s="7" t="n">
        <v>1</v>
      </c>
      <c r="R3" s="7" t="n">
        <v>0</v>
      </c>
      <c r="S3" s="7" t="n">
        <v>5</v>
      </c>
      <c r="T3" s="7" t="n">
        <v>5</v>
      </c>
      <c r="U3" s="9" t="n">
        <v>0.2777777777777778</v>
      </c>
      <c r="V3" s="9" t="n">
        <v>0.6111111111111112</v>
      </c>
      <c r="W3" s="9" t="n">
        <v>0.7142857142857143</v>
      </c>
      <c r="X3" s="7" t="n"/>
    </row>
    <row r="4" ht="22" customHeight="1">
      <c r="A4" s="7" t="inlineStr">
        <is>
          <t>司斌</t>
        </is>
      </c>
      <c r="B4" s="7" t="n">
        <v>17</v>
      </c>
      <c r="C4" s="7" t="n">
        <v>15</v>
      </c>
      <c r="D4" s="7" t="n">
        <v>6</v>
      </c>
      <c r="E4" s="7" t="n">
        <v>0</v>
      </c>
      <c r="F4" s="7" t="n">
        <v>4</v>
      </c>
      <c r="G4" s="7" t="n">
        <v>2</v>
      </c>
      <c r="H4" s="7" t="n">
        <v>11</v>
      </c>
      <c r="I4" s="7" t="n">
        <v>0</v>
      </c>
      <c r="J4" s="7" t="n">
        <v>3</v>
      </c>
      <c r="K4" s="7" t="n">
        <v>3</v>
      </c>
      <c r="L4" s="7" t="n">
        <v>1</v>
      </c>
      <c r="M4" s="7" t="n">
        <v>1</v>
      </c>
      <c r="N4" s="7" t="n">
        <v>1</v>
      </c>
      <c r="O4" s="7" t="n">
        <v>0</v>
      </c>
      <c r="P4" s="7" t="n">
        <v>5</v>
      </c>
      <c r="Q4" s="7" t="n">
        <v>2</v>
      </c>
      <c r="R4" s="7" t="n">
        <v>0</v>
      </c>
      <c r="S4" s="7" t="n">
        <v>2</v>
      </c>
      <c r="T4" s="7" t="n">
        <v>1</v>
      </c>
      <c r="U4" s="8" t="n">
        <v>0.05882352941176471</v>
      </c>
      <c r="V4" s="9" t="n">
        <v>0.3529411764705883</v>
      </c>
      <c r="W4" s="9" t="n">
        <v>0.09090909090909091</v>
      </c>
      <c r="X4" s="7" t="n"/>
    </row>
    <row r="5" ht="22" customHeight="1">
      <c r="A5" s="7" t="inlineStr">
        <is>
          <t>陈辉</t>
        </is>
      </c>
      <c r="B5" s="7" t="n">
        <v>17</v>
      </c>
      <c r="C5" s="7" t="n">
        <v>13</v>
      </c>
      <c r="D5" s="7" t="n">
        <v>5</v>
      </c>
      <c r="E5" s="7" t="n">
        <v>0</v>
      </c>
      <c r="F5" s="7" t="n">
        <v>3</v>
      </c>
      <c r="G5" s="7" t="n">
        <v>2</v>
      </c>
      <c r="H5" s="7" t="n">
        <v>12</v>
      </c>
      <c r="I5" s="7" t="n">
        <v>0</v>
      </c>
      <c r="J5" s="7" t="n">
        <v>7</v>
      </c>
      <c r="K5" s="7" t="n">
        <v>6</v>
      </c>
      <c r="L5" s="7" t="n">
        <v>3</v>
      </c>
      <c r="M5" s="7" t="n">
        <v>2</v>
      </c>
      <c r="N5" s="7" t="n">
        <v>3</v>
      </c>
      <c r="O5" s="7" t="n">
        <v>2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3</v>
      </c>
      <c r="U5" s="9" t="n">
        <v>0.1764705882352941</v>
      </c>
      <c r="V5" s="9" t="n">
        <v>0.2941176470588235</v>
      </c>
      <c r="W5" s="9" t="n">
        <v>0.25</v>
      </c>
      <c r="X5" s="7" t="n"/>
    </row>
    <row r="6" ht="22" customHeight="1">
      <c r="A6" s="7" t="inlineStr">
        <is>
          <t>陈子凡</t>
        </is>
      </c>
      <c r="B6" s="7" t="n">
        <v>16</v>
      </c>
      <c r="C6" s="7" t="n">
        <v>12</v>
      </c>
      <c r="D6" s="7" t="n">
        <v>8</v>
      </c>
      <c r="E6" s="7" t="n">
        <v>1</v>
      </c>
      <c r="F6" s="7" t="n">
        <v>6</v>
      </c>
      <c r="G6" s="7" t="n">
        <v>1</v>
      </c>
      <c r="H6" s="7" t="n">
        <v>8</v>
      </c>
      <c r="I6" s="7" t="n">
        <v>0</v>
      </c>
      <c r="J6" s="7" t="n">
        <v>2</v>
      </c>
      <c r="K6" s="7" t="n">
        <v>2</v>
      </c>
      <c r="L6" s="7" t="n">
        <v>4</v>
      </c>
      <c r="M6" s="7" t="n">
        <v>4</v>
      </c>
      <c r="N6" s="7" t="n">
        <v>3</v>
      </c>
      <c r="O6" s="7" t="n">
        <v>2</v>
      </c>
      <c r="P6" s="7" t="n">
        <v>1</v>
      </c>
      <c r="Q6" s="7" t="n">
        <v>0</v>
      </c>
      <c r="R6" s="7" t="n">
        <v>0</v>
      </c>
      <c r="S6" s="7" t="n">
        <v>0</v>
      </c>
      <c r="T6" s="7" t="n">
        <v>4</v>
      </c>
      <c r="U6" s="9" t="n">
        <v>0.25</v>
      </c>
      <c r="V6" s="9" t="n">
        <v>0.5</v>
      </c>
      <c r="W6" s="9" t="n">
        <v>0.375</v>
      </c>
      <c r="X6" s="7" t="n"/>
    </row>
    <row r="7" ht="22" customHeight="1">
      <c r="A7" s="7" t="inlineStr">
        <is>
          <t>尹韬越</t>
        </is>
      </c>
      <c r="B7" s="7" t="n">
        <v>13</v>
      </c>
      <c r="C7" s="7" t="n">
        <v>12</v>
      </c>
      <c r="D7" s="7" t="n">
        <v>9</v>
      </c>
      <c r="E7" s="7" t="n">
        <v>0</v>
      </c>
      <c r="F7" s="7" t="n">
        <v>5</v>
      </c>
      <c r="G7" s="7" t="n">
        <v>4</v>
      </c>
      <c r="H7" s="7" t="n">
        <v>4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1</v>
      </c>
      <c r="O7" s="7" t="n">
        <v>0</v>
      </c>
      <c r="P7" s="7" t="n">
        <v>2</v>
      </c>
      <c r="Q7" s="7" t="n">
        <v>1</v>
      </c>
      <c r="R7" s="7" t="n">
        <v>0</v>
      </c>
      <c r="S7" s="7" t="n">
        <v>5</v>
      </c>
      <c r="T7" s="7" t="n">
        <v>1</v>
      </c>
      <c r="U7" s="8" t="n">
        <v>0.07692307692307693</v>
      </c>
      <c r="V7" s="9" t="n">
        <v>0.6923076923076923</v>
      </c>
      <c r="W7" s="9" t="n">
        <v>0.25</v>
      </c>
      <c r="X7" s="7" t="n"/>
    </row>
    <row r="8" ht="22" customHeight="1">
      <c r="A8" s="7" t="inlineStr">
        <is>
          <t>韩鸿彪</t>
        </is>
      </c>
      <c r="B8" s="7" t="n">
        <v>11</v>
      </c>
      <c r="C8" s="7" t="n">
        <v>8</v>
      </c>
      <c r="D8" s="7" t="n">
        <v>5</v>
      </c>
      <c r="E8" s="7" t="n">
        <v>0</v>
      </c>
      <c r="F8" s="7" t="n">
        <v>1</v>
      </c>
      <c r="G8" s="7" t="n">
        <v>4</v>
      </c>
      <c r="H8" s="7" t="n">
        <v>6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4</v>
      </c>
      <c r="O8" s="7" t="n">
        <v>1</v>
      </c>
      <c r="P8" s="7" t="n">
        <v>1</v>
      </c>
      <c r="Q8" s="7" t="n">
        <v>0</v>
      </c>
      <c r="R8" s="7" t="n">
        <v>0</v>
      </c>
      <c r="S8" s="7" t="n">
        <v>0</v>
      </c>
      <c r="T8" s="7" t="n">
        <v>4</v>
      </c>
      <c r="U8" s="10" t="n">
        <v>0.3636363636363636</v>
      </c>
      <c r="V8" s="9" t="n">
        <v>0.4545454545454545</v>
      </c>
      <c r="W8" s="9" t="n">
        <v>0.6666666666666666</v>
      </c>
      <c r="X8" s="7" t="n"/>
    </row>
    <row r="9" ht="22" customHeight="1">
      <c r="A9" s="7" t="inlineStr">
        <is>
          <t>马鹏飞</t>
        </is>
      </c>
      <c r="B9" s="7" t="n">
        <v>11</v>
      </c>
      <c r="C9" s="7" t="n">
        <v>11</v>
      </c>
      <c r="D9" s="7" t="n">
        <v>7</v>
      </c>
      <c r="E9" s="7" t="n">
        <v>0</v>
      </c>
      <c r="F9" s="7" t="n">
        <v>7</v>
      </c>
      <c r="G9" s="7" t="n">
        <v>0</v>
      </c>
      <c r="H9" s="7" t="n">
        <v>4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1</v>
      </c>
      <c r="O9" s="7" t="n">
        <v>3</v>
      </c>
      <c r="P9" s="7" t="n">
        <v>0</v>
      </c>
      <c r="Q9" s="7" t="n">
        <v>0</v>
      </c>
      <c r="R9" s="7" t="n">
        <v>0</v>
      </c>
      <c r="S9" s="7" t="n">
        <v>4</v>
      </c>
      <c r="T9" s="7" t="n">
        <v>1</v>
      </c>
      <c r="U9" s="8" t="n">
        <v>0.09090909090909091</v>
      </c>
      <c r="V9" s="9" t="n">
        <v>0.6363636363636364</v>
      </c>
      <c r="W9" s="9" t="n">
        <v>0.25</v>
      </c>
      <c r="X9" s="7" t="n"/>
    </row>
    <row r="10" ht="22" customHeight="1">
      <c r="A10" s="7" t="inlineStr">
        <is>
          <t>王伟乐</t>
        </is>
      </c>
      <c r="B10" s="7" t="n">
        <v>8</v>
      </c>
      <c r="C10" s="7" t="n">
        <v>8</v>
      </c>
      <c r="D10" s="7" t="n">
        <v>4</v>
      </c>
      <c r="E10" s="7" t="n">
        <v>0</v>
      </c>
      <c r="F10" s="7" t="n">
        <v>4</v>
      </c>
      <c r="G10" s="7" t="n">
        <v>0</v>
      </c>
      <c r="H10" s="7" t="n">
        <v>4</v>
      </c>
      <c r="I10" s="7" t="n">
        <v>0</v>
      </c>
      <c r="J10" s="7" t="n">
        <v>1</v>
      </c>
      <c r="K10" s="7" t="n">
        <v>1</v>
      </c>
      <c r="L10" s="7" t="n">
        <v>2</v>
      </c>
      <c r="M10" s="7" t="n">
        <v>1</v>
      </c>
      <c r="N10" s="7" t="n">
        <v>1</v>
      </c>
      <c r="O10" s="7" t="n">
        <v>1</v>
      </c>
      <c r="P10" s="7" t="n">
        <v>1</v>
      </c>
      <c r="Q10" s="7" t="n">
        <v>0</v>
      </c>
      <c r="R10" s="7" t="n">
        <v>0</v>
      </c>
      <c r="S10" s="7" t="n">
        <v>4</v>
      </c>
      <c r="T10" s="7" t="n">
        <v>1</v>
      </c>
      <c r="U10" s="8" t="n">
        <v>0.125</v>
      </c>
      <c r="V10" s="9" t="n">
        <v>0.5</v>
      </c>
      <c r="W10" s="9" t="n">
        <v>0.25</v>
      </c>
      <c r="X10" s="7" t="n"/>
    </row>
    <row r="11" ht="22" customHeight="1">
      <c r="A11" s="7" t="inlineStr">
        <is>
          <t>冯乐</t>
        </is>
      </c>
      <c r="B11" s="7" t="n">
        <v>6</v>
      </c>
      <c r="C11" s="7" t="n">
        <v>5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6</v>
      </c>
      <c r="I11" s="7" t="n">
        <v>0</v>
      </c>
      <c r="J11" s="7" t="n">
        <v>2</v>
      </c>
      <c r="K11" s="7" t="n">
        <v>2</v>
      </c>
      <c r="L11" s="7" t="n">
        <v>1</v>
      </c>
      <c r="M11" s="7" t="n">
        <v>1</v>
      </c>
      <c r="N11" s="7" t="n">
        <v>2</v>
      </c>
      <c r="O11" s="7" t="n">
        <v>2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2</v>
      </c>
      <c r="U11" s="9" t="n">
        <v>0.3333333333333333</v>
      </c>
      <c r="V11" s="9" t="n">
        <v>0</v>
      </c>
      <c r="W11" s="9" t="n">
        <v>0.3333333333333333</v>
      </c>
      <c r="X11" s="7" t="n"/>
    </row>
    <row r="12" ht="22" customHeight="1">
      <c r="A12" s="7" t="inlineStr">
        <is>
          <t>张硕</t>
        </is>
      </c>
      <c r="B12" s="7" t="n">
        <v>5</v>
      </c>
      <c r="C12" s="7" t="n">
        <v>5</v>
      </c>
      <c r="D12" s="7" t="n">
        <v>2</v>
      </c>
      <c r="E12" s="7" t="n">
        <v>0</v>
      </c>
      <c r="F12" s="7" t="n">
        <v>2</v>
      </c>
      <c r="G12" s="7" t="n">
        <v>0</v>
      </c>
      <c r="H12" s="7" t="n">
        <v>3</v>
      </c>
      <c r="I12" s="7" t="n">
        <v>0</v>
      </c>
      <c r="J12" s="7" t="n">
        <v>1</v>
      </c>
      <c r="K12" s="7" t="n">
        <v>1</v>
      </c>
      <c r="L12" s="7" t="n">
        <v>0</v>
      </c>
      <c r="M12" s="7" t="n">
        <v>0</v>
      </c>
      <c r="N12" s="7" t="n">
        <v>1</v>
      </c>
      <c r="O12" s="7" t="n">
        <v>0</v>
      </c>
      <c r="P12" s="7" t="n">
        <v>1</v>
      </c>
      <c r="Q12" s="7" t="n">
        <v>0</v>
      </c>
      <c r="R12" s="7" t="n">
        <v>0</v>
      </c>
      <c r="S12" s="7" t="n">
        <v>2</v>
      </c>
      <c r="T12" s="7" t="n">
        <v>1</v>
      </c>
      <c r="U12" s="9" t="n">
        <v>0.2</v>
      </c>
      <c r="V12" s="9" t="n">
        <v>0.4</v>
      </c>
      <c r="W12" s="9" t="n">
        <v>0.3333333333333333</v>
      </c>
      <c r="X12" s="7" t="n"/>
    </row>
    <row r="13" ht="22" customHeight="1">
      <c r="A13" s="7" t="inlineStr">
        <is>
          <t>王伟超</t>
        </is>
      </c>
      <c r="B13" s="7" t="n">
        <v>5</v>
      </c>
      <c r="C13" s="7" t="n">
        <v>5</v>
      </c>
      <c r="D13" s="7" t="n">
        <v>2</v>
      </c>
      <c r="E13" s="7" t="n">
        <v>0</v>
      </c>
      <c r="F13" s="7" t="n">
        <v>1</v>
      </c>
      <c r="G13" s="7" t="n">
        <v>1</v>
      </c>
      <c r="H13" s="7" t="n">
        <v>3</v>
      </c>
      <c r="I13" s="7" t="n">
        <v>0</v>
      </c>
      <c r="J13" s="7" t="n">
        <v>1</v>
      </c>
      <c r="K13" s="7" t="n">
        <v>1</v>
      </c>
      <c r="L13" s="7" t="n">
        <v>1</v>
      </c>
      <c r="M13" s="7" t="n">
        <v>1</v>
      </c>
      <c r="N13" s="7" t="n">
        <v>1</v>
      </c>
      <c r="O13" s="7" t="n">
        <v>1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1</v>
      </c>
      <c r="U13" s="9" t="n">
        <v>0.2</v>
      </c>
      <c r="V13" s="9" t="n">
        <v>0.4</v>
      </c>
      <c r="W13" s="9" t="n">
        <v>0.3333333333333333</v>
      </c>
      <c r="X13" s="7" t="n"/>
    </row>
    <row r="14" ht="22" customHeight="1">
      <c r="A14" s="11" t="inlineStr">
        <is>
          <t>合计</t>
        </is>
      </c>
      <c r="B14" s="11" t="n">
        <v>165</v>
      </c>
      <c r="C14" s="11" t="n">
        <v>134</v>
      </c>
      <c r="D14" s="11" t="n">
        <v>78</v>
      </c>
      <c r="E14" s="11" t="n">
        <v>1</v>
      </c>
      <c r="F14" s="11" t="n">
        <v>60</v>
      </c>
      <c r="G14" s="11" t="n">
        <v>17</v>
      </c>
      <c r="H14" s="11" t="n">
        <v>87</v>
      </c>
      <c r="I14" s="11" t="n">
        <v>0</v>
      </c>
      <c r="J14" s="11" t="n">
        <v>18</v>
      </c>
      <c r="K14" s="11" t="n">
        <v>17</v>
      </c>
      <c r="L14" s="11" t="n">
        <v>15</v>
      </c>
      <c r="M14" s="11" t="n">
        <v>11</v>
      </c>
      <c r="N14" s="11" t="n">
        <v>28</v>
      </c>
      <c r="O14" s="11" t="n">
        <v>20</v>
      </c>
      <c r="P14" s="11" t="n">
        <v>16</v>
      </c>
      <c r="Q14" s="11" t="n">
        <v>5</v>
      </c>
      <c r="R14" s="11" t="n">
        <v>0</v>
      </c>
      <c r="S14" s="11" t="n">
        <v>23</v>
      </c>
      <c r="T14" s="11" t="n">
        <v>29</v>
      </c>
      <c r="U14" s="12" t="n">
        <v>0.1757575757575758</v>
      </c>
      <c r="V14" s="12" t="n">
        <v>0.4727272727272727</v>
      </c>
      <c r="W14" s="12" t="n">
        <v>0.3218390804597701</v>
      </c>
      <c r="X14" s="11" t="n"/>
    </row>
  </sheetData>
  <autoFilter ref="A1:X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.2" customWidth="1" min="2" max="2"/>
    <col width="10.5" customWidth="1" min="3" max="3"/>
    <col width="22" customWidth="1" min="4" max="4"/>
    <col width="8.800000000000001" customWidth="1" min="5" max="5"/>
    <col width="13.9" customWidth="1" min="6" max="6"/>
    <col width="8.800000000000001" customWidth="1" min="7" max="7"/>
    <col width="8.800000000000001" customWidth="1" min="8" max="8"/>
    <col width="12.2" customWidth="1" min="9" max="9"/>
    <col width="21" customWidth="1" min="10" max="10"/>
    <col width="10.5" customWidth="1" min="11" max="11"/>
    <col width="12.2" customWidth="1" min="12" max="12"/>
    <col width="12.2" customWidth="1" min="13" max="13"/>
    <col width="21" customWidth="1" min="14" max="14"/>
  </cols>
  <sheetData>
    <row r="1" ht="32" customHeight="1">
      <c r="A1" s="13" t="inlineStr">
        <is>
          <t>业务员</t>
        </is>
      </c>
      <c r="B1" s="13" t="inlineStr">
        <is>
          <t>提报任务总数</t>
        </is>
      </c>
      <c r="C1" s="13" t="inlineStr">
        <is>
          <t>有效项目数</t>
        </is>
      </c>
      <c r="D1" s="13" t="inlineStr">
        <is>
          <t>有效项目率</t>
        </is>
      </c>
      <c r="E1" s="13" t="inlineStr">
        <is>
          <t>有效在手</t>
        </is>
      </c>
      <c r="F1" s="13" t="inlineStr">
        <is>
          <t>前期调研客户数</t>
        </is>
      </c>
      <c r="G1" s="13" t="inlineStr">
        <is>
          <t>该结未结</t>
        </is>
      </c>
      <c r="H1" s="13" t="inlineStr">
        <is>
          <t>重复开单</t>
        </is>
      </c>
      <c r="I1" s="13" t="inlineStr">
        <is>
          <t>已结项或暂停</t>
        </is>
      </c>
      <c r="J1" s="13" t="inlineStr">
        <is>
          <t>闭环率</t>
        </is>
      </c>
      <c r="K1" s="13" t="inlineStr">
        <is>
          <t>重点项目数</t>
        </is>
      </c>
      <c r="L1" s="13" t="inlineStr">
        <is>
          <t>重点有效跟进</t>
        </is>
      </c>
      <c r="M1" s="13" t="inlineStr">
        <is>
          <t>失联或未反馈</t>
        </is>
      </c>
      <c r="N1" s="13" t="inlineStr">
        <is>
          <t>进行中跟住率</t>
        </is>
      </c>
      <c r="P1" s="14" t="inlineStr">
        <is>
          <t>读法：有效项目率高 = 提报后跟得住；该结未结高 = 进行中注水；闭环率高只说明敢关账。</t>
        </is>
      </c>
    </row>
    <row r="2" ht="22" customHeight="1">
      <c r="A2" s="7" t="inlineStr">
        <is>
          <t>韩鸿彪</t>
        </is>
      </c>
      <c r="B2" s="7" t="n">
        <v>11</v>
      </c>
      <c r="C2" s="7" t="n">
        <v>4</v>
      </c>
      <c r="D2" s="9" t="n">
        <v>0.3636363636363636</v>
      </c>
      <c r="E2" s="7" t="n">
        <v>4</v>
      </c>
      <c r="F2" s="7" t="n">
        <v>0</v>
      </c>
      <c r="G2" s="7" t="n">
        <v>1</v>
      </c>
      <c r="H2" s="7" t="n">
        <v>0</v>
      </c>
      <c r="I2" s="7" t="n">
        <v>5</v>
      </c>
      <c r="J2" s="9" t="n">
        <v>0.4545454545454545</v>
      </c>
      <c r="K2" s="7" t="n">
        <v>0</v>
      </c>
      <c r="L2" s="7" t="n">
        <v>0</v>
      </c>
      <c r="M2" s="7" t="n">
        <v>0</v>
      </c>
      <c r="N2" s="9" t="n">
        <v>0.6666666666666666</v>
      </c>
    </row>
    <row r="3" ht="22" customHeight="1">
      <c r="A3" s="7" t="inlineStr">
        <is>
          <t>冯乐</t>
        </is>
      </c>
      <c r="B3" s="7" t="n">
        <v>6</v>
      </c>
      <c r="C3" s="7" t="n">
        <v>2</v>
      </c>
      <c r="D3" s="9" t="n">
        <v>0.3333333333333333</v>
      </c>
      <c r="E3" s="7" t="n">
        <v>2</v>
      </c>
      <c r="F3" s="7" t="n">
        <v>2</v>
      </c>
      <c r="G3" s="7" t="n">
        <v>0</v>
      </c>
      <c r="H3" s="7" t="n">
        <v>0</v>
      </c>
      <c r="I3" s="7" t="n">
        <v>0</v>
      </c>
      <c r="J3" s="9" t="n">
        <v>0</v>
      </c>
      <c r="K3" s="7" t="n">
        <v>1</v>
      </c>
      <c r="L3" s="7" t="n">
        <v>1</v>
      </c>
      <c r="M3" s="7" t="n">
        <v>0</v>
      </c>
      <c r="N3" s="9" t="n">
        <v>0.3333333333333333</v>
      </c>
    </row>
    <row r="4" ht="22" customHeight="1">
      <c r="A4" s="7" t="inlineStr">
        <is>
          <t>苗恒</t>
        </is>
      </c>
      <c r="B4" s="7" t="n">
        <v>18</v>
      </c>
      <c r="C4" s="7" t="n">
        <v>5</v>
      </c>
      <c r="D4" s="9" t="n">
        <v>0.2777777777777778</v>
      </c>
      <c r="E4" s="7" t="n">
        <v>5</v>
      </c>
      <c r="F4" s="7" t="n">
        <v>0</v>
      </c>
      <c r="G4" s="7" t="n">
        <v>1</v>
      </c>
      <c r="H4" s="7" t="n">
        <v>1</v>
      </c>
      <c r="I4" s="7" t="n">
        <v>11</v>
      </c>
      <c r="J4" s="9" t="n">
        <v>0.6111111111111112</v>
      </c>
      <c r="K4" s="7" t="n">
        <v>2</v>
      </c>
      <c r="L4" s="7" t="n">
        <v>1</v>
      </c>
      <c r="M4" s="7" t="n">
        <v>5</v>
      </c>
      <c r="N4" s="9" t="n">
        <v>0.7142857142857143</v>
      </c>
    </row>
    <row r="5" ht="22" customHeight="1">
      <c r="A5" s="7" t="inlineStr">
        <is>
          <t>陈子凡</t>
        </is>
      </c>
      <c r="B5" s="7" t="n">
        <v>16</v>
      </c>
      <c r="C5" s="7" t="n">
        <v>4</v>
      </c>
      <c r="D5" s="9" t="n">
        <v>0.25</v>
      </c>
      <c r="E5" s="7" t="n">
        <v>3</v>
      </c>
      <c r="F5" s="7" t="n">
        <v>2</v>
      </c>
      <c r="G5" s="7" t="n">
        <v>1</v>
      </c>
      <c r="H5" s="7" t="n">
        <v>0</v>
      </c>
      <c r="I5" s="7" t="n">
        <v>8</v>
      </c>
      <c r="J5" s="9" t="n">
        <v>0.5</v>
      </c>
      <c r="K5" s="7" t="n">
        <v>4</v>
      </c>
      <c r="L5" s="7" t="n">
        <v>4</v>
      </c>
      <c r="M5" s="7" t="n">
        <v>0</v>
      </c>
      <c r="N5" s="9" t="n">
        <v>0.375</v>
      </c>
    </row>
    <row r="6" ht="22" customHeight="1">
      <c r="A6" s="7" t="inlineStr">
        <is>
          <t>张硕</t>
        </is>
      </c>
      <c r="B6" s="7" t="n">
        <v>5</v>
      </c>
      <c r="C6" s="7" t="n">
        <v>1</v>
      </c>
      <c r="D6" s="9" t="n">
        <v>0.2</v>
      </c>
      <c r="E6" s="7" t="n">
        <v>1</v>
      </c>
      <c r="F6" s="7" t="n">
        <v>1</v>
      </c>
      <c r="G6" s="7" t="n">
        <v>1</v>
      </c>
      <c r="H6" s="7" t="n">
        <v>0</v>
      </c>
      <c r="I6" s="7" t="n">
        <v>2</v>
      </c>
      <c r="J6" s="9" t="n">
        <v>0.4</v>
      </c>
      <c r="K6" s="7" t="n">
        <v>0</v>
      </c>
      <c r="L6" s="7" t="n">
        <v>0</v>
      </c>
      <c r="M6" s="7" t="n">
        <v>2</v>
      </c>
      <c r="N6" s="9" t="n">
        <v>0.3333333333333333</v>
      </c>
    </row>
    <row r="7" ht="22" customHeight="1">
      <c r="A7" s="7" t="inlineStr">
        <is>
          <t>王伟超</t>
        </is>
      </c>
      <c r="B7" s="7" t="n">
        <v>5</v>
      </c>
      <c r="C7" s="7" t="n">
        <v>1</v>
      </c>
      <c r="D7" s="9" t="n">
        <v>0.2</v>
      </c>
      <c r="E7" s="7" t="n">
        <v>1</v>
      </c>
      <c r="F7" s="7" t="n">
        <v>1</v>
      </c>
      <c r="G7" s="7" t="n">
        <v>0</v>
      </c>
      <c r="H7" s="7" t="n">
        <v>0</v>
      </c>
      <c r="I7" s="7" t="n">
        <v>2</v>
      </c>
      <c r="J7" s="9" t="n">
        <v>0.4</v>
      </c>
      <c r="K7" s="7" t="n">
        <v>1</v>
      </c>
      <c r="L7" s="7" t="n">
        <v>1</v>
      </c>
      <c r="M7" s="7" t="n">
        <v>0</v>
      </c>
      <c r="N7" s="9" t="n">
        <v>0.3333333333333333</v>
      </c>
    </row>
    <row r="8" ht="22" customHeight="1">
      <c r="A8" s="7" t="inlineStr">
        <is>
          <t>陈辉</t>
        </is>
      </c>
      <c r="B8" s="7" t="n">
        <v>17</v>
      </c>
      <c r="C8" s="7" t="n">
        <v>3</v>
      </c>
      <c r="D8" s="9" t="n">
        <v>0.1764705882352941</v>
      </c>
      <c r="E8" s="7" t="n">
        <v>3</v>
      </c>
      <c r="F8" s="7" t="n">
        <v>6</v>
      </c>
      <c r="G8" s="7" t="n">
        <v>0</v>
      </c>
      <c r="H8" s="7" t="n">
        <v>0</v>
      </c>
      <c r="I8" s="7" t="n">
        <v>5</v>
      </c>
      <c r="J8" s="9" t="n">
        <v>0.2941176470588235</v>
      </c>
      <c r="K8" s="7" t="n">
        <v>3</v>
      </c>
      <c r="L8" s="7" t="n">
        <v>2</v>
      </c>
      <c r="M8" s="7" t="n">
        <v>0</v>
      </c>
      <c r="N8" s="9" t="n">
        <v>0.25</v>
      </c>
    </row>
    <row r="9" ht="22" customHeight="1">
      <c r="A9" s="7" t="inlineStr">
        <is>
          <t>崔阳</t>
        </is>
      </c>
      <c r="B9" s="7" t="n">
        <v>38</v>
      </c>
      <c r="C9" s="7" t="n">
        <v>5</v>
      </c>
      <c r="D9" s="9" t="n">
        <v>0.131578947368421</v>
      </c>
      <c r="E9" s="7" t="n">
        <v>5</v>
      </c>
      <c r="F9" s="7" t="n">
        <v>1</v>
      </c>
      <c r="G9" s="7" t="n">
        <v>4</v>
      </c>
      <c r="H9" s="7" t="n">
        <v>1</v>
      </c>
      <c r="I9" s="7" t="n">
        <v>19</v>
      </c>
      <c r="J9" s="9" t="n">
        <v>0.5</v>
      </c>
      <c r="K9" s="7" t="n">
        <v>1</v>
      </c>
      <c r="L9" s="7" t="n">
        <v>0</v>
      </c>
      <c r="M9" s="7" t="n">
        <v>1</v>
      </c>
      <c r="N9" s="9" t="n">
        <v>0.2631578947368421</v>
      </c>
    </row>
    <row r="10" ht="22" customHeight="1">
      <c r="A10" s="7" t="inlineStr">
        <is>
          <t>王伟乐</t>
        </is>
      </c>
      <c r="B10" s="7" t="n">
        <v>8</v>
      </c>
      <c r="C10" s="7" t="n">
        <v>1</v>
      </c>
      <c r="D10" s="9" t="n">
        <v>0.125</v>
      </c>
      <c r="E10" s="7" t="n">
        <v>1</v>
      </c>
      <c r="F10" s="7" t="n">
        <v>1</v>
      </c>
      <c r="G10" s="7" t="n">
        <v>1</v>
      </c>
      <c r="H10" s="7" t="n">
        <v>0</v>
      </c>
      <c r="I10" s="7" t="n">
        <v>4</v>
      </c>
      <c r="J10" s="9" t="n">
        <v>0.5</v>
      </c>
      <c r="K10" s="7" t="n">
        <v>2</v>
      </c>
      <c r="L10" s="7" t="n">
        <v>1</v>
      </c>
      <c r="M10" s="7" t="n">
        <v>4</v>
      </c>
      <c r="N10" s="9" t="n">
        <v>0.25</v>
      </c>
    </row>
    <row r="11" ht="22" customHeight="1">
      <c r="A11" s="7" t="inlineStr">
        <is>
          <t>马鹏飞</t>
        </is>
      </c>
      <c r="B11" s="7" t="n">
        <v>11</v>
      </c>
      <c r="C11" s="7" t="n">
        <v>1</v>
      </c>
      <c r="D11" s="9" t="n">
        <v>0.09090909090909091</v>
      </c>
      <c r="E11" s="7" t="n">
        <v>1</v>
      </c>
      <c r="F11" s="7" t="n">
        <v>0</v>
      </c>
      <c r="G11" s="7" t="n">
        <v>0</v>
      </c>
      <c r="H11" s="7" t="n">
        <v>0</v>
      </c>
      <c r="I11" s="7" t="n">
        <v>7</v>
      </c>
      <c r="J11" s="9" t="n">
        <v>0.6363636363636364</v>
      </c>
      <c r="K11" s="7" t="n">
        <v>0</v>
      </c>
      <c r="L11" s="7" t="n">
        <v>0</v>
      </c>
      <c r="M11" s="7" t="n">
        <v>4</v>
      </c>
      <c r="N11" s="9" t="n">
        <v>0.25</v>
      </c>
    </row>
    <row r="12" ht="22" customHeight="1">
      <c r="A12" s="7" t="inlineStr">
        <is>
          <t>尹韬越</t>
        </is>
      </c>
      <c r="B12" s="7" t="n">
        <v>13</v>
      </c>
      <c r="C12" s="7" t="n">
        <v>1</v>
      </c>
      <c r="D12" s="9" t="n">
        <v>0.07692307692307693</v>
      </c>
      <c r="E12" s="7" t="n">
        <v>1</v>
      </c>
      <c r="F12" s="7" t="n">
        <v>0</v>
      </c>
      <c r="G12" s="7" t="n">
        <v>2</v>
      </c>
      <c r="H12" s="7" t="n">
        <v>1</v>
      </c>
      <c r="I12" s="7" t="n">
        <v>9</v>
      </c>
      <c r="J12" s="9" t="n">
        <v>0.6923076923076923</v>
      </c>
      <c r="K12" s="7" t="n">
        <v>0</v>
      </c>
      <c r="L12" s="7" t="n">
        <v>0</v>
      </c>
      <c r="M12" s="7" t="n">
        <v>5</v>
      </c>
      <c r="N12" s="9" t="n">
        <v>0.25</v>
      </c>
    </row>
    <row r="13" ht="22" customHeight="1">
      <c r="A13" s="7" t="inlineStr">
        <is>
          <t>司斌</t>
        </is>
      </c>
      <c r="B13" s="7" t="n">
        <v>17</v>
      </c>
      <c r="C13" s="7" t="n">
        <v>1</v>
      </c>
      <c r="D13" s="9" t="n">
        <v>0.05882352941176471</v>
      </c>
      <c r="E13" s="7" t="n">
        <v>1</v>
      </c>
      <c r="F13" s="7" t="n">
        <v>3</v>
      </c>
      <c r="G13" s="7" t="n">
        <v>5</v>
      </c>
      <c r="H13" s="7" t="n">
        <v>2</v>
      </c>
      <c r="I13" s="7" t="n">
        <v>6</v>
      </c>
      <c r="J13" s="9" t="n">
        <v>0.3529411764705883</v>
      </c>
      <c r="K13" s="7" t="n">
        <v>1</v>
      </c>
      <c r="L13" s="7" t="n">
        <v>1</v>
      </c>
      <c r="M13" s="7" t="n">
        <v>2</v>
      </c>
      <c r="N13" s="9" t="n">
        <v>0.09090909090909091</v>
      </c>
    </row>
  </sheetData>
  <autoFilter ref="A1:N13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.2" customWidth="1" min="2" max="2"/>
    <col width="8.800000000000001" customWidth="1" min="3" max="3"/>
    <col width="12.2" customWidth="1" min="4" max="4"/>
    <col width="8.800000000000001" customWidth="1" min="5" max="5"/>
  </cols>
  <sheetData>
    <row r="1" ht="32" customHeight="1">
      <c r="A1" s="15" t="inlineStr">
        <is>
          <t>业务员</t>
        </is>
      </c>
      <c r="B1" s="15" t="inlineStr">
        <is>
          <t>提报任务总数</t>
        </is>
      </c>
      <c r="C1" s="15" t="inlineStr">
        <is>
          <t>有效在手</t>
        </is>
      </c>
      <c r="D1" s="15" t="inlineStr">
        <is>
          <t>前期调研任务</t>
        </is>
      </c>
      <c r="E1" s="15" t="inlineStr">
        <is>
          <t>该结未结</t>
        </is>
      </c>
    </row>
    <row r="2" ht="22" customHeight="1">
      <c r="A2" s="7" t="inlineStr">
        <is>
          <t>韩鸿彪</t>
        </is>
      </c>
      <c r="B2" s="7" t="n">
        <v>11</v>
      </c>
      <c r="C2" s="7" t="n">
        <v>4</v>
      </c>
      <c r="D2" s="7" t="n">
        <v>0</v>
      </c>
      <c r="E2" s="7" t="n">
        <v>1</v>
      </c>
    </row>
    <row r="3" ht="22" customHeight="1">
      <c r="A3" s="7" t="inlineStr">
        <is>
          <t>冯乐</t>
        </is>
      </c>
      <c r="B3" s="7" t="n">
        <v>6</v>
      </c>
      <c r="C3" s="7" t="n">
        <v>2</v>
      </c>
      <c r="D3" s="7" t="n">
        <v>2</v>
      </c>
      <c r="E3" s="7" t="n">
        <v>0</v>
      </c>
    </row>
    <row r="4" ht="22" customHeight="1">
      <c r="A4" s="7" t="inlineStr">
        <is>
          <t>苗恒</t>
        </is>
      </c>
      <c r="B4" s="7" t="n">
        <v>18</v>
      </c>
      <c r="C4" s="7" t="n">
        <v>5</v>
      </c>
      <c r="D4" s="7" t="n">
        <v>0</v>
      </c>
      <c r="E4" s="7" t="n">
        <v>1</v>
      </c>
    </row>
    <row r="5" ht="22" customHeight="1">
      <c r="A5" s="7" t="inlineStr">
        <is>
          <t>陈子凡</t>
        </is>
      </c>
      <c r="B5" s="7" t="n">
        <v>16</v>
      </c>
      <c r="C5" s="7" t="n">
        <v>3</v>
      </c>
      <c r="D5" s="7" t="n">
        <v>2</v>
      </c>
      <c r="E5" s="7" t="n">
        <v>1</v>
      </c>
    </row>
    <row r="6" ht="22" customHeight="1">
      <c r="A6" s="7" t="inlineStr">
        <is>
          <t>张硕</t>
        </is>
      </c>
      <c r="B6" s="7" t="n">
        <v>5</v>
      </c>
      <c r="C6" s="7" t="n">
        <v>1</v>
      </c>
      <c r="D6" s="7" t="n">
        <v>1</v>
      </c>
      <c r="E6" s="7" t="n">
        <v>1</v>
      </c>
    </row>
    <row r="7" ht="22" customHeight="1">
      <c r="A7" s="7" t="inlineStr">
        <is>
          <t>王伟超</t>
        </is>
      </c>
      <c r="B7" s="7" t="n">
        <v>5</v>
      </c>
      <c r="C7" s="7" t="n">
        <v>1</v>
      </c>
      <c r="D7" s="7" t="n">
        <v>1</v>
      </c>
      <c r="E7" s="7" t="n">
        <v>0</v>
      </c>
    </row>
    <row r="8" ht="22" customHeight="1">
      <c r="A8" s="7" t="inlineStr">
        <is>
          <t>陈辉</t>
        </is>
      </c>
      <c r="B8" s="7" t="n">
        <v>17</v>
      </c>
      <c r="C8" s="7" t="n">
        <v>3</v>
      </c>
      <c r="D8" s="7" t="n">
        <v>7</v>
      </c>
      <c r="E8" s="7" t="n">
        <v>0</v>
      </c>
    </row>
    <row r="9" ht="22" customHeight="1">
      <c r="A9" s="7" t="inlineStr">
        <is>
          <t>崔阳</t>
        </is>
      </c>
      <c r="B9" s="7" t="n">
        <v>38</v>
      </c>
      <c r="C9" s="7" t="n">
        <v>5</v>
      </c>
      <c r="D9" s="7" t="n">
        <v>1</v>
      </c>
      <c r="E9" s="7" t="n">
        <v>4</v>
      </c>
    </row>
    <row r="10" ht="22" customHeight="1">
      <c r="A10" s="7" t="inlineStr">
        <is>
          <t>王伟乐</t>
        </is>
      </c>
      <c r="B10" s="7" t="n">
        <v>8</v>
      </c>
      <c r="C10" s="7" t="n">
        <v>1</v>
      </c>
      <c r="D10" s="7" t="n">
        <v>1</v>
      </c>
      <c r="E10" s="7" t="n">
        <v>1</v>
      </c>
    </row>
    <row r="11" ht="22" customHeight="1">
      <c r="A11" s="7" t="inlineStr">
        <is>
          <t>马鹏飞</t>
        </is>
      </c>
      <c r="B11" s="7" t="n">
        <v>11</v>
      </c>
      <c r="C11" s="7" t="n">
        <v>1</v>
      </c>
      <c r="D11" s="7" t="n">
        <v>0</v>
      </c>
      <c r="E11" s="7" t="n">
        <v>0</v>
      </c>
    </row>
    <row r="12" ht="22" customHeight="1">
      <c r="A12" s="7" t="inlineStr">
        <is>
          <t>尹韬越</t>
        </is>
      </c>
      <c r="B12" s="7" t="n">
        <v>13</v>
      </c>
      <c r="C12" s="7" t="n">
        <v>1</v>
      </c>
      <c r="D12" s="7" t="n">
        <v>0</v>
      </c>
      <c r="E12" s="7" t="n">
        <v>2</v>
      </c>
    </row>
    <row r="13" ht="22" customHeight="1">
      <c r="A13" s="7" t="inlineStr">
        <is>
          <t>司斌</t>
        </is>
      </c>
      <c r="B13" s="7" t="n">
        <v>17</v>
      </c>
      <c r="C13" s="7" t="n">
        <v>1</v>
      </c>
      <c r="D13" s="7" t="n">
        <v>3</v>
      </c>
      <c r="E13" s="7" t="n">
        <v>5</v>
      </c>
    </row>
  </sheetData>
  <autoFilter ref="A1:E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28" customWidth="1" min="4" max="4"/>
    <col width="18" customWidth="1" min="5" max="5"/>
    <col width="10" customWidth="1" min="6" max="6"/>
    <col width="28" customWidth="1" min="7" max="7"/>
    <col width="12" customWidth="1" min="8" max="8"/>
    <col width="55" customWidth="1" min="9" max="9"/>
    <col width="70" customWidth="1" min="10" max="10"/>
  </cols>
  <sheetData>
    <row r="1" ht="28" customHeight="1">
      <c r="A1" s="54" t="inlineStr">
        <is>
          <t>组别</t>
        </is>
      </c>
      <c r="B1" s="54" t="inlineStr">
        <is>
          <t>业务员</t>
        </is>
      </c>
      <c r="C1" s="54" t="inlineStr">
        <is>
          <t>序号</t>
        </is>
      </c>
      <c r="D1" s="54" t="inlineStr">
        <is>
          <t>项目</t>
        </is>
      </c>
      <c r="E1" s="54" t="inlineStr">
        <is>
          <t>状态</t>
        </is>
      </c>
      <c r="F1" s="54" t="inlineStr">
        <is>
          <t>判断</t>
        </is>
      </c>
      <c r="G1" s="54" t="inlineStr">
        <is>
          <t>一句话</t>
        </is>
      </c>
      <c r="H1" s="54" t="inlineStr">
        <is>
          <t>跟进质量</t>
        </is>
      </c>
      <c r="I1" s="54" t="inlineStr">
        <is>
          <t>任务标题</t>
        </is>
      </c>
      <c r="J1" s="54" t="inlineStr">
        <is>
          <t>当前进展</t>
        </is>
      </c>
    </row>
    <row r="2" ht="42" customHeight="1">
      <c r="A2" s="55" t="inlineStr">
        <is>
          <t>一组</t>
        </is>
      </c>
      <c r="B2" s="55" t="inlineStr">
        <is>
          <t>陈子凡</t>
        </is>
      </c>
      <c r="C2" s="55" t="n">
        <v>30</v>
      </c>
      <c r="D2" s="56" t="inlineStr">
        <is>
          <t>蒙古 MAK 2×150 吨小仓</t>
        </is>
      </c>
      <c r="E2" s="55" t="inlineStr">
        <is>
          <t>已结项-签约</t>
        </is>
      </c>
      <c r="F2" s="57" t="inlineStr">
        <is>
          <t>已签约</t>
        </is>
      </c>
      <c r="G2" s="56" t="inlineStr">
        <is>
          <t>样本内唯一签约</t>
        </is>
      </c>
      <c r="H2" s="55" t="inlineStr">
        <is>
          <t>规范闭环</t>
        </is>
      </c>
      <c r="I2" s="56" t="inlineStr">
        <is>
          <t>20260302 C00007247 MAK 陈子凡 2x150吨小仓方案 报价</t>
        </is>
      </c>
      <c r="J2" s="56" t="inlineStr">
        <is>
          <t>已成交</t>
        </is>
      </c>
    </row>
    <row r="3" ht="42" customHeight="1">
      <c r="A3" s="55" t="inlineStr">
        <is>
          <t>一组</t>
        </is>
      </c>
      <c r="B3" s="55" t="inlineStr">
        <is>
          <t>陈子凡</t>
        </is>
      </c>
      <c r="C3" s="55" t="n">
        <v>22</v>
      </c>
      <c r="D3" s="56" t="inlineStr">
        <is>
          <t>蒙古 MAK 气力输送更新</t>
        </is>
      </c>
      <c r="E3" s="55" t="inlineStr">
        <is>
          <t>进行中（近期可成交）</t>
        </is>
      </c>
      <c r="F3" s="57" t="inlineStr">
        <is>
          <t>有效</t>
        </is>
      </c>
      <c r="G3" s="56" t="inlineStr">
        <is>
          <t>最接近成单的在手重点</t>
        </is>
      </c>
      <c r="H3" s="57" t="inlineStr">
        <is>
          <t>有效跟进</t>
        </is>
      </c>
      <c r="I3" s="56" t="inlineStr">
        <is>
          <t>C00007247｜陈子凡｜工业｜MAK砖厂现有气力输送系统更新项目 ｜方案V1 | 重点项目</t>
        </is>
      </c>
      <c r="J3" s="56" t="inlineStr">
        <is>
          <t>报价中</t>
        </is>
      </c>
    </row>
    <row r="4" ht="42" customHeight="1">
      <c r="A4" s="55" t="inlineStr">
        <is>
          <t>一组</t>
        </is>
      </c>
      <c r="B4" s="55" t="inlineStr">
        <is>
          <t>陈子凡</t>
        </is>
      </c>
      <c r="C4" s="55" t="n">
        <v>29</v>
      </c>
      <c r="D4" s="56" t="inlineStr">
        <is>
          <t>菲律宾生力取料机</t>
        </is>
      </c>
      <c r="E4" s="55" t="inlineStr">
        <is>
          <t>进行中</t>
        </is>
      </c>
      <c r="F4" s="57" t="inlineStr">
        <is>
          <t>有效</t>
        </is>
      </c>
      <c r="G4" s="56" t="inlineStr">
        <is>
          <t>等授标</t>
        </is>
      </c>
      <c r="H4" s="57" t="inlineStr">
        <is>
          <t>有效跟进</t>
        </is>
      </c>
      <c r="I4" s="56" t="inlineStr">
        <is>
          <t>20260304 菲律宾生力集团 取料机报价</t>
        </is>
      </c>
      <c r="J4" s="56" t="inlineStr">
        <is>
          <t>等授标通知</t>
        </is>
      </c>
    </row>
    <row r="5" ht="42" customHeight="1">
      <c r="A5" s="55" t="inlineStr">
        <is>
          <t>一组</t>
        </is>
      </c>
      <c r="B5" s="55" t="inlineStr">
        <is>
          <t>陈子凡</t>
        </is>
      </c>
      <c r="C5" s="55" t="n">
        <v>24</v>
      </c>
      <c r="D5" s="56" t="inlineStr">
        <is>
          <t>MONCEMENT 3×2000 水泥中转</t>
        </is>
      </c>
      <c r="E5" s="55" t="inlineStr">
        <is>
          <t>进行中</t>
        </is>
      </c>
      <c r="F5" s="57" t="inlineStr">
        <is>
          <t>有效</t>
        </is>
      </c>
      <c r="G5" s="56" t="inlineStr">
        <is>
          <t>拜访后更新方案</t>
        </is>
      </c>
      <c r="H5" s="57" t="inlineStr">
        <is>
          <t>有效跟进</t>
        </is>
      </c>
      <c r="I5" s="56" t="inlineStr">
        <is>
          <t>C00009104｜陈子凡｜工业｜MONCEMENT 3x2000水泥中转站｜方案V2 | 重点项目</t>
        </is>
      </c>
      <c r="J5" s="56" t="inlineStr">
        <is>
          <t>更新方案中。拜访后按要求更新方案，有望近期落地</t>
        </is>
      </c>
    </row>
    <row r="6" ht="42" customHeight="1">
      <c r="A6" s="55" t="inlineStr">
        <is>
          <t>二组</t>
        </is>
      </c>
      <c r="B6" s="55" t="inlineStr">
        <is>
          <t>司斌</t>
        </is>
      </c>
      <c r="C6" s="55" t="n">
        <v>124</v>
      </c>
      <c r="D6" s="56" t="inlineStr">
        <is>
          <t>斯里兰卡 30×3500 稻谷</t>
        </is>
      </c>
      <c r="E6" s="55" t="inlineStr">
        <is>
          <t>进行中</t>
        </is>
      </c>
      <c r="F6" s="57" t="inlineStr">
        <is>
          <t>有效</t>
        </is>
      </c>
      <c r="G6" s="56" t="inlineStr">
        <is>
          <t>已到决策期，钢构单价拿不到</t>
        </is>
      </c>
      <c r="H6" s="57" t="inlineStr">
        <is>
          <t>有效跟进</t>
        </is>
      </c>
      <c r="I6" s="56" t="inlineStr">
        <is>
          <t>C00009649｜司斌｜粮食｜斯里兰卡30*3500T稻谷仓 |方案V1|重点项目</t>
        </is>
      </c>
      <c r="J6" s="56" t="inlineStr">
        <is>
          <t>老板自行决策，目前已到决策期，但是钢结构部分的报价客户告知6200CNY每吨，FOB含螺栓，采购部告知这个价格拿不到。客户对供货商成本把控严格，对国内采购价格深度熟悉，如果没有合适的价格，我们没有任何机会</t>
        </is>
      </c>
    </row>
    <row r="7" ht="42" customHeight="1">
      <c r="A7" s="55" t="inlineStr">
        <is>
          <t>二组</t>
        </is>
      </c>
      <c r="B7" s="55" t="inlineStr">
        <is>
          <t>王伟超</t>
        </is>
      </c>
      <c r="C7" s="55" t="n">
        <v>141</v>
      </c>
      <c r="D7" s="56" t="inlineStr">
        <is>
          <t>哥斯达黎加咖啡仓</t>
        </is>
      </c>
      <c r="E7" s="55" t="inlineStr">
        <is>
          <t>进行中</t>
        </is>
      </c>
      <c r="F7" s="57" t="inlineStr">
        <is>
          <t>有效</t>
        </is>
      </c>
      <c r="G7" s="56" t="inlineStr">
        <is>
          <t>到过工厂，多次改图</t>
        </is>
      </c>
      <c r="H7" s="57" t="inlineStr">
        <is>
          <t>有效跟进</t>
        </is>
      </c>
      <c r="I7" s="56" t="inlineStr">
        <is>
          <t>C00009044｜王伟超｜粮食｜哥斯达黎加室外2个175吨，室内32个咖啡豆仓｜方案V5 | 重点项目</t>
        </is>
      </c>
      <c r="J7" s="56" t="inlineStr">
        <is>
          <t>已参观过公司和工厂，已发方案和报价，并且更新过多次方案与报价，正在调整图纸的细节变化，并且需要契合对方厂房中设备的安装位置，等待对方回复</t>
        </is>
      </c>
    </row>
    <row r="8" ht="42" customHeight="1">
      <c r="A8" s="55" t="inlineStr">
        <is>
          <t>三组</t>
        </is>
      </c>
      <c r="B8" s="55" t="inlineStr">
        <is>
          <t>王伟乐</t>
        </is>
      </c>
      <c r="C8" s="55" t="n">
        <v>146</v>
      </c>
      <c r="D8" s="56" t="inlineStr">
        <is>
          <t>新加坡裕廊港 12×10000</t>
        </is>
      </c>
      <c r="E8" s="55" t="inlineStr">
        <is>
          <t>进行中</t>
        </is>
      </c>
      <c r="F8" s="57" t="inlineStr">
        <is>
          <t>有效</t>
        </is>
      </c>
      <c r="G8" s="56" t="inlineStr">
        <is>
          <t>最新价澄清中</t>
        </is>
      </c>
      <c r="H8" s="57" t="inlineStr">
        <is>
          <t>有效跟进</t>
        </is>
      </c>
      <c r="I8" s="56" t="inlineStr">
        <is>
          <t>C00008344 |王伟乐|工业| 新加披裕廊港12*10000t水泥钢板仓项目|方案V1|重点项目</t>
        </is>
      </c>
      <c r="J8" s="56" t="inlineStr">
        <is>
          <t>在更新方案和报价给咨询公司做前期招投标准备，目前报了一版最新的价格，还在澄清</t>
        </is>
      </c>
    </row>
    <row r="9" ht="42" customHeight="1">
      <c r="A9" s="55" t="inlineStr">
        <is>
          <t>三组</t>
        </is>
      </c>
      <c r="B9" s="55" t="inlineStr">
        <is>
          <t>王伟乐</t>
        </is>
      </c>
      <c r="C9" s="55" t="n">
        <v>151</v>
      </c>
      <c r="D9" s="56" t="inlineStr">
        <is>
          <t>摩洛哥 CIMAF 1×700</t>
        </is>
      </c>
      <c r="E9" s="55" t="inlineStr">
        <is>
          <t>进行中</t>
        </is>
      </c>
      <c r="F9" s="58" t="inlineStr">
        <is>
          <t>浅层</t>
        </is>
      </c>
      <c r="G9" s="56" t="inlineStr">
        <is>
          <t>已报价、库龄偏长</t>
        </is>
      </c>
      <c r="H9" s="58" t="inlineStr">
        <is>
          <t>浅层等待</t>
        </is>
      </c>
      <c r="I9" s="56" t="inlineStr">
        <is>
          <t>C00007413|王伟乐|工业|摩洛哥CIMAF 1*700t 水泥装配仓项目|方案V7|重点项目</t>
        </is>
      </c>
      <c r="J9" s="56" t="inlineStr">
        <is>
          <t>已报价，还在继续跟进，属于毛里塔尼亚老客户总部的项目</t>
        </is>
      </c>
    </row>
    <row r="10" ht="42" customHeight="1">
      <c r="A10" s="55" t="inlineStr">
        <is>
          <t>五组</t>
        </is>
      </c>
      <c r="B10" s="55" t="inlineStr">
        <is>
          <t>陈辉</t>
        </is>
      </c>
      <c r="C10" s="55" t="n">
        <v>2</v>
      </c>
      <c r="D10" s="56" t="inlineStr">
        <is>
          <t>韩国大宇 3 万吨磷矿粉</t>
        </is>
      </c>
      <c r="E10" s="55" t="inlineStr">
        <is>
          <t>进行中</t>
        </is>
      </c>
      <c r="F10" s="57" t="inlineStr">
        <is>
          <t>有效</t>
        </is>
      </c>
      <c r="G10" s="56" t="inlineStr">
        <is>
          <t>多次报价，比仓型</t>
        </is>
      </c>
      <c r="H10" s="57" t="inlineStr">
        <is>
          <t>有效跟进</t>
        </is>
      </c>
      <c r="I10" s="56" t="inlineStr">
        <is>
          <t>C00007339｜陈辉｜工业｜韩国大宇3万吨磷矿粉项目｜方案V1 | 重点项目</t>
        </is>
      </c>
      <c r="J10" s="56" t="inlineStr">
        <is>
          <t>大宇在土库曼化肥厂项目，仓型各种变化和多次报价后，目前最后一版是焊接仓的EPC。用户和大宇还在比较仓型。</t>
        </is>
      </c>
    </row>
    <row r="11" ht="42" customHeight="1">
      <c r="A11" s="55" t="inlineStr">
        <is>
          <t>五组</t>
        </is>
      </c>
      <c r="B11" s="55" t="inlineStr">
        <is>
          <t>陈辉</t>
        </is>
      </c>
      <c r="C11" s="55" t="n">
        <v>12</v>
      </c>
      <c r="D11" s="56" t="inlineStr">
        <is>
          <t>Lanwa 水泥混拌</t>
        </is>
      </c>
      <c r="E11" s="55" t="inlineStr">
        <is>
          <t>进行中</t>
        </is>
      </c>
      <c r="F11" s="57" t="inlineStr">
        <is>
          <t>有效</t>
        </is>
      </c>
      <c r="G11" s="56" t="inlineStr">
        <is>
          <t>老客户，利润被压</t>
        </is>
      </c>
      <c r="H11" s="57" t="inlineStr">
        <is>
          <t>有效跟进</t>
        </is>
      </c>
      <c r="I11" s="56" t="inlineStr">
        <is>
          <t>C00008180｜陈辉｜工业｜Lanwa水泥混拌系统｜方案V1 | 重点项目</t>
        </is>
      </c>
      <c r="J11" s="56" t="inlineStr">
        <is>
          <t>老客户，项目含3个仓+混拌（mixer客户从其他供应商订购），客户中国通，对中国钢材加工价格十万分的了解，仅允许报价有合理利润，超出会选其他供应商。</t>
        </is>
      </c>
    </row>
    <row r="12" ht="42" customHeight="1">
      <c r="A12" s="55" t="inlineStr">
        <is>
          <t>五组</t>
        </is>
      </c>
      <c r="B12" s="55" t="inlineStr">
        <is>
          <t>陈辉</t>
        </is>
      </c>
      <c r="C12" s="55" t="n">
        <v>6</v>
      </c>
      <c r="D12" s="56" t="inlineStr">
        <is>
          <t>塞拉利昂 2×3 万吨 clinker</t>
        </is>
      </c>
      <c r="E12" s="55" t="inlineStr">
        <is>
          <t>进行中</t>
        </is>
      </c>
      <c r="F12" s="58" t="inlineStr">
        <is>
          <t>前期</t>
        </is>
      </c>
      <c r="G12" s="56" t="inlineStr">
        <is>
          <t>已拜访，缺资金</t>
        </is>
      </c>
      <c r="H12" s="58" t="inlineStr">
        <is>
          <t>前期调研</t>
        </is>
      </c>
      <c r="I12" s="56" t="inlineStr">
        <is>
          <t>C00002715｜陈辉｜工业｜塞拉利昂2个3万吨clinker项目｜方案V1 | 重点项目</t>
        </is>
      </c>
      <c r="J12" s="56" t="inlineStr">
        <is>
          <t>已去拜访客户，客户想法很多，缺资金。</t>
        </is>
      </c>
    </row>
    <row r="13" ht="42" customHeight="1">
      <c r="A13" s="55" t="inlineStr">
        <is>
          <t>五组</t>
        </is>
      </c>
      <c r="B13" s="55" t="inlineStr">
        <is>
          <t>冯乐</t>
        </is>
      </c>
      <c r="C13" s="55" t="n">
        <v>72</v>
      </c>
      <c r="D13" s="56" t="inlineStr">
        <is>
          <t>坦桑 2×4500 小麦仓</t>
        </is>
      </c>
      <c r="E13" s="55" t="inlineStr">
        <is>
          <t>进行中</t>
        </is>
      </c>
      <c r="F13" s="57" t="inlineStr">
        <is>
          <t>有效</t>
        </is>
      </c>
      <c r="G13" s="56" t="inlineStr">
        <is>
          <t>曾接受报价，新要求已反馈</t>
        </is>
      </c>
      <c r="H13" s="57" t="inlineStr">
        <is>
          <t>有效跟进</t>
        </is>
      </c>
      <c r="I13" s="56" t="inlineStr">
        <is>
          <t>C00009678｜冯乐｜坦桑尼亚｜小麦2×4500T装配仓项目｜方案V1 | 重点项目</t>
        </is>
      </c>
      <c r="J13" s="56" t="inlineStr">
        <is>
          <t>客户主营粮食加工，此前已接受我方报价。回国与工程团队商讨后，客户提出了新要求，我方已做技术反馈。目前客户需视其农场情况再作回复。</t>
        </is>
      </c>
    </row>
    <row r="14" ht="42" customHeight="1">
      <c r="A14" s="55" t="inlineStr">
        <is>
          <t>六组</t>
        </is>
      </c>
      <c r="B14" s="55" t="inlineStr">
        <is>
          <t>苗恒</t>
        </is>
      </c>
      <c r="C14" s="55" t="n">
        <v>109</v>
      </c>
      <c r="D14" s="56" t="inlineStr">
        <is>
          <t>墨西哥大型粮仓</t>
        </is>
      </c>
      <c r="E14" s="55" t="inlineStr">
        <is>
          <t>进行中</t>
        </is>
      </c>
      <c r="F14" s="57" t="inlineStr">
        <is>
          <t>有效</t>
        </is>
      </c>
      <c r="G14" s="56" t="inlineStr">
        <is>
          <t>V4 后更报价 V2</t>
        </is>
      </c>
      <c r="H14" s="57" t="inlineStr">
        <is>
          <t>有效跟进</t>
        </is>
      </c>
      <c r="I14" s="56" t="inlineStr">
        <is>
          <t>C00008938｜苗恒｜粮食｜墨西哥3x10000+2x5000+4x200+1x150粮仓项目｜方案V1 | 重点项目</t>
        </is>
      </c>
      <c r="J14" s="56" t="inlineStr">
        <is>
          <t>重点项目跟进中，客户反馈比较慢，下步计划确认方案V4后更新报价V2</t>
        </is>
      </c>
    </row>
    <row r="15" ht="42" customHeight="1">
      <c r="A15" s="55" t="inlineStr">
        <is>
          <t>六组</t>
        </is>
      </c>
      <c r="B15" s="55" t="inlineStr">
        <is>
          <t>苗恒</t>
        </is>
      </c>
      <c r="C15" s="55" t="n">
        <v>114</v>
      </c>
      <c r="D15" s="56" t="inlineStr">
        <is>
          <t>孟加拉 2×3000 稻谷</t>
        </is>
      </c>
      <c r="E15" s="55" t="inlineStr">
        <is>
          <t>暂停</t>
        </is>
      </c>
      <c r="F15" s="58" t="inlineStr">
        <is>
          <t>已暂停</t>
        </is>
      </c>
      <c r="G15" s="56" t="inlineStr">
        <is>
          <t>重点已暂停，处理正确</t>
        </is>
      </c>
      <c r="H15" s="55" t="inlineStr">
        <is>
          <t>规范闭环</t>
        </is>
      </c>
      <c r="I15" s="56" t="inlineStr">
        <is>
          <t>C00008988｜苗恒｜粮食｜孟加拉2x3000吨稻谷仓项目｜方案V3 | 重点项目</t>
        </is>
      </c>
      <c r="J15" s="56" t="inlineStr">
        <is>
          <t>无</t>
        </is>
      </c>
    </row>
    <row r="16" ht="42" customHeight="1">
      <c r="A16" s="55" t="inlineStr">
        <is>
          <t>俄语组</t>
        </is>
      </c>
      <c r="B16" s="55" t="inlineStr">
        <is>
          <t>崔阳</t>
        </is>
      </c>
      <c r="C16" s="55" t="n">
        <v>58</v>
      </c>
      <c r="D16" s="56" t="inlineStr">
        <is>
          <t>75 万吨小麦深加工</t>
        </is>
      </c>
      <c r="E16" s="55" t="inlineStr">
        <is>
          <t>进行中</t>
        </is>
      </c>
      <c r="F16" s="58" t="inlineStr">
        <is>
          <t>浅层</t>
        </is>
      </c>
      <c r="G16" s="56" t="inlineStr">
        <is>
          <t>只写「进行中 重点任务」，无下一步</t>
        </is>
      </c>
      <c r="H16" s="58" t="inlineStr">
        <is>
          <t>浅层等待</t>
        </is>
      </c>
      <c r="I16" s="56" t="inlineStr">
        <is>
          <t>C00009094|崔阳|粮食|75万吨小麦深加工项目|方案V1|重点项目</t>
        </is>
      </c>
      <c r="J16" s="56" t="inlineStr">
        <is>
          <t>进行中 重点任务</t>
        </is>
      </c>
    </row>
    <row r="18">
      <c r="A18" s="59" t="inlineStr">
        <is>
          <t>15 = 已签约 1 + 进行中有效 10 + 该降级/已暂停 4（CIMAF 浅层、塞拉利昂前期、孟加拉暂停、崔阳 75 万吨浅层）。</t>
        </is>
      </c>
    </row>
  </sheetData>
  <autoFilter ref="A1:J16"/>
  <mergeCells count="1">
    <mergeCell ref="A18:J18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4" customWidth="1" min="5" max="5"/>
    <col width="18" customWidth="1" min="6" max="6"/>
  </cols>
  <sheetData>
    <row r="1" ht="28" customHeight="1">
      <c r="A1" s="54" t="inlineStr">
        <is>
          <t>组别</t>
        </is>
      </c>
      <c r="B1" s="54" t="inlineStr">
        <is>
          <t>业务员</t>
        </is>
      </c>
      <c r="C1" s="54" t="inlineStr">
        <is>
          <t>重点</t>
        </is>
      </c>
      <c r="D1" s="54" t="inlineStr">
        <is>
          <t>已签约</t>
        </is>
      </c>
      <c r="E1" s="54" t="inlineStr">
        <is>
          <t>进行中有效</t>
        </is>
      </c>
      <c r="F1" s="54" t="inlineStr">
        <is>
          <t>该降级 / 已暂停</t>
        </is>
      </c>
    </row>
    <row r="2" ht="26" customHeight="1">
      <c r="A2" s="55" t="inlineStr">
        <is>
          <t>一组</t>
        </is>
      </c>
      <c r="B2" s="60" t="inlineStr">
        <is>
          <t>陈子凡</t>
        </is>
      </c>
      <c r="C2" s="61" t="n">
        <v>4</v>
      </c>
      <c r="D2" s="55" t="n">
        <v>1</v>
      </c>
      <c r="E2" s="55" t="n">
        <v>3</v>
      </c>
      <c r="F2" s="55" t="n">
        <v>0</v>
      </c>
    </row>
    <row r="3" ht="26" customHeight="1">
      <c r="A3" s="55" t="inlineStr">
        <is>
          <t>一组</t>
        </is>
      </c>
      <c r="B3" s="55" t="inlineStr">
        <is>
          <t>张硕</t>
        </is>
      </c>
      <c r="C3" s="62" t="n">
        <v>0</v>
      </c>
      <c r="D3" s="55" t="n">
        <v>0</v>
      </c>
      <c r="E3" s="55" t="n">
        <v>0</v>
      </c>
      <c r="F3" s="55" t="n">
        <v>0</v>
      </c>
    </row>
    <row r="4" ht="26" customHeight="1">
      <c r="A4" s="55" t="inlineStr">
        <is>
          <t>二组</t>
        </is>
      </c>
      <c r="B4" s="55" t="inlineStr">
        <is>
          <t>司斌</t>
        </is>
      </c>
      <c r="C4" s="55" t="n">
        <v>1</v>
      </c>
      <c r="D4" s="55" t="n">
        <v>0</v>
      </c>
      <c r="E4" s="55" t="n">
        <v>1</v>
      </c>
      <c r="F4" s="55" t="n">
        <v>0</v>
      </c>
    </row>
    <row r="5" ht="26" customHeight="1">
      <c r="A5" s="55" t="inlineStr">
        <is>
          <t>二组</t>
        </is>
      </c>
      <c r="B5" s="55" t="inlineStr">
        <is>
          <t>王伟超</t>
        </is>
      </c>
      <c r="C5" s="55" t="n">
        <v>1</v>
      </c>
      <c r="D5" s="55" t="n">
        <v>0</v>
      </c>
      <c r="E5" s="55" t="n">
        <v>1</v>
      </c>
      <c r="F5" s="55" t="n">
        <v>0</v>
      </c>
    </row>
    <row r="6" ht="26" customHeight="1">
      <c r="A6" s="55" t="inlineStr">
        <is>
          <t>三组</t>
        </is>
      </c>
      <c r="B6" s="55" t="inlineStr">
        <is>
          <t>王伟乐</t>
        </is>
      </c>
      <c r="C6" s="55" t="n">
        <v>2</v>
      </c>
      <c r="D6" s="55" t="n">
        <v>0</v>
      </c>
      <c r="E6" s="55" t="n">
        <v>1</v>
      </c>
      <c r="F6" s="58" t="inlineStr">
        <is>
          <t>1 浅层</t>
        </is>
      </c>
    </row>
    <row r="7" ht="26" customHeight="1">
      <c r="A7" s="55" t="inlineStr">
        <is>
          <t>三组</t>
        </is>
      </c>
      <c r="B7" s="55" t="inlineStr">
        <is>
          <t>马鹏飞</t>
        </is>
      </c>
      <c r="C7" s="62" t="n">
        <v>0</v>
      </c>
      <c r="D7" s="55" t="n">
        <v>0</v>
      </c>
      <c r="E7" s="55" t="n">
        <v>0</v>
      </c>
      <c r="F7" s="55" t="n">
        <v>0</v>
      </c>
    </row>
    <row r="8" ht="26" customHeight="1">
      <c r="A8" s="55" t="inlineStr">
        <is>
          <t>五组</t>
        </is>
      </c>
      <c r="B8" s="60" t="inlineStr">
        <is>
          <t>陈辉</t>
        </is>
      </c>
      <c r="C8" s="61" t="n">
        <v>3</v>
      </c>
      <c r="D8" s="55" t="n">
        <v>0</v>
      </c>
      <c r="E8" s="55" t="n">
        <v>2</v>
      </c>
      <c r="F8" s="58" t="inlineStr">
        <is>
          <t>1 前期</t>
        </is>
      </c>
    </row>
    <row r="9" ht="26" customHeight="1">
      <c r="A9" s="55" t="inlineStr">
        <is>
          <t>五组</t>
        </is>
      </c>
      <c r="B9" s="55" t="inlineStr">
        <is>
          <t>冯乐</t>
        </is>
      </c>
      <c r="C9" s="55" t="n">
        <v>1</v>
      </c>
      <c r="D9" s="55" t="n">
        <v>0</v>
      </c>
      <c r="E9" s="55" t="n">
        <v>1</v>
      </c>
      <c r="F9" s="55" t="n">
        <v>0</v>
      </c>
    </row>
    <row r="10" ht="26" customHeight="1">
      <c r="A10" s="55" t="inlineStr">
        <is>
          <t>六组</t>
        </is>
      </c>
      <c r="B10" s="55" t="inlineStr">
        <is>
          <t>韩鸿彪</t>
        </is>
      </c>
      <c r="C10" s="62" t="n">
        <v>0</v>
      </c>
      <c r="D10" s="55" t="n">
        <v>0</v>
      </c>
      <c r="E10" s="55" t="n">
        <v>0</v>
      </c>
      <c r="F10" s="55" t="n">
        <v>0</v>
      </c>
    </row>
    <row r="11" ht="26" customHeight="1">
      <c r="A11" s="55" t="inlineStr">
        <is>
          <t>六组</t>
        </is>
      </c>
      <c r="B11" s="55" t="inlineStr">
        <is>
          <t>苗恒</t>
        </is>
      </c>
      <c r="C11" s="55" t="n">
        <v>2</v>
      </c>
      <c r="D11" s="55" t="n">
        <v>0</v>
      </c>
      <c r="E11" s="55" t="n">
        <v>1</v>
      </c>
      <c r="F11" s="58" t="inlineStr">
        <is>
          <t>1 已暂停</t>
        </is>
      </c>
    </row>
    <row r="12" ht="26" customHeight="1">
      <c r="A12" s="55" t="inlineStr">
        <is>
          <t>俄语组</t>
        </is>
      </c>
      <c r="B12" s="55" t="inlineStr">
        <is>
          <t>崔阳</t>
        </is>
      </c>
      <c r="C12" s="55" t="n">
        <v>1</v>
      </c>
      <c r="D12" s="55" t="n">
        <v>0</v>
      </c>
      <c r="E12" s="55" t="n">
        <v>0</v>
      </c>
      <c r="F12" s="58" t="inlineStr">
        <is>
          <t>1 浅层</t>
        </is>
      </c>
    </row>
    <row r="13" ht="26" customHeight="1">
      <c r="A13" s="55" t="inlineStr">
        <is>
          <t>俄语组</t>
        </is>
      </c>
      <c r="B13" s="55" t="inlineStr">
        <is>
          <t>尹韬越</t>
        </is>
      </c>
      <c r="C13" s="62" t="n">
        <v>0</v>
      </c>
      <c r="D13" s="55" t="n">
        <v>0</v>
      </c>
      <c r="E13" s="55" t="n">
        <v>0</v>
      </c>
      <c r="F13" s="55" t="n">
        <v>0</v>
      </c>
    </row>
    <row r="14" ht="24" customHeight="1">
      <c r="A14" s="63" t="inlineStr">
        <is>
          <t>合计</t>
        </is>
      </c>
      <c r="B14" s="63" t="n"/>
      <c r="C14" s="63" t="n">
        <v>15</v>
      </c>
      <c r="D14" s="63" t="n">
        <v>1</v>
      </c>
      <c r="E14" s="63" t="n">
        <v>10</v>
      </c>
      <c r="F14" s="63" t="n">
        <v>4</v>
      </c>
    </row>
    <row r="16" ht="36" customHeight="1">
      <c r="A16" s="64" t="inlineStr">
        <is>
          <t>陈子凡 4 条全有效（含唯一签约）。该降级 4 条：王伟乐 CIMAF 浅层、陈辉塞拉利昂前期、苗恒孟加拉已暂停、崔阳 75 万吨浅层。韩鸿彪未标重点，但有效项目率全员最高。</t>
        </is>
      </c>
    </row>
  </sheetData>
  <autoFilter ref="A1:F13"/>
  <mergeCells count="1">
    <mergeCell ref="A16:F16"/>
  </mergeCells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55" customWidth="1" min="4" max="4"/>
    <col width="8" customWidth="1" min="5" max="5"/>
    <col width="42" customWidth="1" min="6" max="6"/>
    <col width="8" customWidth="1" min="7" max="7"/>
    <col width="70" customWidth="1" min="8" max="8"/>
  </cols>
  <sheetData>
    <row r="1" ht="32" customHeight="1">
      <c r="A1" s="19" t="inlineStr">
        <is>
          <t>序号</t>
        </is>
      </c>
      <c r="B1" s="19" t="inlineStr">
        <is>
          <t>创建人</t>
        </is>
      </c>
      <c r="C1" s="19" t="inlineStr">
        <is>
          <t>客户编码</t>
        </is>
      </c>
      <c r="D1" s="19" t="inlineStr">
        <is>
          <t>任务标题</t>
        </is>
      </c>
      <c r="E1" s="19" t="inlineStr">
        <is>
          <t>状态</t>
        </is>
      </c>
      <c r="F1" s="19" t="inlineStr">
        <is>
          <t>判定说明</t>
        </is>
      </c>
      <c r="G1" s="19" t="inlineStr">
        <is>
          <t>库龄天</t>
        </is>
      </c>
      <c r="H1" s="19" t="inlineStr">
        <is>
          <t>当前进展</t>
        </is>
      </c>
    </row>
    <row r="2" ht="42" customHeight="1">
      <c r="A2" s="7" t="n">
        <v>1</v>
      </c>
      <c r="B2" s="7" t="inlineStr">
        <is>
          <t>陈辉</t>
        </is>
      </c>
      <c r="C2" s="7" t="inlineStr">
        <is>
          <t>C00003352</t>
        </is>
      </c>
      <c r="D2" s="7" t="inlineStr">
        <is>
          <t>C00003352｜陈辉｜工业｜埃及4万吨料场项目｜方案V1（预算）</t>
        </is>
      </c>
      <c r="E2" s="7" t="inlineStr">
        <is>
          <t>进行中</t>
        </is>
      </c>
      <c r="F2" s="7" t="inlineStr">
        <is>
          <t>港口散料库规划阶段，已报预算</t>
        </is>
      </c>
      <c r="G2" s="7" t="n"/>
      <c r="H2" s="7" t="inlineStr">
        <is>
          <t>TCI预期拿到了埃及一港口的运营权，有计划建散料库，已报预算，还在规划阶段。</t>
        </is>
      </c>
    </row>
    <row r="3" ht="42" customHeight="1">
      <c r="A3" s="7" t="n">
        <v>6</v>
      </c>
      <c r="B3" s="7" t="inlineStr">
        <is>
          <t>陈辉</t>
        </is>
      </c>
      <c r="C3" s="7" t="inlineStr">
        <is>
          <t>C00002715</t>
        </is>
      </c>
      <c r="D3" s="7" t="inlineStr">
        <is>
          <t>C00002715｜陈辉｜工业｜塞拉利昂2个3万吨clinker项目｜方案V1 | 重点项目</t>
        </is>
      </c>
      <c r="E3" s="7" t="inlineStr">
        <is>
          <t>进行中</t>
        </is>
      </c>
      <c r="F3" s="7" t="inlineStr">
        <is>
          <t>已拜访但缺资金，有效性弱</t>
        </is>
      </c>
      <c r="G3" s="7" t="n"/>
      <c r="H3" s="7" t="inlineStr">
        <is>
          <t>已去拜访客户，客户想法很多，缺资金。</t>
        </is>
      </c>
    </row>
    <row r="4" ht="42" customHeight="1">
      <c r="A4" s="7" t="n">
        <v>7</v>
      </c>
      <c r="B4" s="7" t="inlineStr">
        <is>
          <t>陈辉</t>
        </is>
      </c>
      <c r="C4" s="7" t="inlineStr">
        <is>
          <t>C00009463</t>
        </is>
      </c>
      <c r="D4" s="7" t="inlineStr">
        <is>
          <t>C00009463｜陈辉｜粮食｜突尼斯粮仓6x5,000t+10x8,000t｜方案V1</t>
        </is>
      </c>
      <c r="E4" s="7" t="inlineStr">
        <is>
          <t>进行中</t>
        </is>
      </c>
      <c r="F4" s="7" t="inlineStr">
        <is>
          <t>无资金，靠国外贷款，仍在找钱</t>
        </is>
      </c>
      <c r="G4" s="7" t="n"/>
      <c r="H4" s="7" t="inlineStr">
        <is>
          <t>突尼斯一家工程公司想建这几个粮仓，没有资金，要靠国外银行给贷款，介绍了TCI给他们。项目还在找钱的阶段。</t>
        </is>
      </c>
    </row>
    <row r="5" ht="42" customHeight="1">
      <c r="A5" s="7" t="n">
        <v>10</v>
      </c>
      <c r="B5" s="7" t="inlineStr">
        <is>
          <t>陈辉</t>
        </is>
      </c>
      <c r="C5" s="7" t="inlineStr">
        <is>
          <t>C00009244</t>
        </is>
      </c>
      <c r="D5" s="7" t="inlineStr">
        <is>
          <t>C00009244｜陈辉｜工业｜火车卸料项目｜方案V1</t>
        </is>
      </c>
      <c r="E5" s="7" t="inlineStr">
        <is>
          <t>进行中</t>
        </is>
      </c>
      <c r="F5" s="7" t="inlineStr">
        <is>
          <t>客户项目仍在计划评审</t>
        </is>
      </c>
      <c r="G5" s="7" t="n"/>
      <c r="H5" s="7" t="inlineStr">
        <is>
          <t>客户自有仓，让我们报火车卸料后进仓和出仓相关设备。
客户的项目仍在计划评审阶段。</t>
        </is>
      </c>
    </row>
    <row r="6" ht="42" customHeight="1">
      <c r="A6" s="7" t="n">
        <v>15</v>
      </c>
      <c r="B6" s="7" t="inlineStr">
        <is>
          <t>陈辉</t>
        </is>
      </c>
      <c r="C6" s="7" t="inlineStr">
        <is>
          <t>C00009244</t>
        </is>
      </c>
      <c r="D6" s="7" t="inlineStr">
        <is>
          <t>C00009244｜陈辉｜工业｜巴西钢板仓和卸到火车项目｜方案V1</t>
        </is>
      </c>
      <c r="E6" s="7" t="inlineStr">
        <is>
          <t>进行中</t>
        </is>
      </c>
      <c r="F6" s="7" t="inlineStr">
        <is>
          <t>规划阶段，只了解仓型和价格</t>
        </is>
      </c>
      <c r="G6" s="7" t="n"/>
      <c r="H6" s="7" t="inlineStr">
        <is>
          <t>规划阶段，客户未来可能有两万吨粘土仓的需求，目前只是了解仓型和价格。</t>
        </is>
      </c>
    </row>
    <row r="7" ht="42" customHeight="1">
      <c r="A7" s="7" t="n">
        <v>16</v>
      </c>
      <c r="B7" s="7" t="inlineStr">
        <is>
          <t>陈辉</t>
        </is>
      </c>
      <c r="C7" s="7" t="inlineStr">
        <is>
          <t>C00009852</t>
        </is>
      </c>
      <c r="D7" s="7" t="inlineStr">
        <is>
          <t>C00009852｜陈辉｜工业｜澳洲8x6000t水泥装配仓｜方案V1（钢构量）</t>
        </is>
      </c>
      <c r="E7" s="7" t="inlineStr">
        <is>
          <t>进行中</t>
        </is>
      </c>
      <c r="F7" s="7" t="inlineStr">
        <is>
          <t>预算，混凝土仓 vs 钢板仓评估中</t>
        </is>
      </c>
      <c r="G7" s="7" t="n"/>
      <c r="H7" s="7" t="inlineStr">
        <is>
          <t>预算。客户仍在评估是建造混凝土仓or钢板仓。</t>
        </is>
      </c>
    </row>
    <row r="8" ht="42" customHeight="1">
      <c r="A8" s="7" t="n">
        <v>17</v>
      </c>
      <c r="B8" s="7" t="inlineStr">
        <is>
          <t>陈辉</t>
        </is>
      </c>
      <c r="C8" s="7" t="inlineStr">
        <is>
          <t>C00003392</t>
        </is>
      </c>
      <c r="D8" s="7" t="inlineStr">
        <is>
          <t>C00003392｜陈辉｜工业｜莱歇6个热镀锌仓项目｜方案V1（钢构量）</t>
        </is>
      </c>
      <c r="E8" s="7" t="inlineStr">
        <is>
          <t>进行中</t>
        </is>
      </c>
      <c r="F8" s="7" t="inlineStr">
        <is>
          <t>业主拿出来询价比是否分包，要低价</t>
        </is>
      </c>
      <c r="G8" s="7" t="n"/>
      <c r="H8" s="7" t="inlineStr">
        <is>
          <t>莱歇在台北正在做的磨粉项目，这几个仓是原本是业主范围，现在想拿出来询价，来决定是分包给莱歇去做还是业主自己做。
莱歇要求足够低价。</t>
        </is>
      </c>
    </row>
    <row r="9" ht="42" customHeight="1">
      <c r="A9" s="7" t="n">
        <v>18</v>
      </c>
      <c r="B9" s="7" t="inlineStr">
        <is>
          <t>陈子凡</t>
        </is>
      </c>
      <c r="C9" s="7" t="inlineStr">
        <is>
          <t>C00009556</t>
        </is>
      </c>
      <c r="D9" s="7" t="inlineStr">
        <is>
          <t>C00009556｜陈子凡｜工业｜蒙古TESO 4x2500水泥中转站｜方案V1</t>
        </is>
      </c>
      <c r="E9" s="7" t="inlineStr">
        <is>
          <t>进行中</t>
        </is>
      </c>
      <c r="F9" s="7" t="inlineStr">
        <is>
          <t>主业食品，询价或为了解预算，见面意愿不强</t>
        </is>
      </c>
      <c r="G9" s="7" t="n"/>
      <c r="H9" s="7" t="inlineStr">
        <is>
          <t>给客户发了方案，待更新报价。准备报价中，但客户主业是食品，本次询价可能只是为了解投资预算。 8月份在蒙古期间约客户见面，客户见面意愿不强</t>
        </is>
      </c>
    </row>
    <row r="10" ht="42" customHeight="1">
      <c r="A10" s="7" t="n">
        <v>21</v>
      </c>
      <c r="B10" s="7" t="inlineStr">
        <is>
          <t>陈子凡</t>
        </is>
      </c>
      <c r="C10" s="7" t="inlineStr">
        <is>
          <t>无编码</t>
        </is>
      </c>
      <c r="D10" s="7" t="inlineStr">
        <is>
          <t>XXXXX｜陈子凡｜粮食｜北京生物质颗粒装车仓｜方案V1 | 初步方案</t>
        </is>
      </c>
      <c r="E10" s="7" t="inlineStr">
        <is>
          <t>进行中</t>
        </is>
      </c>
      <c r="F10" s="7" t="inlineStr">
        <is>
          <t>较前期，联系人出差后再联系</t>
        </is>
      </c>
      <c r="G10" s="7" t="n"/>
      <c r="H10" s="7" t="inlineStr">
        <is>
          <t>跟进中。项目较前期，联系人在出差，需要过一段时间再联系</t>
        </is>
      </c>
    </row>
    <row r="11" ht="42" customHeight="1">
      <c r="A11" s="7" t="n">
        <v>70</v>
      </c>
      <c r="B11" s="7" t="inlineStr">
        <is>
          <t>崔阳</t>
        </is>
      </c>
      <c r="C11" s="7" t="inlineStr">
        <is>
          <t>C00009506</t>
        </is>
      </c>
      <c r="D11" s="7" t="inlineStr">
        <is>
          <t>C00009506|崔阳|粮食| RUSAGRO大豆深度加工综合生产线|方案V1</t>
        </is>
      </c>
      <c r="E11" s="7" t="inlineStr">
        <is>
          <t>进行中</t>
        </is>
      </c>
      <c r="F11" s="7" t="inlineStr">
        <is>
          <t>立项阶段，我方范围小，自称暂停仍挂进行中</t>
        </is>
      </c>
      <c r="G11" s="7" t="n"/>
      <c r="H11" s="7" t="inlineStr">
        <is>
          <t>1.项目属于立项阶段，我方技术分析后，认为我们参与部分不是很多，决定暂时暂停任务，观望后再说</t>
        </is>
      </c>
    </row>
    <row r="12" ht="42" customHeight="1">
      <c r="A12" s="7" t="n">
        <v>73</v>
      </c>
      <c r="B12" s="7" t="inlineStr">
        <is>
          <t>冯乐</t>
        </is>
      </c>
      <c r="C12" s="7" t="inlineStr">
        <is>
          <t>C00009584</t>
        </is>
      </c>
      <c r="D12" s="7" t="inlineStr">
        <is>
          <t>C00009584|冯乐|粮食|尼日利亚-2×1200T玉米仓项目|方案V1</t>
        </is>
      </c>
      <c r="E12" s="7" t="inlineStr">
        <is>
          <t>进行中</t>
        </is>
      </c>
      <c r="F12" s="7" t="inlineStr">
        <is>
          <t>中间贸易商代询，多家比价</t>
        </is>
      </c>
      <c r="G12" s="7" t="n"/>
      <c r="H12" s="7" t="inlineStr">
        <is>
          <t>目前是一位中间贸易商替业主询价，我方已提供方案和报价，多家供应商对比。</t>
        </is>
      </c>
    </row>
    <row r="13" ht="42" customHeight="1">
      <c r="A13" s="7" t="n">
        <v>76</v>
      </c>
      <c r="B13" s="7" t="inlineStr">
        <is>
          <t>冯乐</t>
        </is>
      </c>
      <c r="C13" s="7" t="inlineStr">
        <is>
          <t>C00009727</t>
        </is>
      </c>
      <c r="D13" s="7" t="inlineStr">
        <is>
          <t>C00009727｜冯乐｜粮食｜阿根廷2×3000T+6×800T 储存仓项目｜方案V2</t>
        </is>
      </c>
      <c r="E13" s="7" t="inlineStr">
        <is>
          <t>进行中</t>
        </is>
      </c>
      <c r="F13" s="7" t="inlineStr">
        <is>
          <t>业主规划项目，收集多方方案报价</t>
        </is>
      </c>
      <c r="G13" s="7" t="n"/>
      <c r="H13" s="7" t="inlineStr">
        <is>
          <t>直接业主，是一家从农田到深加工全产业链的农业综合集团，该项目是业主的规划项目。目前处于收集多方供应商的方案和报价，我方已提供商务报价。等待业主回复。</t>
        </is>
      </c>
    </row>
    <row r="14" ht="42" customHeight="1">
      <c r="A14" s="7" t="n">
        <v>123</v>
      </c>
      <c r="B14" s="7" t="inlineStr">
        <is>
          <t>司斌</t>
        </is>
      </c>
      <c r="C14" s="7" t="inlineStr">
        <is>
          <t>C00009733</t>
        </is>
      </c>
      <c r="D14" s="7" t="inlineStr">
        <is>
          <t>C00009733｜司斌｜粮食｜印度路易达孚4x500咖啡仓 |方案V1</t>
        </is>
      </c>
      <c r="E14" s="7" t="inlineStr">
        <is>
          <t>进行中</t>
        </is>
      </c>
      <c r="F14" s="7" t="inlineStr">
        <is>
          <t>路易达孚只要预算，不一定上</t>
        </is>
      </c>
      <c r="G14" s="7" t="n"/>
      <c r="H14" s="7" t="inlineStr">
        <is>
          <t>路易达孚印度公司咖啡公司，项目处于调研阶段，只要了预算，待管理层决定，不一定会上</t>
        </is>
      </c>
    </row>
    <row r="15" ht="42" customHeight="1">
      <c r="A15" s="7" t="n">
        <v>135</v>
      </c>
      <c r="B15" s="7" t="inlineStr">
        <is>
          <t>司斌</t>
        </is>
      </c>
      <c r="C15" s="7" t="inlineStr">
        <is>
          <t>C00009949</t>
        </is>
      </c>
      <c r="D15" s="7" t="inlineStr">
        <is>
          <t>C00009949｜司斌｜粮食｜阿联酋饲料颗粒，项目在俄罗斯 |方案V1</t>
        </is>
      </c>
      <c r="E15" s="7" t="inlineStr">
        <is>
          <t>进行中</t>
        </is>
      </c>
      <c r="F15" s="7" t="inlineStr">
        <is>
          <t>工程公司前期调研，信息少且逾期交预算</t>
        </is>
      </c>
      <c r="G15" s="7" t="n"/>
      <c r="H15" s="7" t="inlineStr">
        <is>
          <t>对接公司是工程公司，想要对此项目进行投标，但目前项目信息较少，对于客户端属于前期的调研阶段。由于客户要求的时间较短，无法延期。且采购这段时间忙于投标其他项目，因此预估价格晚于客户逾期3天后，由于客户强调一定要再次时间收到预算，所以不利于后续跟进</t>
        </is>
      </c>
    </row>
    <row r="16" ht="42" customHeight="1">
      <c r="A16" s="7" t="n">
        <v>138</v>
      </c>
      <c r="B16" s="7" t="inlineStr">
        <is>
          <t>司斌</t>
        </is>
      </c>
      <c r="C16" s="7" t="inlineStr">
        <is>
          <t>C00009743</t>
        </is>
      </c>
      <c r="D16" s="7" t="inlineStr">
        <is>
          <t>C00009743｜司斌｜工业｜马来西亚熟料料场|方案V1</t>
        </is>
      </c>
      <c r="E16" s="7" t="inlineStr">
        <is>
          <t>进行中</t>
        </is>
      </c>
      <c r="F16" s="7" t="inlineStr">
        <is>
          <t>三大水泥厂前期调研，只要预算</t>
        </is>
      </c>
      <c r="G16" s="7" t="n"/>
      <c r="H16" s="7" t="inlineStr">
        <is>
          <t>最终业主是马来西亚的三大水泥厂之一，此项目在前期调研，想要知道预算，需要管理层对此进行评估再判断是否上项目</t>
        </is>
      </c>
    </row>
    <row r="17" ht="42" customHeight="1">
      <c r="A17" s="7" t="n">
        <v>139</v>
      </c>
      <c r="B17" s="7" t="inlineStr">
        <is>
          <t>王伟超</t>
        </is>
      </c>
      <c r="C17" s="7" t="inlineStr">
        <is>
          <t>C00009593</t>
        </is>
      </c>
      <c r="D17" s="7" t="inlineStr">
        <is>
          <t>C00009593｜王伟超｜粮食｜乌干达生咖啡豆筒仓项目｜方案V1</t>
        </is>
      </c>
      <c r="E17" s="7" t="inlineStr">
        <is>
          <t>进行中</t>
        </is>
      </c>
      <c r="F17" s="7" t="inlineStr">
        <is>
          <t>非最终业主，准备阶段了解预算</t>
        </is>
      </c>
      <c r="G17" s="7" t="n"/>
      <c r="H17" s="7" t="inlineStr">
        <is>
          <t>已经和客户开过视频会，发了方案和报价，但不是最终业主，而且业主表示目前是在准备阶段，这次询价可能是为了了解大概需要多少预算</t>
        </is>
      </c>
    </row>
    <row r="18" ht="42" customHeight="1">
      <c r="A18" s="7" t="n">
        <v>144</v>
      </c>
      <c r="B18" s="7" t="inlineStr">
        <is>
          <t>王伟乐</t>
        </is>
      </c>
      <c r="C18" s="7" t="inlineStr">
        <is>
          <t>C00006335</t>
        </is>
      </c>
      <c r="D18" s="7" t="inlineStr">
        <is>
          <t>C00006335 | 王伟乐 | 粮食|  苏丹农业银行粮储项目 | 方案 V1|</t>
        </is>
      </c>
      <c r="E18" s="7" t="inlineStr">
        <is>
          <t>进行中</t>
        </is>
      </c>
      <c r="F18" s="7" t="inlineStr">
        <is>
          <t>仍在做预算报价</t>
        </is>
      </c>
      <c r="G18" s="7" t="n"/>
      <c r="H18" s="7" t="inlineStr">
        <is>
          <t>还在进行预算的报价，土建的报价需要预估</t>
        </is>
      </c>
    </row>
    <row r="19" ht="42" customHeight="1">
      <c r="A19" s="7" t="n">
        <v>167</v>
      </c>
      <c r="B19" s="7" t="inlineStr">
        <is>
          <t>张硕</t>
        </is>
      </c>
      <c r="C19" s="7" t="inlineStr">
        <is>
          <t>无编码</t>
        </is>
      </c>
      <c r="D19" s="7" t="inlineStr">
        <is>
          <t>20260105张硕 哈里发港粮食码头来粮接收及储存项目</t>
        </is>
      </c>
      <c r="E19" s="7" t="inlineStr">
        <is>
          <t>进行中</t>
        </is>
      </c>
      <c r="F19" s="7" t="inlineStr">
        <is>
          <t>大EPC需投标并设当地分公司，已标进行中，按前期计</t>
        </is>
      </c>
      <c r="G19" s="7" t="n"/>
      <c r="H19" s="7" t="inlineStr">
        <is>
          <t>项目为大EPC，需要投标并在当地成立分公司，后续持续跟进</t>
        </is>
      </c>
    </row>
  </sheetData>
  <autoFilter ref="A1:H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55" customWidth="1" min="4" max="4"/>
    <col width="8" customWidth="1" min="5" max="5"/>
    <col width="8.800000000000001" customWidth="1" min="6" max="6"/>
    <col width="34.3" customWidth="1" min="7" max="7"/>
    <col width="8" customWidth="1" min="8" max="8"/>
    <col width="70" customWidth="1" min="9" max="9"/>
  </cols>
  <sheetData>
    <row r="1" ht="32" customHeight="1">
      <c r="A1" s="20" t="inlineStr">
        <is>
          <t>序号</t>
        </is>
      </c>
      <c r="B1" s="20" t="inlineStr">
        <is>
          <t>创建人</t>
        </is>
      </c>
      <c r="C1" s="20" t="inlineStr">
        <is>
          <t>客户编码</t>
        </is>
      </c>
      <c r="D1" s="20" t="inlineStr">
        <is>
          <t>任务标题</t>
        </is>
      </c>
      <c r="E1" s="20" t="inlineStr">
        <is>
          <t>状态</t>
        </is>
      </c>
      <c r="F1" s="20" t="inlineStr">
        <is>
          <t>跟进质量</t>
        </is>
      </c>
      <c r="G1" s="20" t="inlineStr">
        <is>
          <t>判定说明</t>
        </is>
      </c>
      <c r="H1" s="20" t="inlineStr">
        <is>
          <t>库龄天</t>
        </is>
      </c>
      <c r="I1" s="20" t="inlineStr">
        <is>
          <t>当前进展</t>
        </is>
      </c>
    </row>
    <row r="2" ht="42" customHeight="1">
      <c r="A2" s="7" t="n">
        <v>19</v>
      </c>
      <c r="B2" s="7" t="inlineStr">
        <is>
          <t>陈子凡</t>
        </is>
      </c>
      <c r="C2" s="7" t="inlineStr">
        <is>
          <t>C00009734</t>
        </is>
      </c>
      <c r="D2" s="7" t="inlineStr">
        <is>
          <t>C00009734｜陈子凡｜粮食｜ 阿根廷6个面粉仓+3个润麦仓+1个麸皮仓 单仓｜重量计算+清单</t>
        </is>
      </c>
      <c r="E2" s="7" t="inlineStr">
        <is>
          <t>进行中</t>
        </is>
      </c>
      <c r="F2" s="21" t="inlineStr">
        <is>
          <t>该结未结</t>
        </is>
      </c>
      <c r="G2" s="7" t="inlineStr">
        <is>
          <t>希望不大，工程公司投标且价格极敏感</t>
        </is>
      </c>
      <c r="H2" s="7" t="n"/>
      <c r="I2" s="7" t="inlineStr">
        <is>
          <t>报过价了，希望不大。客户为工程公司，项目投标中，且对方对中国供应链很了解，价格非常敏感</t>
        </is>
      </c>
    </row>
    <row r="3" ht="42" customHeight="1">
      <c r="A3" s="7" t="n">
        <v>44</v>
      </c>
      <c r="B3" s="7" t="inlineStr">
        <is>
          <t>崔阳</t>
        </is>
      </c>
      <c r="C3" s="7" t="inlineStr">
        <is>
          <t>C00009055</t>
        </is>
      </c>
      <c r="D3" s="7" t="inlineStr">
        <is>
          <t>C00009055 崔阳|工业|CC7 Europe 石灰给料包项目 |方案V1</t>
        </is>
      </c>
      <c r="E3" s="7" t="inlineStr">
        <is>
          <t>进行中</t>
        </is>
      </c>
      <c r="F3" s="22" t="inlineStr">
        <is>
          <t>重复开单</t>
        </is>
      </c>
      <c r="G3" s="7" t="inlineStr">
        <is>
          <t>与序号38同一CC7项目</t>
        </is>
      </c>
      <c r="H3" s="7" t="n"/>
      <c r="I3" s="7" t="inlineStr">
        <is>
          <t>和38是同一个项目</t>
        </is>
      </c>
    </row>
    <row r="4" ht="42" customHeight="1">
      <c r="A4" s="7" t="n">
        <v>51</v>
      </c>
      <c r="B4" s="7" t="inlineStr">
        <is>
          <t>崔阳</t>
        </is>
      </c>
      <c r="C4" s="7" t="inlineStr">
        <is>
          <t>C00007843</t>
        </is>
      </c>
      <c r="D4" s="7" t="inlineStr">
        <is>
          <t>C00007843|崔阳|工业|Эннова新库兹涅兹克电厂烟气净化与脱硫系统项目|方案V1</t>
        </is>
      </c>
      <c r="E4" s="7" t="inlineStr">
        <is>
          <t>进行中</t>
        </is>
      </c>
      <c r="F4" s="21" t="inlineStr">
        <is>
          <t>该结未结</t>
        </is>
      </c>
      <c r="G4" s="7" t="inlineStr">
        <is>
          <t>方案未出已三个月，希望不大仍进行中</t>
        </is>
      </c>
      <c r="H4" s="7" t="n"/>
      <c r="I4" s="7" t="inlineStr">
        <is>
          <t>方案未出，时间跨度已经三个月，希望以不大，</t>
        </is>
      </c>
    </row>
    <row r="5" ht="42" customHeight="1">
      <c r="A5" s="7" t="n">
        <v>62</v>
      </c>
      <c r="B5" s="7" t="inlineStr">
        <is>
          <t>崔阳</t>
        </is>
      </c>
      <c r="C5" s="7" t="inlineStr">
        <is>
          <t>C00006570</t>
        </is>
      </c>
      <c r="D5" s="7" t="inlineStr">
        <is>
          <t>C00006570 Powerz 崔阳 工业 底渣输送机 方案V1</t>
        </is>
      </c>
      <c r="E5" s="7" t="inlineStr">
        <is>
          <t>进行中</t>
        </is>
      </c>
      <c r="F5" s="21" t="inlineStr">
        <is>
          <t>该结未结</t>
        </is>
      </c>
      <c r="G5" s="7" t="inlineStr">
        <is>
          <t>找不到设备已写暂停，状态仍进行中</t>
        </is>
      </c>
      <c r="H5" s="7" t="n"/>
      <c r="I5" s="7" t="inlineStr">
        <is>
          <t>方案未出，国内找不到相应适合设备 暂停中</t>
        </is>
      </c>
    </row>
    <row r="6" ht="42" customHeight="1">
      <c r="A6" s="7" t="n">
        <v>65</v>
      </c>
      <c r="B6" s="7" t="inlineStr">
        <is>
          <t>崔阳</t>
        </is>
      </c>
      <c r="C6" s="7" t="inlineStr">
        <is>
          <t>C00007843</t>
        </is>
      </c>
      <c r="D6" s="7" t="inlineStr">
        <is>
          <t>C00007843 | 崔阳 | 工业 | 哈萨克热列兹肯特热电站10号机组烟气净化（脱硫，除尘）项目 | 方案V1</t>
        </is>
      </c>
      <c r="E6" s="7" t="inlineStr">
        <is>
          <t>进行中</t>
        </is>
      </c>
      <c r="F6" s="21" t="inlineStr">
        <is>
          <t>该结未结</t>
        </is>
      </c>
      <c r="G6" s="7" t="inlineStr">
        <is>
          <t>方案未出五个月，希望不大仍进行中</t>
        </is>
      </c>
      <c r="H6" s="7" t="n"/>
      <c r="I6" s="7" t="inlineStr">
        <is>
          <t>方案未出，时间跨度已经五个月，希望以不大，</t>
        </is>
      </c>
    </row>
    <row r="7" ht="42" customHeight="1">
      <c r="A7" s="7" t="n">
        <v>69</v>
      </c>
      <c r="B7" s="7" t="inlineStr">
        <is>
          <t>崔阳</t>
        </is>
      </c>
      <c r="C7" s="7" t="inlineStr">
        <is>
          <t>C00007843</t>
        </is>
      </c>
      <c r="D7" s="7" t="inlineStr">
        <is>
          <t>C00007843 | 崔阳 | 工业 | 外贝加尔发电厂项目 | 方案</t>
        </is>
      </c>
      <c r="E7" s="7" t="inlineStr">
        <is>
          <t>进行中</t>
        </is>
      </c>
      <c r="F7" s="21" t="inlineStr">
        <is>
          <t>该结未结</t>
        </is>
      </c>
      <c r="G7" s="7" t="inlineStr">
        <is>
          <t>方案未出六个月，希望不大仍进行中</t>
        </is>
      </c>
      <c r="H7" s="7" t="n"/>
      <c r="I7" s="7" t="inlineStr">
        <is>
          <t>方案未出，时间跨度已经六个月，希望以不大，</t>
        </is>
      </c>
    </row>
    <row r="8" ht="42" customHeight="1">
      <c r="A8" s="7" t="n">
        <v>88</v>
      </c>
      <c r="B8" s="7" t="inlineStr">
        <is>
          <t>韩鸿彪</t>
        </is>
      </c>
      <c r="C8" s="7" t="inlineStr">
        <is>
          <t>无编码</t>
        </is>
      </c>
      <c r="D8" s="7" t="inlineStr">
        <is>
          <t>20260120 韩鸿彪 越南广宁水泥4*6000T筒仓配套装船钢结构雨棚（河边雨棚）</t>
        </is>
      </c>
      <c r="E8" s="7" t="inlineStr">
        <is>
          <t>进行中</t>
        </is>
      </c>
      <c r="F8" s="21" t="inlineStr">
        <is>
          <t>该结未结</t>
        </is>
      </c>
      <c r="G8" s="7" t="inlineStr">
        <is>
          <t>雨棚报建复杂或将放弃，仍挂进行中</t>
        </is>
      </c>
      <c r="H8" s="7" t="n"/>
      <c r="I8" s="7" t="inlineStr">
        <is>
          <t>土地报批手续中，杰余报建水槽手续复杂和预算原因，可能会放弃该项目建设</t>
        </is>
      </c>
    </row>
    <row r="9" ht="42" customHeight="1">
      <c r="A9" s="7" t="n">
        <v>104</v>
      </c>
      <c r="B9" s="7" t="inlineStr">
        <is>
          <t>苗恒</t>
        </is>
      </c>
      <c r="C9" s="7" t="inlineStr">
        <is>
          <t>C00009786</t>
        </is>
      </c>
      <c r="D9" s="7" t="inlineStr">
        <is>
          <t>C00009786｜苗恒｜粮食｜斯里兰卡10x2000吨稻谷仓项目｜方案V1</t>
        </is>
      </c>
      <c r="E9" s="7" t="inlineStr">
        <is>
          <t>进行中</t>
        </is>
      </c>
      <c r="F9" s="21" t="inlineStr">
        <is>
          <t>该结未结</t>
        </is>
      </c>
      <c r="G9" s="7" t="inlineStr">
        <is>
          <t>大概率探价比价，报价后反馈不积极</t>
        </is>
      </c>
      <c r="H9" s="7" t="n"/>
      <c r="I9" s="7" t="inlineStr">
        <is>
          <t>客户与土耳其ALTINBILEK有合作，上次报价大概率找我们探价和比价，报价后反馈不积极</t>
        </is>
      </c>
    </row>
    <row r="10" ht="42" customHeight="1">
      <c r="A10" s="7" t="n">
        <v>121</v>
      </c>
      <c r="B10" s="7" t="inlineStr">
        <is>
          <t>苗恒</t>
        </is>
      </c>
      <c r="C10" s="7" t="inlineStr">
        <is>
          <t>C00009883</t>
        </is>
      </c>
      <c r="D10" s="7" t="inlineStr">
        <is>
          <t>C00009883｜苗恒｜工业｜德国3x1600吨水泥仓+3个料斗投标项目｜方案V1</t>
        </is>
      </c>
      <c r="E10" s="7" t="inlineStr">
        <is>
          <t>进行中</t>
        </is>
      </c>
      <c r="F10" s="22" t="inlineStr">
        <is>
          <t>重复开单</t>
        </is>
      </c>
      <c r="G10" s="7" t="inlineStr">
        <is>
          <t>与伊拉克2万吨仓属同一项目等业主选方案</t>
        </is>
      </c>
      <c r="H10" s="7" t="n"/>
      <c r="I10" s="7" t="inlineStr">
        <is>
          <t>与上面伊拉克2x10000同属一个项目，需要等最终业主确认哪个方案</t>
        </is>
      </c>
    </row>
    <row r="11" ht="42" customHeight="1">
      <c r="A11" s="7" t="n">
        <v>125</v>
      </c>
      <c r="B11" s="7" t="inlineStr">
        <is>
          <t>司斌</t>
        </is>
      </c>
      <c r="C11" s="7" t="inlineStr">
        <is>
          <t>C00008345</t>
        </is>
      </c>
      <c r="D11" s="7" t="inlineStr">
        <is>
          <t>C00008345｜司斌｜粮食｜咖啡仓方仓 |方案V1</t>
        </is>
      </c>
      <c r="E11" s="7" t="inlineStr">
        <is>
          <t>进行中</t>
        </is>
      </c>
      <c r="F11" s="21" t="inlineStr">
        <is>
          <t>该结未结</t>
        </is>
      </c>
      <c r="G11" s="7" t="inlineStr">
        <is>
          <t>三次报价均无反馈，前期价格咨询</t>
        </is>
      </c>
      <c r="H11" s="7" t="n"/>
      <c r="I11" s="7" t="inlineStr">
        <is>
          <t>客户公司主业咖啡生产线，在全球都有项目，国内与星巴克，瑞幸都有合作。项目处于前期价格咨询。已就此公司进行了三次报价，但均无任何反馈，客户对供货商成本把控严格，对国内采购价格深度熟悉，如果没有合适的价格，我们没有任何机会</t>
        </is>
      </c>
    </row>
    <row r="12" ht="42" customHeight="1">
      <c r="A12" s="7" t="n">
        <v>126</v>
      </c>
      <c r="B12" s="7" t="inlineStr">
        <is>
          <t>司斌</t>
        </is>
      </c>
      <c r="C12" s="7" t="inlineStr">
        <is>
          <t>C00009546</t>
        </is>
      </c>
      <c r="D12" s="7" t="inlineStr">
        <is>
          <t>C00009546｜司斌｜工业｜越南6*800+2*450灰仓｜方案V1</t>
        </is>
      </c>
      <c r="E12" s="7" t="inlineStr">
        <is>
          <t>进行中</t>
        </is>
      </c>
      <c r="F12" s="21" t="inlineStr">
        <is>
          <t>该结未结</t>
        </is>
      </c>
      <c r="G12" s="7" t="inlineStr">
        <is>
          <t>工程公司投标，技术无法澄清，胜率不高</t>
        </is>
      </c>
      <c r="H12" s="7" t="n"/>
      <c r="I12" s="7" t="inlineStr">
        <is>
          <t>对接公司是工程公司，但是主业与我们行业不相关，此项目为投标项目，对接公司与最终业主有过合作，但技术问题无法澄清，虽然发送了报价，但是在较少的技术澄清下，胜率不高</t>
        </is>
      </c>
    </row>
    <row r="13" ht="42" customHeight="1">
      <c r="A13" s="7" t="n">
        <v>127</v>
      </c>
      <c r="B13" s="7" t="inlineStr">
        <is>
          <t>司斌</t>
        </is>
      </c>
      <c r="C13" s="7" t="inlineStr">
        <is>
          <t>C00008345</t>
        </is>
      </c>
      <c r="D13" s="7" t="inlineStr">
        <is>
          <t>C00008345｜司斌｜粮食｜咖啡缓冲斗｜方案V1</t>
        </is>
      </c>
      <c r="E13" s="7" t="inlineStr">
        <is>
          <t>进行中</t>
        </is>
      </c>
      <c r="F13" s="22" t="inlineStr">
        <is>
          <t>重复开单</t>
        </is>
      </c>
      <c r="G13" s="7" t="inlineStr">
        <is>
          <t>与咖啡仓方仓同一客户C00008345</t>
        </is>
      </c>
      <c r="H13" s="7" t="n"/>
      <c r="I13" s="7" t="inlineStr">
        <is>
          <t>与123是同一个客户</t>
        </is>
      </c>
    </row>
    <row r="14" ht="42" customHeight="1">
      <c r="A14" s="7" t="n">
        <v>130</v>
      </c>
      <c r="B14" s="7" t="inlineStr">
        <is>
          <t>司斌</t>
        </is>
      </c>
      <c r="C14" s="7" t="inlineStr">
        <is>
          <t>C00001287</t>
        </is>
      </c>
      <c r="D14" s="7" t="inlineStr">
        <is>
          <t>C00001287｜司斌｜粮食｜越南咖啡仓改造项目｜方案V1</t>
        </is>
      </c>
      <c r="E14" s="7" t="inlineStr">
        <is>
          <t>进行中</t>
        </is>
      </c>
      <c r="F14" s="21" t="inlineStr">
        <is>
          <t>该结未结</t>
        </is>
      </c>
      <c r="G14" s="7" t="inlineStr">
        <is>
          <t>方案后无回复，可上可不上仍挂进行中</t>
        </is>
      </c>
      <c r="H14" s="7" t="n"/>
      <c r="I14" s="7" t="inlineStr">
        <is>
          <t>已合作客户，上次拜访客户想要进行一定的改造，但是发送方案后一直没有任何回复，初步判断改造并非需要解决的大问题，可上可不上</t>
        </is>
      </c>
    </row>
    <row r="15" ht="42" customHeight="1">
      <c r="A15" s="7" t="n">
        <v>131</v>
      </c>
      <c r="B15" s="7" t="inlineStr">
        <is>
          <t>司斌</t>
        </is>
      </c>
      <c r="C15" s="7" t="inlineStr">
        <is>
          <t>C00008398</t>
        </is>
      </c>
      <c r="D15" s="7" t="inlineStr">
        <is>
          <t>C00008398｜司斌｜工业｜多米尼加塑料颗粒筒仓项目｜方案V1</t>
        </is>
      </c>
      <c r="E15" s="7" t="inlineStr">
        <is>
          <t>进行中</t>
        </is>
      </c>
      <c r="F15" s="21" t="inlineStr">
        <is>
          <t>该结未结</t>
        </is>
      </c>
      <c r="G15" s="7" t="inlineStr">
        <is>
          <t>报价后不再沟通，五个月级库龄仍进行中</t>
        </is>
      </c>
      <c r="H15" s="7" t="n"/>
      <c r="I15" s="7" t="inlineStr">
        <is>
          <t>客户公司是做木屑颗粒生产加工，目前是收集报价阶段，但是价格发送后不再沟通，初步判断价格不具有任何优势</t>
        </is>
      </c>
    </row>
    <row r="16" ht="42" customHeight="1">
      <c r="A16" s="7" t="n">
        <v>136</v>
      </c>
      <c r="B16" s="7" t="inlineStr">
        <is>
          <t>司斌</t>
        </is>
      </c>
      <c r="C16" s="7" t="inlineStr">
        <is>
          <t>C00008345</t>
        </is>
      </c>
      <c r="D16" s="7" t="inlineStr">
        <is>
          <t>C00008345｜司斌｜粮食｜Probat国内咖啡仓方仓 |方案V1</t>
        </is>
      </c>
      <c r="E16" s="7" t="inlineStr">
        <is>
          <t>进行中</t>
        </is>
      </c>
      <c r="F16" s="22" t="inlineStr">
        <is>
          <t>重复开单</t>
        </is>
      </c>
      <c r="G16" s="7" t="inlineStr">
        <is>
          <t>与C00008345咖啡仓同一客户</t>
        </is>
      </c>
      <c r="H16" s="7" t="n"/>
      <c r="I16" s="7" t="inlineStr">
        <is>
          <t>与123是同一个客户</t>
        </is>
      </c>
    </row>
    <row r="17" ht="42" customHeight="1">
      <c r="A17" s="7" t="n">
        <v>137</v>
      </c>
      <c r="B17" s="7" t="inlineStr">
        <is>
          <t>司斌</t>
        </is>
      </c>
      <c r="C17" s="7" t="inlineStr">
        <is>
          <t>C00009745</t>
        </is>
      </c>
      <c r="D17" s="7" t="inlineStr">
        <is>
          <t>C00009745｜司斌｜工业｜伊朗水净化项目石灰仓|方案V1</t>
        </is>
      </c>
      <c r="E17" s="7" t="inlineStr">
        <is>
          <t>进行中</t>
        </is>
      </c>
      <c r="F17" s="21" t="inlineStr">
        <is>
          <t>该结未结</t>
        </is>
      </c>
      <c r="G17" s="7" t="inlineStr">
        <is>
          <t>价格收集，战争结束前不可能上，仍进行中</t>
        </is>
      </c>
      <c r="H17" s="7" t="n"/>
      <c r="I17" s="7" t="inlineStr">
        <is>
          <t>对接公司是工程公司，项目所处阶段为价格收集，由于霍尔木兹海峡现状，我认为在战争结束前不可能上</t>
        </is>
      </c>
    </row>
    <row r="18" ht="42" customHeight="1">
      <c r="A18" s="7" t="n">
        <v>145</v>
      </c>
      <c r="B18" s="7" t="inlineStr">
        <is>
          <t>王伟乐</t>
        </is>
      </c>
      <c r="C18" s="7" t="inlineStr">
        <is>
          <t>C00006274</t>
        </is>
      </c>
      <c r="D18" s="7" t="inlineStr">
        <is>
          <t>C00006274| 王伟乐|工业|2026.6.15 |埃及 4*3000t 螺旋咬口仓项目| 方案V1</t>
        </is>
      </c>
      <c r="E18" s="7" t="inlineStr">
        <is>
          <t>进行中</t>
        </is>
      </c>
      <c r="F18" s="21" t="inlineStr">
        <is>
          <t>该结未结</t>
        </is>
      </c>
      <c r="G18" s="7" t="inlineStr">
        <is>
          <t>已报价未反馈，仅写可继续跟进</t>
        </is>
      </c>
      <c r="H18" s="7" t="n"/>
      <c r="I18" s="7" t="inlineStr">
        <is>
          <t>已报价，客户未反馈报价的情况，后期可以继续跟进</t>
        </is>
      </c>
    </row>
    <row r="19" ht="42" customHeight="1">
      <c r="A19" s="7" t="n">
        <v>153</v>
      </c>
      <c r="B19" s="7" t="inlineStr">
        <is>
          <t>尹韬越</t>
        </is>
      </c>
      <c r="C19" s="7" t="inlineStr">
        <is>
          <t>C00009303</t>
        </is>
      </c>
      <c r="D19" s="7" t="inlineStr">
        <is>
          <t>C00009303｜尹韬越｜工业｜乌兹别克斯坦尼什巴什一期储煤场末煤仓项目｜方案V1</t>
        </is>
      </c>
      <c r="E19" s="7" t="inlineStr">
        <is>
          <t>进行中</t>
        </is>
      </c>
      <c r="F19" s="21" t="inlineStr">
        <is>
          <t>该结未结</t>
        </is>
      </c>
      <c r="G19" s="7" t="inlineStr">
        <is>
          <t>仅写已报价，超90天无下一步</t>
        </is>
      </c>
      <c r="H19" s="7" t="n"/>
      <c r="I19" s="7" t="inlineStr">
        <is>
          <t>已报价</t>
        </is>
      </c>
    </row>
    <row r="20" ht="42" customHeight="1">
      <c r="A20" s="7" t="n">
        <v>154</v>
      </c>
      <c r="B20" s="7" t="inlineStr">
        <is>
          <t>尹韬越</t>
        </is>
      </c>
      <c r="C20" s="7" t="inlineStr">
        <is>
          <t>C00009297</t>
        </is>
      </c>
      <c r="D20" s="7" t="inlineStr">
        <is>
          <t>C00009297｜尹韬越｜粮食｜格鲁吉亚第比利斯3×1000吨玉米仓｜方案V1</t>
        </is>
      </c>
      <c r="E20" s="7" t="inlineStr">
        <is>
          <t>进行中</t>
        </is>
      </c>
      <c r="F20" s="21" t="inlineStr">
        <is>
          <t>该结未结</t>
        </is>
      </c>
      <c r="G20" s="7" t="inlineStr">
        <is>
          <t>仅写已报方案，无互动记录</t>
        </is>
      </c>
      <c r="H20" s="7" t="n"/>
      <c r="I20" s="7" t="inlineStr">
        <is>
          <t>已报方案</t>
        </is>
      </c>
    </row>
    <row r="21" ht="42" customHeight="1">
      <c r="A21" s="7" t="n">
        <v>158</v>
      </c>
      <c r="B21" s="7" t="inlineStr">
        <is>
          <t>尹韬越</t>
        </is>
      </c>
      <c r="C21" s="7" t="inlineStr">
        <is>
          <t>C00008577</t>
        </is>
      </c>
      <c r="D21" s="7" t="inlineStr">
        <is>
          <t>C00008577 尹韬越哈萨克斯坦4×3500吨粮食项目 方案1</t>
        </is>
      </c>
      <c r="E21" s="7" t="inlineStr">
        <is>
          <t>进行中</t>
        </is>
      </c>
      <c r="F21" s="22" t="inlineStr">
        <is>
          <t>重复开单</t>
        </is>
      </c>
      <c r="G21" s="7" t="inlineStr">
        <is>
          <t>与序号156同一征地项目V1/V2</t>
        </is>
      </c>
      <c r="H21" s="7" t="n"/>
      <c r="I21" s="7" t="inlineStr">
        <is>
          <t>已报方案，目前对方在征地</t>
        </is>
      </c>
    </row>
    <row r="22" ht="42" customHeight="1">
      <c r="A22" s="7" t="n">
        <v>169</v>
      </c>
      <c r="B22" s="7" t="inlineStr">
        <is>
          <t>张硕</t>
        </is>
      </c>
      <c r="C22" s="7" t="inlineStr">
        <is>
          <t>C00009866</t>
        </is>
      </c>
      <c r="D22" s="7" t="inlineStr">
        <is>
          <t>C00009866 | 张硕｜工业｜印尼工程公司PT REXLINE生物质30m³定量料斗项目｜方案V1</t>
        </is>
      </c>
      <c r="E22" s="7" t="inlineStr">
        <is>
          <t>进行中</t>
        </is>
      </c>
      <c r="F22" s="21" t="inlineStr">
        <is>
          <t>该结未结</t>
        </is>
      </c>
      <c r="G22" s="7" t="inlineStr">
        <is>
          <t>确认清单时多次无视邮件和Whatsapp</t>
        </is>
      </c>
      <c r="H22" s="7" t="n"/>
      <c r="I22" s="7" t="inlineStr">
        <is>
          <t>客户为印尼本地工程公司，在收到我方的方案和设备清单（不含报价），与其沟通对方案图纸和设备清单参数确认时，对方多次无视邮件和Whatsapp信息，初步判定为客户可能已收到合适的报价</t>
        </is>
      </c>
    </row>
  </sheetData>
  <autoFilter ref="A1:I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.800000000000001" customWidth="1" min="3" max="3"/>
    <col width="55" customWidth="1" min="4" max="4"/>
    <col width="8" customWidth="1" min="5" max="5"/>
    <col width="37" customWidth="1" min="6" max="6"/>
    <col width="8" customWidth="1" min="7" max="7"/>
    <col width="70" customWidth="1" min="8" max="8"/>
  </cols>
  <sheetData>
    <row r="1" ht="32" customHeight="1">
      <c r="A1" s="23" t="inlineStr">
        <is>
          <t>序号</t>
        </is>
      </c>
      <c r="B1" s="23" t="inlineStr">
        <is>
          <t>创建人</t>
        </is>
      </c>
      <c r="C1" s="23" t="inlineStr">
        <is>
          <t>是否重点</t>
        </is>
      </c>
      <c r="D1" s="23" t="inlineStr">
        <is>
          <t>任务标题</t>
        </is>
      </c>
      <c r="E1" s="23" t="inlineStr">
        <is>
          <t>状态</t>
        </is>
      </c>
      <c r="F1" s="23" t="inlineStr">
        <is>
          <t>判定说明</t>
        </is>
      </c>
      <c r="G1" s="23" t="inlineStr">
        <is>
          <t>库龄天</t>
        </is>
      </c>
      <c r="H1" s="23" t="inlineStr">
        <is>
          <t>当前进展</t>
        </is>
      </c>
    </row>
    <row r="2" ht="42" customHeight="1">
      <c r="A2" s="7" t="n">
        <v>2</v>
      </c>
      <c r="B2" s="7" t="inlineStr">
        <is>
          <t>陈辉</t>
        </is>
      </c>
      <c r="C2" s="7" t="inlineStr">
        <is>
          <t>是</t>
        </is>
      </c>
      <c r="D2" s="7" t="inlineStr">
        <is>
          <t>C00007339｜陈辉｜工业｜韩国大宇3万吨磷矿粉项目｜方案V1 | 重点项目</t>
        </is>
      </c>
      <c r="E2" s="7" t="inlineStr">
        <is>
          <t>进行中</t>
        </is>
      </c>
      <c r="F2" s="7" t="inlineStr">
        <is>
          <t>大宇土库曼磷矿粉，多次报价比仓型</t>
        </is>
      </c>
      <c r="G2" s="7" t="n"/>
      <c r="H2" s="7" t="inlineStr">
        <is>
          <t>大宇在土库曼化肥厂项目，仓型各种变化和多次报价后，目前最后一版是焊接仓的EPC。用户和大宇还在比较仓型。</t>
        </is>
      </c>
    </row>
    <row r="3" ht="42" customHeight="1">
      <c r="A3" s="7" t="n">
        <v>9</v>
      </c>
      <c r="B3" s="7" t="inlineStr">
        <is>
          <t>陈辉</t>
        </is>
      </c>
      <c r="C3" s="7" t="inlineStr"/>
      <c r="D3" s="7" t="inlineStr">
        <is>
          <t>C00009287｜陈辉｜工业｜大宇8套磷矿粉平底仓卸料｜方案V1</t>
        </is>
      </c>
      <c r="E3" s="7" t="inlineStr">
        <is>
          <t>进行中</t>
        </is>
      </c>
      <c r="F3" s="7" t="inlineStr">
        <is>
          <t>DY中标则大概率选我方，等分包结果</t>
        </is>
      </c>
      <c r="G3" s="7" t="n"/>
      <c r="H3" s="7" t="inlineStr">
        <is>
          <t>大宇在土库曼化肥厂项目，筒仓的卸料分包给了韩国的一家公司DY，我们给DY报价，仅报一次，技术澄清比较多，DY如果中标大概率优选选我们。</t>
        </is>
      </c>
    </row>
    <row r="4" ht="42" customHeight="1">
      <c r="A4" s="7" t="n">
        <v>12</v>
      </c>
      <c r="B4" s="7" t="inlineStr">
        <is>
          <t>陈辉</t>
        </is>
      </c>
      <c r="C4" s="7" t="inlineStr">
        <is>
          <t>是</t>
        </is>
      </c>
      <c r="D4" s="7" t="inlineStr">
        <is>
          <t>C00008180｜陈辉｜工业｜Lanwa水泥混拌系统｜方案V1 | 重点项目</t>
        </is>
      </c>
      <c r="E4" s="7" t="inlineStr">
        <is>
          <t>进行中</t>
        </is>
      </c>
      <c r="F4" s="7" t="inlineStr">
        <is>
          <t>老客户混拌，利润约束明确</t>
        </is>
      </c>
      <c r="G4" s="7" t="n"/>
      <c r="H4" s="7" t="inlineStr">
        <is>
          <t>老客户，项目含3个仓+混拌（mixer客户从其他供应商订购），客户中国通，对中国钢材加工价格十万分的了解，仅允许报价有合理利润，超出会选其他供应商。</t>
        </is>
      </c>
    </row>
    <row r="5" ht="42" customHeight="1">
      <c r="A5" s="7" t="n">
        <v>22</v>
      </c>
      <c r="B5" s="7" t="inlineStr">
        <is>
          <t>陈子凡</t>
        </is>
      </c>
      <c r="C5" s="7" t="inlineStr">
        <is>
          <t>是</t>
        </is>
      </c>
      <c r="D5" s="7" t="inlineStr">
        <is>
          <t>C00007247｜陈子凡｜工业｜MAK砖厂现有气力输送系统更新项目 ｜方案V1 | 重点项目</t>
        </is>
      </c>
      <c r="E5" s="7" t="inlineStr">
        <is>
          <t>进行中</t>
        </is>
      </c>
      <c r="F5" s="7" t="inlineStr">
        <is>
          <t>报价中，近期可成交</t>
        </is>
      </c>
      <c r="G5" s="7" t="n"/>
      <c r="H5" s="7" t="inlineStr">
        <is>
          <t>报价中</t>
        </is>
      </c>
    </row>
    <row r="6" ht="42" customHeight="1">
      <c r="A6" s="7" t="n">
        <v>24</v>
      </c>
      <c r="B6" s="7" t="inlineStr">
        <is>
          <t>陈子凡</t>
        </is>
      </c>
      <c r="C6" s="7" t="inlineStr">
        <is>
          <t>是</t>
        </is>
      </c>
      <c r="D6" s="7" t="inlineStr">
        <is>
          <t>C00009104｜陈子凡｜工业｜MONCEMENT 3x2000水泥中转站｜方案V2 | 重点项目</t>
        </is>
      </c>
      <c r="E6" s="7" t="inlineStr">
        <is>
          <t>进行中</t>
        </is>
      </c>
      <c r="F6" s="7" t="inlineStr">
        <is>
          <t>拜访后更新方案，有望落地</t>
        </is>
      </c>
      <c r="G6" s="7" t="n"/>
      <c r="H6" s="7" t="inlineStr">
        <is>
          <t>更新方案中。拜访后按要求更新方案，有望近期落地</t>
        </is>
      </c>
    </row>
    <row r="7" ht="42" customHeight="1">
      <c r="A7" s="7" t="n">
        <v>29</v>
      </c>
      <c r="B7" s="7" t="inlineStr">
        <is>
          <t>陈子凡</t>
        </is>
      </c>
      <c r="C7" s="7" t="inlineStr">
        <is>
          <t>是</t>
        </is>
      </c>
      <c r="D7" s="7" t="inlineStr">
        <is>
          <t>20260304 菲律宾生力集团 取料机报价</t>
        </is>
      </c>
      <c r="E7" s="7" t="inlineStr">
        <is>
          <t>进行中</t>
        </is>
      </c>
      <c r="F7" s="7" t="inlineStr">
        <is>
          <t>重点：生力取料机，等授标通知</t>
        </is>
      </c>
      <c r="G7" s="7" t="n"/>
      <c r="H7" s="7" t="inlineStr">
        <is>
          <t>等授标通知</t>
        </is>
      </c>
    </row>
    <row r="8" ht="42" customHeight="1">
      <c r="A8" s="7" t="n">
        <v>34</v>
      </c>
      <c r="B8" s="7" t="inlineStr">
        <is>
          <t>崔阳</t>
        </is>
      </c>
      <c r="C8" s="7" t="inlineStr"/>
      <c r="D8" s="7" t="inlineStr">
        <is>
          <t>C00005424|崔阳|工业|Sibur塑料颗粒的气力输送项目|方案V1</t>
        </is>
      </c>
      <c r="E8" s="7" t="inlineStr">
        <is>
          <t>进行中</t>
        </is>
      </c>
      <c r="F8" s="7" t="inlineStr">
        <is>
          <t>实地勘察后技术部出最终方案</t>
        </is>
      </c>
      <c r="G8" s="7" t="n"/>
      <c r="H8" s="7" t="inlineStr">
        <is>
          <t>项目进行实地勘察后，技术部正在出最终方案</t>
        </is>
      </c>
    </row>
    <row r="9" ht="42" customHeight="1">
      <c r="A9" s="7" t="n">
        <v>38</v>
      </c>
      <c r="B9" s="7" t="inlineStr">
        <is>
          <t>崔阳</t>
        </is>
      </c>
      <c r="C9" s="7" t="inlineStr"/>
      <c r="D9" s="7" t="inlineStr">
        <is>
          <t>C00009055 崔阳|工业|CC7 Europe 化工回收项目 |方案V1</t>
        </is>
      </c>
      <c r="E9" s="7" t="inlineStr">
        <is>
          <t>进行中</t>
        </is>
      </c>
      <c r="F9" s="7" t="inlineStr">
        <is>
          <t>资质已交最终业主审查</t>
        </is>
      </c>
      <c r="G9" s="7" t="n"/>
      <c r="H9" s="7" t="inlineStr">
        <is>
          <t>已将我方资质提交最终业主，业主进行资质审查</t>
        </is>
      </c>
    </row>
    <row r="10" ht="42" customHeight="1">
      <c r="A10" s="7" t="n">
        <v>39</v>
      </c>
      <c r="B10" s="7" t="inlineStr">
        <is>
          <t>崔阳</t>
        </is>
      </c>
      <c r="C10" s="7" t="inlineStr"/>
      <c r="D10" s="7" t="inlineStr">
        <is>
          <t>C00006514|崔阳|工业|cotes哈萨克斯坦4个矿石仓项目|方案V1</t>
        </is>
      </c>
      <c r="E10" s="7" t="inlineStr">
        <is>
          <t>进行中</t>
        </is>
      </c>
      <c r="F10" s="7" t="inlineStr">
        <is>
          <t>cotes矿石仓技术探讨，尚未报价</t>
        </is>
      </c>
      <c r="G10" s="7" t="n"/>
      <c r="H10" s="7" t="inlineStr">
        <is>
          <t>处于技术探讨阶段 还未报价</t>
        </is>
      </c>
    </row>
    <row r="11" ht="42" customHeight="1">
      <c r="A11" s="7" t="n">
        <v>42</v>
      </c>
      <c r="B11" s="7" t="inlineStr">
        <is>
          <t>崔阳</t>
        </is>
      </c>
      <c r="C11" s="7" t="inlineStr"/>
      <c r="D11" s="7" t="inlineStr">
        <is>
          <t>C00009506  |崔阳|粮食| RUSAGRO农作物种子加工厂项目|方案V1</t>
        </is>
      </c>
      <c r="E11" s="7" t="inlineStr">
        <is>
          <t>进行中</t>
        </is>
      </c>
      <c r="F11" s="7" t="inlineStr">
        <is>
          <t>客户提议9月现场考察</t>
        </is>
      </c>
      <c r="G11" s="7" t="n"/>
      <c r="H11" s="7" t="inlineStr">
        <is>
          <t>客户提议九月份进行现场考察</t>
        </is>
      </c>
    </row>
    <row r="12" ht="42" customHeight="1">
      <c r="A12" s="7" t="n">
        <v>53</v>
      </c>
      <c r="B12" s="7" t="inlineStr">
        <is>
          <t>崔阳</t>
        </is>
      </c>
      <c r="C12" s="7" t="inlineStr"/>
      <c r="D12" s="7" t="inlineStr">
        <is>
          <t>C00006514|崔阳|工业|cotes电厂粉煤灰|方案V2</t>
        </is>
      </c>
      <c r="E12" s="7" t="inlineStr">
        <is>
          <t>进行中</t>
        </is>
      </c>
      <c r="F12" s="7" t="inlineStr">
        <is>
          <t>cotes粉煤灰仍在技术探讨</t>
        </is>
      </c>
      <c r="G12" s="7" t="n"/>
      <c r="H12" s="7" t="inlineStr">
        <is>
          <t>处于技术探讨阶段 还未报价</t>
        </is>
      </c>
    </row>
    <row r="13" ht="42" customHeight="1">
      <c r="A13" s="7" t="n">
        <v>72</v>
      </c>
      <c r="B13" s="7" t="inlineStr">
        <is>
          <t>冯乐</t>
        </is>
      </c>
      <c r="C13" s="7" t="inlineStr">
        <is>
          <t>是</t>
        </is>
      </c>
      <c r="D13" s="7" t="inlineStr">
        <is>
          <t>C00009678｜冯乐｜坦桑尼亚｜小麦2×4500T装配仓项目｜方案V1 | 重点项目</t>
        </is>
      </c>
      <c r="E13" s="7" t="inlineStr">
        <is>
          <t>进行中</t>
        </is>
      </c>
      <c r="F13" s="7" t="inlineStr">
        <is>
          <t>曾接受报价，新要求已技术反馈，等农场回复</t>
        </is>
      </c>
      <c r="G13" s="7" t="n"/>
      <c r="H13" s="7" t="inlineStr">
        <is>
          <t>客户主营粮食加工，此前已接受我方报价。回国与工程团队商讨后，客户提出了新要求，我方已做技术反馈。目前客户需视其农场情况再作回复。</t>
        </is>
      </c>
    </row>
    <row r="14" ht="42" customHeight="1">
      <c r="A14" s="7" t="n">
        <v>74</v>
      </c>
      <c r="B14" s="7" t="inlineStr">
        <is>
          <t>冯乐</t>
        </is>
      </c>
      <c r="C14" s="7" t="inlineStr"/>
      <c r="D14" s="7" t="inlineStr">
        <is>
          <t>C00009383｜冯乐｜工业｜也门-3×1200m³水泥装配仓项目｜方案V3</t>
        </is>
      </c>
      <c r="E14" s="7" t="inlineStr">
        <is>
          <t>进行中</t>
        </is>
      </c>
      <c r="F14" s="7" t="inlineStr">
        <is>
          <t>V3多次报价，技术澄清中</t>
        </is>
      </c>
      <c r="G14" s="7" t="n"/>
      <c r="H14" s="7" t="inlineStr">
        <is>
          <t>已进行多次报价，客户对价格比较敏感，目前正在和对方团队进行技术澄清。</t>
        </is>
      </c>
    </row>
    <row r="15" ht="42" customHeight="1">
      <c r="A15" s="7" t="n">
        <v>82</v>
      </c>
      <c r="B15" s="7" t="inlineStr">
        <is>
          <t>韩鸿彪</t>
        </is>
      </c>
      <c r="C15" s="7" t="inlineStr"/>
      <c r="D15" s="7" t="inlineStr">
        <is>
          <t>C00009357|韩鸿彪|工业|越南水泥码头+木屑颗粒仓项目|方案V1</t>
        </is>
      </c>
      <c r="E15" s="7" t="inlineStr">
        <is>
          <t>进行中</t>
        </is>
      </c>
      <c r="F15" s="7" t="inlineStr">
        <is>
          <t>土地审批+贷款，预计10月底更新</t>
        </is>
      </c>
      <c r="G15" s="7" t="n"/>
      <c r="H15" s="7" t="inlineStr">
        <is>
          <t>项目土地审批和银行贷款阶段，预计10月底会有进一步更新</t>
        </is>
      </c>
    </row>
    <row r="16" ht="42" customHeight="1">
      <c r="A16" s="7" t="n">
        <v>83</v>
      </c>
      <c r="B16" s="7" t="inlineStr">
        <is>
          <t>韩鸿彪</t>
        </is>
      </c>
      <c r="C16" s="7" t="inlineStr"/>
      <c r="D16" s="7" t="inlineStr">
        <is>
          <t>C00008493|韩鸿彪|工业|也门2x1600T水泥仓扩建项目方案V2</t>
        </is>
      </c>
      <c r="E16" s="7" t="inlineStr">
        <is>
          <t>进行中</t>
        </is>
      </c>
      <c r="F16" s="7" t="inlineStr">
        <is>
          <t>V3对比中，计划27年Q1</t>
        </is>
      </c>
      <c r="G16" s="7" t="n"/>
      <c r="H16" s="7" t="inlineStr">
        <is>
          <t>更新方案更新报价V3，业主在对比方案和报价，项目计划是27年Q1上</t>
        </is>
      </c>
    </row>
    <row r="17" ht="42" customHeight="1">
      <c r="A17" s="7" t="n">
        <v>89</v>
      </c>
      <c r="B17" s="7" t="inlineStr">
        <is>
          <t>韩鸿彪</t>
        </is>
      </c>
      <c r="C17" s="7" t="inlineStr"/>
      <c r="D17" s="7" t="inlineStr">
        <is>
          <t>C00008036 韩鸿彪 越南 4x6000T筒仓系统配套输送设备方案 V5</t>
        </is>
      </c>
      <c r="E17" s="7" t="inlineStr">
        <is>
          <t>进行中</t>
        </is>
      </c>
      <c r="F17" s="7" t="inlineStr">
        <is>
          <t>包装线更新方案，等决策，有明确分期</t>
        </is>
      </c>
      <c r="G17" s="7" t="n"/>
      <c r="H17" s="7" t="inlineStr">
        <is>
          <t>更新方案，更新报价，等待决策。业主计划先上一条（6台）包装线，第一个筒仓完工后先运行起来</t>
        </is>
      </c>
    </row>
    <row r="18" ht="42" customHeight="1">
      <c r="A18" s="7" t="n">
        <v>91</v>
      </c>
      <c r="B18" s="7" t="inlineStr">
        <is>
          <t>韩鸿彪</t>
        </is>
      </c>
      <c r="C18" s="7" t="inlineStr"/>
      <c r="D18" s="7" t="inlineStr">
        <is>
          <t>C00009474|韩鸿彪|粮食|卢旺达面粉厂3x2500T小麦仓项目|方案V1</t>
        </is>
      </c>
      <c r="E18" s="7" t="inlineStr">
        <is>
          <t>进行中</t>
        </is>
      </c>
      <c r="F18" s="7" t="inlineStr">
        <is>
          <t>项目真实，第一版报价阶段</t>
        </is>
      </c>
      <c r="G18" s="7" t="n"/>
      <c r="H18" s="7" t="inlineStr">
        <is>
          <t>面粉厂扩建项目，规模不大，但项目真实，第一版报价阶段</t>
        </is>
      </c>
    </row>
    <row r="19" ht="42" customHeight="1">
      <c r="A19" s="7" t="n">
        <v>99</v>
      </c>
      <c r="B19" s="7" t="inlineStr">
        <is>
          <t>马鹏飞</t>
        </is>
      </c>
      <c r="C19" s="7" t="inlineStr"/>
      <c r="D19" s="7" t="inlineStr">
        <is>
          <t>C00001420 | 马鹏飞 | 工业 |生力集团100TPH水泥冷却站项目需画电气单线图及理清范围 | 方案V4 |</t>
        </is>
      </c>
      <c r="E19" s="7" t="inlineStr">
        <is>
          <t>进行中</t>
        </is>
      </c>
      <c r="F19" s="7" t="inlineStr">
        <is>
          <t>冷却站资料已交，待生力决策层</t>
        </is>
      </c>
      <c r="G19" s="7" t="n"/>
      <c r="H19" s="7" t="inlineStr">
        <is>
          <t>已完成单线图提供，生力水泥冷却站项目，已提交所有所需资料，待生力决策层批复，目前尚未有更新情况</t>
        </is>
      </c>
    </row>
    <row r="20" ht="42" customHeight="1">
      <c r="A20" s="7" t="n">
        <v>105</v>
      </c>
      <c r="B20" s="7" t="inlineStr">
        <is>
          <t>苗恒</t>
        </is>
      </c>
      <c r="C20" s="7" t="inlineStr"/>
      <c r="D20" s="7" t="inlineStr">
        <is>
          <t>C00009762｜苗恒｜工业｜新加坡4x200m3熟石灰粉不锈钢仓项目｜方案V1</t>
        </is>
      </c>
      <c r="E20" s="7" t="inlineStr">
        <is>
          <t>进行中</t>
        </is>
      </c>
      <c r="F20" s="7" t="inlineStr">
        <is>
          <t>工程公司，约8月底/9月初反馈</t>
        </is>
      </c>
      <c r="G20" s="7" t="n"/>
      <c r="H20" s="7" t="inlineStr">
        <is>
          <t>跟进中，客户为工程公司，回复8月底或9月初给我们反馈</t>
        </is>
      </c>
    </row>
    <row r="21" ht="42" customHeight="1">
      <c r="A21" s="7" t="n">
        <v>106</v>
      </c>
      <c r="B21" s="7" t="inlineStr">
        <is>
          <t>苗恒</t>
        </is>
      </c>
      <c r="C21" s="7" t="inlineStr"/>
      <c r="D21" s="7" t="inlineStr">
        <is>
          <t>C00009353｜苗恒｜工业｜阿尔及利亚6x2500吨水泥仓+200TPH气力输送项目｜方案V1</t>
        </is>
      </c>
      <c r="E21" s="7" t="inlineStr">
        <is>
          <t>进行中</t>
        </is>
      </c>
      <c r="F21" s="7" t="inlineStr">
        <is>
          <t>已给布置图，9月更多现场信息</t>
        </is>
      </c>
      <c r="G21" s="7" t="n"/>
      <c r="H21" s="7" t="inlineStr">
        <is>
          <t>跟进中，客户给了港口项目布置图，正在沟通方案布局，9月份客户会给更多项目现场信息</t>
        </is>
      </c>
    </row>
    <row r="22" ht="42" customHeight="1">
      <c r="A22" s="7" t="n">
        <v>109</v>
      </c>
      <c r="B22" s="7" t="inlineStr">
        <is>
          <t>苗恒</t>
        </is>
      </c>
      <c r="C22" s="7" t="inlineStr">
        <is>
          <t>是</t>
        </is>
      </c>
      <c r="D22" s="7" t="inlineStr">
        <is>
          <t>C00008938｜苗恒｜粮食｜墨西哥3x10000+2x5000+4x200+1x150粮仓项目｜方案V1 | 重点项目</t>
        </is>
      </c>
      <c r="E22" s="7" t="inlineStr">
        <is>
          <t>进行中</t>
        </is>
      </c>
      <c r="F22" s="7" t="inlineStr">
        <is>
          <t>重点，确认方案V4后更报价V2</t>
        </is>
      </c>
      <c r="G22" s="7" t="n"/>
      <c r="H22" s="7" t="inlineStr">
        <is>
          <t>重点项目跟进中，客户反馈比较慢，下步计划确认方案V4后更新报价V2</t>
        </is>
      </c>
    </row>
    <row r="23" ht="42" customHeight="1">
      <c r="A23" s="7" t="n">
        <v>113</v>
      </c>
      <c r="B23" s="7" t="inlineStr">
        <is>
          <t>苗恒</t>
        </is>
      </c>
      <c r="C23" s="7" t="inlineStr"/>
      <c r="D23" s="7" t="inlineStr">
        <is>
          <t>C00009001｜苗恒｜工业｜斯里兰卡1x35000吨熟料仓项目｜方案V2</t>
        </is>
      </c>
      <c r="E23" s="7" t="inlineStr">
        <is>
          <t>进行中</t>
        </is>
      </c>
      <c r="F23" s="7" t="inlineStr">
        <is>
          <t>已联系真实业主，但倾向混凝土仓</t>
        </is>
      </c>
      <c r="G23" s="7" t="n"/>
      <c r="H23" s="7" t="inlineStr">
        <is>
          <t>重点项目跟进中，客户找了江苏鹏飞做的整厂规划布置，让我们报混凝土仓报价，准备给客户更新第二版</t>
        </is>
      </c>
    </row>
    <row r="24" ht="42" customHeight="1">
      <c r="A24" s="7" t="n">
        <v>120</v>
      </c>
      <c r="B24" s="7" t="inlineStr">
        <is>
          <t>苗恒</t>
        </is>
      </c>
      <c r="C24" s="7" t="inlineStr"/>
      <c r="D24" s="7" t="inlineStr">
        <is>
          <t>C00009921｜苗恒｜工业｜伊拉克2x10000吨水泥仓项目｜方案V1</t>
        </is>
      </c>
      <c r="E24" s="7" t="inlineStr">
        <is>
          <t>进行中</t>
        </is>
      </c>
      <c r="F24" s="7" t="inlineStr">
        <is>
          <t>已报价，客户预计9.2到上海见面</t>
        </is>
      </c>
      <c r="G24" s="7" t="n"/>
      <c r="H24" s="7" t="inlineStr">
        <is>
          <t>已报价，客户预计9.2到上海，希望可以见一面</t>
        </is>
      </c>
    </row>
    <row r="25" ht="42" customHeight="1">
      <c r="A25" s="7" t="n">
        <v>124</v>
      </c>
      <c r="B25" s="7" t="inlineStr">
        <is>
          <t>司斌</t>
        </is>
      </c>
      <c r="C25" s="7" t="inlineStr">
        <is>
          <t>是</t>
        </is>
      </c>
      <c r="D25" s="7" t="inlineStr">
        <is>
          <t>C00009649｜司斌｜粮食｜斯里兰卡30*3500T稻谷仓 |方案V1|重点项目</t>
        </is>
      </c>
      <c r="E25" s="7" t="inlineStr">
        <is>
          <t>进行中</t>
        </is>
      </c>
      <c r="F25" s="7" t="inlineStr">
        <is>
          <t>已到决策期，但钢构单价我方拿不到</t>
        </is>
      </c>
      <c r="G25" s="7" t="n"/>
      <c r="H25" s="7" t="inlineStr">
        <is>
          <t>老板自行决策，目前已到决策期，但是钢结构部分的报价客户告知6200CNY每吨，FOB含螺栓，采购部告知这个价格拿不到。客户对供货商成本把控严格，对国内采购价格深度熟悉，如果没有合适的价格，我们没有任何机会</t>
        </is>
      </c>
    </row>
    <row r="26" ht="42" customHeight="1">
      <c r="A26" s="7" t="n">
        <v>141</v>
      </c>
      <c r="B26" s="7" t="inlineStr">
        <is>
          <t>王伟超</t>
        </is>
      </c>
      <c r="C26" s="7" t="inlineStr">
        <is>
          <t>是</t>
        </is>
      </c>
      <c r="D26" s="7" t="inlineStr">
        <is>
          <t>C00009044｜王伟超｜粮食｜哥斯达黎加室外2个175吨，室内32个咖啡豆仓｜方案V5 | 重点项目</t>
        </is>
      </c>
      <c r="E26" s="7" t="inlineStr">
        <is>
          <t>进行中</t>
        </is>
      </c>
      <c r="F26" s="7" t="inlineStr">
        <is>
          <t>参观工厂，多次方案报价，调图纸等回复</t>
        </is>
      </c>
      <c r="G26" s="7" t="n"/>
      <c r="H26" s="7" t="inlineStr">
        <is>
          <t>已参观过公司和工厂，已发方案和报价，并且更新过多次方案与报价，正在调整图纸的细节变化，并且需要契合对方厂房中设备的安装位置，等待对方回复</t>
        </is>
      </c>
    </row>
    <row r="27" ht="42" customHeight="1">
      <c r="A27" s="7" t="n">
        <v>146</v>
      </c>
      <c r="B27" s="7" t="inlineStr">
        <is>
          <t>王伟乐</t>
        </is>
      </c>
      <c r="C27" s="7" t="inlineStr">
        <is>
          <t>是</t>
        </is>
      </c>
      <c r="D27" s="7" t="inlineStr">
        <is>
          <t>C00008344 |王伟乐|工业| 新加披裕廊港12*10000t水泥钢板仓项目|方案V1|重点项目</t>
        </is>
      </c>
      <c r="E27" s="7" t="inlineStr">
        <is>
          <t>进行中</t>
        </is>
      </c>
      <c r="F27" s="7" t="inlineStr">
        <is>
          <t>咨询公司招投标准备，最新价澄清中</t>
        </is>
      </c>
      <c r="G27" s="7" t="n"/>
      <c r="H27" s="7" t="inlineStr">
        <is>
          <t>在更新方案和报价给咨询公司做前期招投标准备，目前报了一版最新的价格，还在澄清</t>
        </is>
      </c>
    </row>
    <row r="28" ht="42" customHeight="1">
      <c r="A28" s="7" t="n">
        <v>156</v>
      </c>
      <c r="B28" s="7" t="inlineStr">
        <is>
          <t>尹韬越</t>
        </is>
      </c>
      <c r="C28" s="7" t="inlineStr"/>
      <c r="D28" s="7" t="inlineStr">
        <is>
          <t>C00008577｜尹韬越｜粮食｜哈萨克斯坦4×3500吨粮食项目｜方案V2</t>
        </is>
      </c>
      <c r="E28" s="7" t="inlineStr">
        <is>
          <t>进行中</t>
        </is>
      </c>
      <c r="F28" s="7" t="inlineStr">
        <is>
          <t>对方在征地，长周期仍有实质节点</t>
        </is>
      </c>
      <c r="G28" s="7" t="n"/>
      <c r="H28" s="7" t="inlineStr">
        <is>
          <t>已报方案，目前对方在征地</t>
        </is>
      </c>
    </row>
    <row r="29" ht="42" customHeight="1">
      <c r="A29" s="7" t="n">
        <v>168</v>
      </c>
      <c r="B29" s="7" t="inlineStr">
        <is>
          <t>张硕</t>
        </is>
      </c>
      <c r="C29" s="7" t="inlineStr"/>
      <c r="D29" s="7" t="inlineStr">
        <is>
          <t>C00009858 | 张硕 | 粮食 | 斯里兰卡汉班托塔Golden Harvest Mill3x1500MT小麦仓扩建项目</t>
        </is>
      </c>
      <c r="E29" s="7" t="inlineStr">
        <is>
          <t>进行中</t>
        </is>
      </c>
      <c r="F29" s="7" t="inlineStr">
        <is>
          <t>报价已上呈总裁，每周跟进+当地代理侧面了解</t>
        </is>
      </c>
      <c r="G29" s="7" t="n"/>
      <c r="H29" s="7" t="inlineStr">
        <is>
          <t>业主收到3座仓的正式报价后没有直接给出评论意见，仅回复说以将报价上呈给公司总裁，判断其从多方供应商处比较报价后再做决定，跟进策略对业主按保持每周频次跟进，不表现急切情绪；另从近期开发的当地代理处侧面了解项目进展</t>
        </is>
      </c>
    </row>
  </sheetData>
  <autoFilter ref="A1:H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58" customWidth="1" min="5" max="5"/>
    <col width="8.800000000000001" customWidth="1" min="6" max="6"/>
    <col width="8" customWidth="1" min="7" max="7"/>
    <col width="11.5" customWidth="1" min="8" max="8"/>
    <col width="8.800000000000001" customWidth="1" min="9" max="9"/>
    <col width="8.800000000000001" customWidth="1" min="10" max="10"/>
    <col width="36" customWidth="1" min="11" max="11"/>
    <col width="8.800000000000001" customWidth="1" min="12" max="12"/>
    <col width="8.800000000000001" customWidth="1" min="13" max="13"/>
    <col width="8.800000000000001" customWidth="1" min="14" max="14"/>
    <col width="12.2" customWidth="1" min="15" max="15"/>
    <col width="12.2" customWidth="1" min="16" max="16"/>
    <col width="70" customWidth="1" min="17" max="17"/>
  </cols>
  <sheetData>
    <row r="1" ht="32" customHeight="1">
      <c r="A1" s="6" t="inlineStr">
        <is>
          <t>序号</t>
        </is>
      </c>
      <c r="B1" s="6" t="inlineStr">
        <is>
          <t>创建人</t>
        </is>
      </c>
      <c r="C1" s="6" t="inlineStr">
        <is>
          <t>客户编码</t>
        </is>
      </c>
      <c r="D1" s="6" t="inlineStr">
        <is>
          <t>行业</t>
        </is>
      </c>
      <c r="E1" s="6" t="inlineStr">
        <is>
          <t>任务标题</t>
        </is>
      </c>
      <c r="F1" s="6" t="inlineStr">
        <is>
          <t>创建时间</t>
        </is>
      </c>
      <c r="G1" s="6" t="inlineStr">
        <is>
          <t>库龄天</t>
        </is>
      </c>
      <c r="H1" s="6" t="inlineStr">
        <is>
          <t>状态</t>
        </is>
      </c>
      <c r="I1" s="6" t="inlineStr">
        <is>
          <t>是否重点</t>
        </is>
      </c>
      <c r="J1" s="6" t="inlineStr">
        <is>
          <t>跟进质量</t>
        </is>
      </c>
      <c r="K1" s="6" t="inlineStr">
        <is>
          <t>判定说明</t>
        </is>
      </c>
      <c r="L1" s="6" t="inlineStr">
        <is>
          <t>前期调研</t>
        </is>
      </c>
      <c r="M1" s="6" t="inlineStr">
        <is>
          <t>有效在手</t>
        </is>
      </c>
      <c r="N1" s="6" t="inlineStr">
        <is>
          <t>该结未结</t>
        </is>
      </c>
      <c r="O1" s="6" t="inlineStr">
        <is>
          <t>已结项或暂停</t>
        </is>
      </c>
      <c r="P1" s="6" t="inlineStr">
        <is>
          <t>丢单原因</t>
        </is>
      </c>
      <c r="Q1" s="6" t="inlineStr">
        <is>
          <t>当前进展</t>
        </is>
      </c>
    </row>
    <row r="2" ht="36" customHeight="1">
      <c r="A2" s="7" t="n">
        <v>1</v>
      </c>
      <c r="B2" s="7" t="inlineStr">
        <is>
          <t>陈辉</t>
        </is>
      </c>
      <c r="C2" s="7" t="inlineStr">
        <is>
          <t>C00003352</t>
        </is>
      </c>
      <c r="D2" s="7" t="inlineStr">
        <is>
          <t>工业</t>
        </is>
      </c>
      <c r="E2" s="7" t="inlineStr">
        <is>
          <t>C00003352｜陈辉｜工业｜埃及4万吨料场项目｜方案V1（预算）</t>
        </is>
      </c>
      <c r="F2" s="7" t="inlineStr"/>
      <c r="G2" s="7" t="n"/>
      <c r="H2" s="7" t="inlineStr">
        <is>
          <t>进行中</t>
        </is>
      </c>
      <c r="I2" s="7" t="inlineStr"/>
      <c r="J2" s="24" t="inlineStr">
        <is>
          <t>前期调研</t>
        </is>
      </c>
      <c r="K2" s="7" t="inlineStr">
        <is>
          <t>港口散料库规划阶段，已报预算</t>
        </is>
      </c>
      <c r="L2" s="7" t="inlineStr">
        <is>
          <t>是</t>
        </is>
      </c>
      <c r="M2" s="7" t="inlineStr"/>
      <c r="N2" s="7" t="inlineStr"/>
      <c r="O2" s="7" t="inlineStr"/>
      <c r="P2" s="7" t="inlineStr"/>
      <c r="Q2" s="7" t="inlineStr">
        <is>
          <t>TCI预期拿到了埃及一港口的运营权，有计划建散料库，已报预算，还在规划阶段。</t>
        </is>
      </c>
    </row>
    <row r="3" ht="36" customHeight="1">
      <c r="A3" s="7" t="n">
        <v>2</v>
      </c>
      <c r="B3" s="7" t="inlineStr">
        <is>
          <t>陈辉</t>
        </is>
      </c>
      <c r="C3" s="7" t="inlineStr">
        <is>
          <t>C00007339</t>
        </is>
      </c>
      <c r="D3" s="7" t="inlineStr">
        <is>
          <t>工业</t>
        </is>
      </c>
      <c r="E3" s="7" t="inlineStr">
        <is>
          <t>C00007339｜陈辉｜工业｜韩国大宇3万吨磷矿粉项目｜方案V1 | 重点项目</t>
        </is>
      </c>
      <c r="F3" s="7" t="inlineStr"/>
      <c r="G3" s="7" t="n"/>
      <c r="H3" s="7" t="inlineStr">
        <is>
          <t>进行中</t>
        </is>
      </c>
      <c r="I3" s="25" t="inlineStr">
        <is>
          <t>是</t>
        </is>
      </c>
      <c r="J3" s="17" t="inlineStr">
        <is>
          <t>有效跟进</t>
        </is>
      </c>
      <c r="K3" s="7" t="inlineStr">
        <is>
          <t>大宇土库曼磷矿粉，多次报价比仓型</t>
        </is>
      </c>
      <c r="L3" s="7" t="inlineStr"/>
      <c r="M3" s="7" t="inlineStr">
        <is>
          <t>是</t>
        </is>
      </c>
      <c r="N3" s="7" t="inlineStr"/>
      <c r="O3" s="7" t="inlineStr"/>
      <c r="P3" s="7" t="inlineStr"/>
      <c r="Q3" s="7" t="inlineStr">
        <is>
          <t>大宇在土库曼化肥厂项目，仓型各种变化和多次报价后，目前最后一版是焊接仓的EPC。用户和大宇还在比较仓型。</t>
        </is>
      </c>
    </row>
    <row r="4" ht="36" customHeight="1">
      <c r="A4" s="7" t="n">
        <v>3</v>
      </c>
      <c r="B4" s="7" t="inlineStr">
        <is>
          <t>陈辉</t>
        </is>
      </c>
      <c r="C4" s="7" t="inlineStr">
        <is>
          <t>C00001305</t>
        </is>
      </c>
      <c r="D4" s="7" t="inlineStr">
        <is>
          <t>工业</t>
        </is>
      </c>
      <c r="E4" s="7" t="inlineStr">
        <is>
          <t>C00001305｜陈辉｜工业｜韩国Jeju-四套污泥仓｜方案V1</t>
        </is>
      </c>
      <c r="F4" s="7" t="inlineStr"/>
      <c r="G4" s="7" t="n"/>
      <c r="H4" s="7" t="inlineStr">
        <is>
          <t>已结项-丢单</t>
        </is>
      </c>
      <c r="I4" s="7" t="inlineStr"/>
      <c r="J4" s="26" t="inlineStr">
        <is>
          <t>规范闭环</t>
        </is>
      </c>
      <c r="K4" s="7" t="inlineStr">
        <is>
          <t>客户改计划</t>
        </is>
      </c>
      <c r="L4" s="7" t="inlineStr"/>
      <c r="M4" s="7" t="inlineStr"/>
      <c r="N4" s="7" t="inlineStr"/>
      <c r="O4" s="7" t="inlineStr">
        <is>
          <t>是</t>
        </is>
      </c>
      <c r="P4" s="7" t="inlineStr">
        <is>
          <t>其他</t>
        </is>
      </c>
      <c r="Q4" s="7" t="inlineStr">
        <is>
          <t>kim小项目，设计完仓型，客户改计划不需要了。</t>
        </is>
      </c>
    </row>
    <row r="5" ht="36" customHeight="1">
      <c r="A5" s="7" t="n">
        <v>4</v>
      </c>
      <c r="B5" s="7" t="inlineStr">
        <is>
          <t>陈辉</t>
        </is>
      </c>
      <c r="C5" s="7" t="inlineStr">
        <is>
          <t>C00001305</t>
        </is>
      </c>
      <c r="D5" s="7" t="inlineStr">
        <is>
          <t>工业</t>
        </is>
      </c>
      <c r="E5" s="7" t="inlineStr">
        <is>
          <t>C00001305｜陈辉｜工业｜韩国welcron5套污泥仓｜方案V1</t>
        </is>
      </c>
      <c r="F5" s="7" t="inlineStr"/>
      <c r="G5" s="7" t="n"/>
      <c r="H5" s="7" t="inlineStr">
        <is>
          <t>已结项-丢单</t>
        </is>
      </c>
      <c r="I5" s="7" t="inlineStr"/>
      <c r="J5" s="26" t="inlineStr">
        <is>
          <t>规范闭环</t>
        </is>
      </c>
      <c r="K5" s="7" t="inlineStr">
        <is>
          <t>客户改计划</t>
        </is>
      </c>
      <c r="L5" s="7" t="inlineStr"/>
      <c r="M5" s="7" t="inlineStr"/>
      <c r="N5" s="7" t="inlineStr"/>
      <c r="O5" s="7" t="inlineStr">
        <is>
          <t>是</t>
        </is>
      </c>
      <c r="P5" s="7" t="inlineStr">
        <is>
          <t>其他</t>
        </is>
      </c>
      <c r="Q5" s="7" t="inlineStr">
        <is>
          <t>kim小项目，设计完仓型，客户改计划不需要了。</t>
        </is>
      </c>
    </row>
    <row r="6" ht="36" customHeight="1">
      <c r="A6" s="7" t="n">
        <v>5</v>
      </c>
      <c r="B6" s="7" t="inlineStr">
        <is>
          <t>陈辉</t>
        </is>
      </c>
      <c r="C6" s="7" t="inlineStr">
        <is>
          <t>C00001305</t>
        </is>
      </c>
      <c r="D6" s="7" t="inlineStr">
        <is>
          <t>工业</t>
        </is>
      </c>
      <c r="E6" s="7" t="inlineStr">
        <is>
          <t>C00001305｜陈辉｜工业｜韩国140立方米 x 3套树脂仓｜方案V1</t>
        </is>
      </c>
      <c r="F6" s="7" t="inlineStr"/>
      <c r="G6" s="7" t="n"/>
      <c r="H6" s="7" t="inlineStr">
        <is>
          <t>暂停</t>
        </is>
      </c>
      <c r="I6" s="7" t="inlineStr"/>
      <c r="J6" s="26" t="inlineStr">
        <is>
          <t>规范闭环</t>
        </is>
      </c>
      <c r="K6" s="7" t="inlineStr">
        <is>
          <t>小项目暂停，客户决策中</t>
        </is>
      </c>
      <c r="L6" s="7" t="inlineStr"/>
      <c r="M6" s="7" t="inlineStr"/>
      <c r="N6" s="7" t="inlineStr"/>
      <c r="O6" s="7" t="inlineStr">
        <is>
          <t>是</t>
        </is>
      </c>
      <c r="P6" s="7" t="inlineStr"/>
      <c r="Q6" s="7" t="inlineStr">
        <is>
          <t>小项目，仅仓无设备，客户还在决策。</t>
        </is>
      </c>
    </row>
    <row r="7" ht="36" customHeight="1">
      <c r="A7" s="7" t="n">
        <v>6</v>
      </c>
      <c r="B7" s="7" t="inlineStr">
        <is>
          <t>陈辉</t>
        </is>
      </c>
      <c r="C7" s="7" t="inlineStr">
        <is>
          <t>C00002715</t>
        </is>
      </c>
      <c r="D7" s="7" t="inlineStr">
        <is>
          <t>工业</t>
        </is>
      </c>
      <c r="E7" s="7" t="inlineStr">
        <is>
          <t>C00002715｜陈辉｜工业｜塞拉利昂2个3万吨clinker项目｜方案V1 | 重点项目</t>
        </is>
      </c>
      <c r="F7" s="7" t="inlineStr"/>
      <c r="G7" s="7" t="n"/>
      <c r="H7" s="7" t="inlineStr">
        <is>
          <t>进行中</t>
        </is>
      </c>
      <c r="I7" s="25" t="inlineStr">
        <is>
          <t>是</t>
        </is>
      </c>
      <c r="J7" s="24" t="inlineStr">
        <is>
          <t>前期调研</t>
        </is>
      </c>
      <c r="K7" s="7" t="inlineStr">
        <is>
          <t>已拜访但缺资金，有效性弱</t>
        </is>
      </c>
      <c r="L7" s="7" t="inlineStr">
        <is>
          <t>是</t>
        </is>
      </c>
      <c r="M7" s="7" t="inlineStr"/>
      <c r="N7" s="7" t="inlineStr"/>
      <c r="O7" s="7" t="inlineStr"/>
      <c r="P7" s="7" t="inlineStr"/>
      <c r="Q7" s="7" t="inlineStr">
        <is>
          <t>已去拜访客户，客户想法很多，缺资金。</t>
        </is>
      </c>
    </row>
    <row r="8" ht="36" customHeight="1">
      <c r="A8" s="7" t="n">
        <v>7</v>
      </c>
      <c r="B8" s="7" t="inlineStr">
        <is>
          <t>陈辉</t>
        </is>
      </c>
      <c r="C8" s="7" t="inlineStr">
        <is>
          <t>C00009463</t>
        </is>
      </c>
      <c r="D8" s="7" t="inlineStr">
        <is>
          <t>粮食</t>
        </is>
      </c>
      <c r="E8" s="7" t="inlineStr">
        <is>
          <t>C00009463｜陈辉｜粮食｜突尼斯粮仓6x5,000t+10x8,000t｜方案V1</t>
        </is>
      </c>
      <c r="F8" s="7" t="inlineStr"/>
      <c r="G8" s="7" t="n"/>
      <c r="H8" s="7" t="inlineStr">
        <is>
          <t>进行中</t>
        </is>
      </c>
      <c r="I8" s="7" t="inlineStr"/>
      <c r="J8" s="24" t="inlineStr">
        <is>
          <t>前期调研</t>
        </is>
      </c>
      <c r="K8" s="7" t="inlineStr">
        <is>
          <t>无资金，靠国外贷款，仍在找钱</t>
        </is>
      </c>
      <c r="L8" s="7" t="inlineStr">
        <is>
          <t>是</t>
        </is>
      </c>
      <c r="M8" s="7" t="inlineStr"/>
      <c r="N8" s="7" t="inlineStr"/>
      <c r="O8" s="7" t="inlineStr"/>
      <c r="P8" s="7" t="inlineStr"/>
      <c r="Q8" s="7" t="inlineStr">
        <is>
          <t>突尼斯一家工程公司想建这几个粮仓，没有资金，要靠国外银行给贷款，介绍了TCI给他们。项目还在找钱的阶段。</t>
        </is>
      </c>
    </row>
    <row r="9" ht="36" customHeight="1">
      <c r="A9" s="7" t="n">
        <v>8</v>
      </c>
      <c r="B9" s="7" t="inlineStr">
        <is>
          <t>陈辉</t>
        </is>
      </c>
      <c r="C9" s="7" t="inlineStr">
        <is>
          <t>C00001305</t>
        </is>
      </c>
      <c r="D9" s="7" t="inlineStr">
        <is>
          <t>工业</t>
        </is>
      </c>
      <c r="E9" s="7" t="inlineStr">
        <is>
          <t>C00001305｜陈辉｜工业｜韩国3,000立方米 x 2套石膏粉仓｜方案V2</t>
        </is>
      </c>
      <c r="F9" s="7" t="inlineStr"/>
      <c r="G9" s="7" t="n"/>
      <c r="H9" s="7" t="inlineStr">
        <is>
          <t>已结项-丢单</t>
        </is>
      </c>
      <c r="I9" s="7" t="inlineStr"/>
      <c r="J9" s="26" t="inlineStr">
        <is>
          <t>规范闭环</t>
        </is>
      </c>
      <c r="K9" s="7" t="inlineStr">
        <is>
          <t>价格不及当地供应商</t>
        </is>
      </c>
      <c r="L9" s="7" t="inlineStr"/>
      <c r="M9" s="7" t="inlineStr"/>
      <c r="N9" s="7" t="inlineStr"/>
      <c r="O9" s="7" t="inlineStr">
        <is>
          <t>是</t>
        </is>
      </c>
      <c r="P9" s="7" t="inlineStr">
        <is>
          <t>价格</t>
        </is>
      </c>
      <c r="Q9" s="7" t="inlineStr">
        <is>
          <t>EPC，我方首次报价50Wusd，优化后及打折后价格42Wusd，业主说当地供应商报价32Wusd，且不需额外任何进口税费和运输费</t>
        </is>
      </c>
    </row>
    <row r="10" ht="36" customHeight="1">
      <c r="A10" s="7" t="n">
        <v>9</v>
      </c>
      <c r="B10" s="7" t="inlineStr">
        <is>
          <t>陈辉</t>
        </is>
      </c>
      <c r="C10" s="7" t="inlineStr">
        <is>
          <t>C00009287</t>
        </is>
      </c>
      <c r="D10" s="7" t="inlineStr">
        <is>
          <t>工业</t>
        </is>
      </c>
      <c r="E10" s="7" t="inlineStr">
        <is>
          <t>C00009287｜陈辉｜工业｜大宇8套磷矿粉平底仓卸料｜方案V1</t>
        </is>
      </c>
      <c r="F10" s="7" t="inlineStr"/>
      <c r="G10" s="7" t="n"/>
      <c r="H10" s="7" t="inlineStr">
        <is>
          <t>进行中</t>
        </is>
      </c>
      <c r="I10" s="7" t="inlineStr"/>
      <c r="J10" s="17" t="inlineStr">
        <is>
          <t>有效跟进</t>
        </is>
      </c>
      <c r="K10" s="7" t="inlineStr">
        <is>
          <t>DY中标则大概率选我方，等分包结果</t>
        </is>
      </c>
      <c r="L10" s="7" t="inlineStr"/>
      <c r="M10" s="7" t="inlineStr">
        <is>
          <t>是</t>
        </is>
      </c>
      <c r="N10" s="7" t="inlineStr"/>
      <c r="O10" s="7" t="inlineStr"/>
      <c r="P10" s="7" t="inlineStr"/>
      <c r="Q10" s="7" t="inlineStr">
        <is>
          <t>大宇在土库曼化肥厂项目，筒仓的卸料分包给了韩国的一家公司DY，我们给DY报价，仅报一次，技术澄清比较多，DY如果中标大概率优选选我们。</t>
        </is>
      </c>
    </row>
    <row r="11" ht="36" customHeight="1">
      <c r="A11" s="7" t="n">
        <v>10</v>
      </c>
      <c r="B11" s="7" t="inlineStr">
        <is>
          <t>陈辉</t>
        </is>
      </c>
      <c r="C11" s="7" t="inlineStr">
        <is>
          <t>C00009244</t>
        </is>
      </c>
      <c r="D11" s="7" t="inlineStr">
        <is>
          <t>工业</t>
        </is>
      </c>
      <c r="E11" s="7" t="inlineStr">
        <is>
          <t>C00009244｜陈辉｜工业｜火车卸料项目｜方案V1</t>
        </is>
      </c>
      <c r="F11" s="7" t="inlineStr"/>
      <c r="G11" s="7" t="n"/>
      <c r="H11" s="7" t="inlineStr">
        <is>
          <t>进行中</t>
        </is>
      </c>
      <c r="I11" s="7" t="inlineStr"/>
      <c r="J11" s="24" t="inlineStr">
        <is>
          <t>前期调研</t>
        </is>
      </c>
      <c r="K11" s="7" t="inlineStr">
        <is>
          <t>客户项目仍在计划评审</t>
        </is>
      </c>
      <c r="L11" s="7" t="inlineStr">
        <is>
          <t>是</t>
        </is>
      </c>
      <c r="M11" s="7" t="inlineStr"/>
      <c r="N11" s="7" t="inlineStr"/>
      <c r="O11" s="7" t="inlineStr"/>
      <c r="P11" s="7" t="inlineStr"/>
      <c r="Q11" s="7" t="inlineStr">
        <is>
          <t>客户自有仓，让我们报火车卸料后进仓和出仓相关设备。
客户的项目仍在计划评审阶段。</t>
        </is>
      </c>
    </row>
    <row r="12" ht="36" customHeight="1">
      <c r="A12" s="7" t="n">
        <v>11</v>
      </c>
      <c r="B12" s="7" t="inlineStr">
        <is>
          <t>陈辉</t>
        </is>
      </c>
      <c r="C12" s="7" t="inlineStr">
        <is>
          <t>C00008995</t>
        </is>
      </c>
      <c r="D12" s="7" t="inlineStr">
        <is>
          <t>粮食</t>
        </is>
      </c>
      <c r="E12" s="7" t="inlineStr">
        <is>
          <t>C00008995｜陈辉｜粮食｜韩国港口粮食输送项目｜方案V1</t>
        </is>
      </c>
      <c r="F12" s="7" t="inlineStr"/>
      <c r="G12" s="7" t="n"/>
      <c r="H12" s="7" t="inlineStr">
        <is>
          <t>暂停</t>
        </is>
      </c>
      <c r="I12" s="7" t="inlineStr"/>
      <c r="J12" s="26" t="inlineStr">
        <is>
          <t>规范闭环</t>
        </is>
      </c>
      <c r="K12" s="7" t="inlineStr">
        <is>
          <t>已暂停</t>
        </is>
      </c>
      <c r="L12" s="7" t="inlineStr"/>
      <c r="M12" s="7" t="inlineStr"/>
      <c r="N12" s="7" t="inlineStr"/>
      <c r="O12" s="7" t="inlineStr">
        <is>
          <t>是</t>
        </is>
      </c>
      <c r="P12" s="7" t="inlineStr"/>
      <c r="Q12" s="7" t="inlineStr">
        <is>
          <t>Kim联系的一个项目，已暂停。</t>
        </is>
      </c>
    </row>
    <row r="13" ht="36" customHeight="1">
      <c r="A13" s="7" t="n">
        <v>12</v>
      </c>
      <c r="B13" s="7" t="inlineStr">
        <is>
          <t>陈辉</t>
        </is>
      </c>
      <c r="C13" s="7" t="inlineStr">
        <is>
          <t>C00008180</t>
        </is>
      </c>
      <c r="D13" s="7" t="inlineStr">
        <is>
          <t>工业</t>
        </is>
      </c>
      <c r="E13" s="7" t="inlineStr">
        <is>
          <t>C00008180｜陈辉｜工业｜Lanwa水泥混拌系统｜方案V1 | 重点项目</t>
        </is>
      </c>
      <c r="F13" s="7" t="inlineStr"/>
      <c r="G13" s="7" t="n"/>
      <c r="H13" s="7" t="inlineStr">
        <is>
          <t>进行中</t>
        </is>
      </c>
      <c r="I13" s="25" t="inlineStr">
        <is>
          <t>是</t>
        </is>
      </c>
      <c r="J13" s="17" t="inlineStr">
        <is>
          <t>有效跟进</t>
        </is>
      </c>
      <c r="K13" s="7" t="inlineStr">
        <is>
          <t>老客户混拌，利润约束明确</t>
        </is>
      </c>
      <c r="L13" s="7" t="inlineStr"/>
      <c r="M13" s="7" t="inlineStr">
        <is>
          <t>是</t>
        </is>
      </c>
      <c r="N13" s="7" t="inlineStr"/>
      <c r="O13" s="7" t="inlineStr"/>
      <c r="P13" s="7" t="inlineStr"/>
      <c r="Q13" s="7" t="inlineStr">
        <is>
          <t>老客户，项目含3个仓+混拌（mixer客户从其他供应商订购），客户中国通，对中国钢材加工价格十万分的了解，仅允许报价有合理利润，超出会选其他供应商。</t>
        </is>
      </c>
    </row>
    <row r="14" ht="36" customHeight="1">
      <c r="A14" s="7" t="n">
        <v>13</v>
      </c>
      <c r="B14" s="7" t="inlineStr">
        <is>
          <t>陈辉</t>
        </is>
      </c>
      <c r="C14" s="7" t="inlineStr">
        <is>
          <t>C00006497</t>
        </is>
      </c>
      <c r="D14" s="7" t="inlineStr">
        <is>
          <t>粮食</t>
        </is>
      </c>
      <c r="E14" s="7" t="inlineStr">
        <is>
          <t>C00006497｜陈辉｜粮食｜埃及面粉项目｜方案V1（仅仓和钢构）</t>
        </is>
      </c>
      <c r="F14" s="7" t="inlineStr"/>
      <c r="G14" s="7" t="n"/>
      <c r="H14" s="7" t="inlineStr">
        <is>
          <t>进行中</t>
        </is>
      </c>
      <c r="I14" s="7" t="inlineStr"/>
      <c r="J14" s="27" t="inlineStr">
        <is>
          <t>浅层等待</t>
        </is>
      </c>
      <c r="K14" s="7" t="inlineStr">
        <is>
          <t>配合埃及总包投标</t>
        </is>
      </c>
      <c r="L14" s="7" t="inlineStr"/>
      <c r="M14" s="7" t="inlineStr"/>
      <c r="N14" s="7" t="inlineStr"/>
      <c r="O14" s="7" t="inlineStr"/>
      <c r="P14" s="7" t="inlineStr"/>
      <c r="Q14" s="7" t="inlineStr">
        <is>
          <t>埃及总包的一个投标项目，我们报价配合其投标。</t>
        </is>
      </c>
    </row>
    <row r="15" ht="36" customHeight="1">
      <c r="A15" s="7" t="n">
        <v>14</v>
      </c>
      <c r="B15" s="7" t="inlineStr">
        <is>
          <t>陈辉</t>
        </is>
      </c>
      <c r="C15" s="7" t="inlineStr">
        <is>
          <t>C00009849</t>
        </is>
      </c>
      <c r="D15" s="7" t="inlineStr">
        <is>
          <t>工业</t>
        </is>
      </c>
      <c r="E15" s="7" t="inlineStr">
        <is>
          <t>C00009849｜陈辉｜工业｜埃及3万吨混凝土仓（存氧化铝）项目｜方案V1</t>
        </is>
      </c>
      <c r="F15" s="7" t="inlineStr"/>
      <c r="G15" s="7" t="n"/>
      <c r="H15" s="7" t="inlineStr">
        <is>
          <t>进行中</t>
        </is>
      </c>
      <c r="I15" s="7" t="inlineStr"/>
      <c r="J15" s="27" t="inlineStr">
        <is>
          <t>浅层等待</t>
        </is>
      </c>
      <c r="K15" s="7" t="inlineStr">
        <is>
          <t>埃及建筑公司投标铝厂</t>
        </is>
      </c>
      <c r="L15" s="7" t="inlineStr"/>
      <c r="M15" s="7" t="inlineStr"/>
      <c r="N15" s="7" t="inlineStr"/>
      <c r="O15" s="7" t="inlineStr"/>
      <c r="P15" s="7" t="inlineStr"/>
      <c r="Q15" s="7" t="inlineStr">
        <is>
          <t>埃及的建筑公司作为投标人之一，向铝厂投标。</t>
        </is>
      </c>
    </row>
    <row r="16" ht="36" customHeight="1">
      <c r="A16" s="7" t="n">
        <v>15</v>
      </c>
      <c r="B16" s="7" t="inlineStr">
        <is>
          <t>陈辉</t>
        </is>
      </c>
      <c r="C16" s="7" t="inlineStr">
        <is>
          <t>C00009244</t>
        </is>
      </c>
      <c r="D16" s="7" t="inlineStr">
        <is>
          <t>工业</t>
        </is>
      </c>
      <c r="E16" s="7" t="inlineStr">
        <is>
          <t>C00009244｜陈辉｜工业｜巴西钢板仓和卸到火车项目｜方案V1</t>
        </is>
      </c>
      <c r="F16" s="7" t="inlineStr"/>
      <c r="G16" s="7" t="n"/>
      <c r="H16" s="7" t="inlineStr">
        <is>
          <t>进行中</t>
        </is>
      </c>
      <c r="I16" s="7" t="inlineStr"/>
      <c r="J16" s="24" t="inlineStr">
        <is>
          <t>前期调研</t>
        </is>
      </c>
      <c r="K16" s="7" t="inlineStr">
        <is>
          <t>规划阶段，只了解仓型和价格</t>
        </is>
      </c>
      <c r="L16" s="7" t="inlineStr">
        <is>
          <t>是</t>
        </is>
      </c>
      <c r="M16" s="7" t="inlineStr"/>
      <c r="N16" s="7" t="inlineStr"/>
      <c r="O16" s="7" t="inlineStr"/>
      <c r="P16" s="7" t="inlineStr"/>
      <c r="Q16" s="7" t="inlineStr">
        <is>
          <t>规划阶段，客户未来可能有两万吨粘土仓的需求，目前只是了解仓型和价格。</t>
        </is>
      </c>
    </row>
    <row r="17" ht="36" customHeight="1">
      <c r="A17" s="7" t="n">
        <v>16</v>
      </c>
      <c r="B17" s="7" t="inlineStr">
        <is>
          <t>陈辉</t>
        </is>
      </c>
      <c r="C17" s="7" t="inlineStr">
        <is>
          <t>C00009852</t>
        </is>
      </c>
      <c r="D17" s="7" t="inlineStr">
        <is>
          <t>工业</t>
        </is>
      </c>
      <c r="E17" s="7" t="inlineStr">
        <is>
          <t>C00009852｜陈辉｜工业｜澳洲8x6000t水泥装配仓｜方案V1（钢构量）</t>
        </is>
      </c>
      <c r="F17" s="7" t="inlineStr"/>
      <c r="G17" s="7" t="n"/>
      <c r="H17" s="7" t="inlineStr">
        <is>
          <t>进行中</t>
        </is>
      </c>
      <c r="I17" s="7" t="inlineStr"/>
      <c r="J17" s="24" t="inlineStr">
        <is>
          <t>前期调研</t>
        </is>
      </c>
      <c r="K17" s="7" t="inlineStr">
        <is>
          <t>预算，混凝土仓 vs 钢板仓评估中</t>
        </is>
      </c>
      <c r="L17" s="7" t="inlineStr">
        <is>
          <t>是</t>
        </is>
      </c>
      <c r="M17" s="7" t="inlineStr"/>
      <c r="N17" s="7" t="inlineStr"/>
      <c r="O17" s="7" t="inlineStr"/>
      <c r="P17" s="7" t="inlineStr"/>
      <c r="Q17" s="7" t="inlineStr">
        <is>
          <t>预算。客户仍在评估是建造混凝土仓or钢板仓。</t>
        </is>
      </c>
    </row>
    <row r="18" ht="36" customHeight="1">
      <c r="A18" s="7" t="n">
        <v>17</v>
      </c>
      <c r="B18" s="7" t="inlineStr">
        <is>
          <t>陈辉</t>
        </is>
      </c>
      <c r="C18" s="7" t="inlineStr">
        <is>
          <t>C00003392</t>
        </is>
      </c>
      <c r="D18" s="7" t="inlineStr">
        <is>
          <t>工业</t>
        </is>
      </c>
      <c r="E18" s="7" t="inlineStr">
        <is>
          <t>C00003392｜陈辉｜工业｜莱歇6个热镀锌仓项目｜方案V1（钢构量）</t>
        </is>
      </c>
      <c r="F18" s="7" t="inlineStr"/>
      <c r="G18" s="7" t="n"/>
      <c r="H18" s="7" t="inlineStr">
        <is>
          <t>进行中</t>
        </is>
      </c>
      <c r="I18" s="7" t="inlineStr"/>
      <c r="J18" s="24" t="inlineStr">
        <is>
          <t>前期调研</t>
        </is>
      </c>
      <c r="K18" s="7" t="inlineStr">
        <is>
          <t>业主拿出来询价比是否分包，要低价</t>
        </is>
      </c>
      <c r="L18" s="7" t="inlineStr">
        <is>
          <t>是</t>
        </is>
      </c>
      <c r="M18" s="7" t="inlineStr"/>
      <c r="N18" s="7" t="inlineStr"/>
      <c r="O18" s="7" t="inlineStr"/>
      <c r="P18" s="7" t="inlineStr"/>
      <c r="Q18" s="7" t="inlineStr">
        <is>
          <t>莱歇在台北正在做的磨粉项目，这几个仓是原本是业主范围，现在想拿出来询价，来决定是分包给莱歇去做还是业主自己做。
莱歇要求足够低价。</t>
        </is>
      </c>
    </row>
    <row r="19" ht="36" customHeight="1">
      <c r="A19" s="7" t="n">
        <v>18</v>
      </c>
      <c r="B19" s="7" t="inlineStr">
        <is>
          <t>陈子凡</t>
        </is>
      </c>
      <c r="C19" s="7" t="inlineStr">
        <is>
          <t>C00009556</t>
        </is>
      </c>
      <c r="D19" s="7" t="inlineStr">
        <is>
          <t>工业</t>
        </is>
      </c>
      <c r="E19" s="7" t="inlineStr">
        <is>
          <t>C00009556｜陈子凡｜工业｜蒙古TESO 4x2500水泥中转站｜方案V1</t>
        </is>
      </c>
      <c r="F19" s="7" t="inlineStr"/>
      <c r="G19" s="7" t="n"/>
      <c r="H19" s="7" t="inlineStr">
        <is>
          <t>进行中</t>
        </is>
      </c>
      <c r="I19" s="7" t="inlineStr"/>
      <c r="J19" s="24" t="inlineStr">
        <is>
          <t>前期调研</t>
        </is>
      </c>
      <c r="K19" s="7" t="inlineStr">
        <is>
          <t>主业食品，询价或为了解预算，见面意愿不强</t>
        </is>
      </c>
      <c r="L19" s="7" t="inlineStr">
        <is>
          <t>是</t>
        </is>
      </c>
      <c r="M19" s="7" t="inlineStr"/>
      <c r="N19" s="7" t="inlineStr"/>
      <c r="O19" s="7" t="inlineStr"/>
      <c r="P19" s="7" t="inlineStr"/>
      <c r="Q19" s="7" t="inlineStr">
        <is>
          <t>给客户发了方案，待更新报价。准备报价中，但客户主业是食品，本次询价可能只是为了解投资预算。 8月份在蒙古期间约客户见面，客户见面意愿不强</t>
        </is>
      </c>
    </row>
    <row r="20" ht="36" customHeight="1">
      <c r="A20" s="7" t="n">
        <v>19</v>
      </c>
      <c r="B20" s="7" t="inlineStr">
        <is>
          <t>陈子凡</t>
        </is>
      </c>
      <c r="C20" s="7" t="inlineStr">
        <is>
          <t>C00009734</t>
        </is>
      </c>
      <c r="D20" s="7" t="inlineStr">
        <is>
          <t>粮食</t>
        </is>
      </c>
      <c r="E20" s="7" t="inlineStr">
        <is>
          <t>C00009734｜陈子凡｜粮食｜ 阿根廷6个面粉仓+3个润麦仓+1个麸皮仓 单仓｜重量计算+清单</t>
        </is>
      </c>
      <c r="F20" s="7" t="inlineStr"/>
      <c r="G20" s="7" t="n"/>
      <c r="H20" s="7" t="inlineStr">
        <is>
          <t>进行中</t>
        </is>
      </c>
      <c r="I20" s="7" t="inlineStr"/>
      <c r="J20" s="21" t="inlineStr">
        <is>
          <t>该结未结</t>
        </is>
      </c>
      <c r="K20" s="7" t="inlineStr">
        <is>
          <t>希望不大，工程公司投标且价格极敏感</t>
        </is>
      </c>
      <c r="L20" s="7" t="inlineStr"/>
      <c r="M20" s="7" t="inlineStr"/>
      <c r="N20" s="7" t="inlineStr">
        <is>
          <t>是</t>
        </is>
      </c>
      <c r="O20" s="7" t="inlineStr"/>
      <c r="P20" s="7" t="inlineStr"/>
      <c r="Q20" s="7" t="inlineStr">
        <is>
          <t>报过价了，希望不大。客户为工程公司，项目投标中，且对方对中国供应链很了解，价格非常敏感</t>
        </is>
      </c>
    </row>
    <row r="21" ht="36" customHeight="1">
      <c r="A21" s="7" t="n">
        <v>20</v>
      </c>
      <c r="B21" s="7" t="inlineStr">
        <is>
          <t>陈子凡</t>
        </is>
      </c>
      <c r="C21" s="7" t="inlineStr">
        <is>
          <t>C00007248</t>
        </is>
      </c>
      <c r="D21" s="7" t="inlineStr">
        <is>
          <t>工业</t>
        </is>
      </c>
      <c r="E21" s="7" t="inlineStr">
        <is>
          <t>C00007248｜陈子凡｜工业｜厄瓜多尔塑料方仓项目｜清单</t>
        </is>
      </c>
      <c r="F21" s="7" t="inlineStr"/>
      <c r="G21" s="7" t="n"/>
      <c r="H21" s="7" t="inlineStr">
        <is>
          <t>进行中</t>
        </is>
      </c>
      <c r="I21" s="7" t="inlineStr"/>
      <c r="J21" s="27" t="inlineStr">
        <is>
          <t>浅层等待</t>
        </is>
      </c>
      <c r="K21" s="7" t="inlineStr">
        <is>
          <t>比价中，二期涨价后可能换商</t>
        </is>
      </c>
      <c r="L21" s="7" t="inlineStr"/>
      <c r="M21" s="7" t="inlineStr"/>
      <c r="N21" s="7" t="inlineStr"/>
      <c r="O21" s="7" t="inlineStr"/>
      <c r="P21" s="7" t="inlineStr"/>
      <c r="Q21" s="7" t="inlineStr">
        <is>
          <t>客户比价中。提交报价后等通知，本次报价相比1期项目有上涨，客户大概率会找新供应商比价</t>
        </is>
      </c>
    </row>
    <row r="22" ht="36" customHeight="1">
      <c r="A22" s="7" t="n">
        <v>21</v>
      </c>
      <c r="B22" s="7" t="inlineStr">
        <is>
          <t>陈子凡</t>
        </is>
      </c>
      <c r="C22" s="7" t="inlineStr">
        <is>
          <t>无编码</t>
        </is>
      </c>
      <c r="D22" s="7" t="inlineStr">
        <is>
          <t>粮食</t>
        </is>
      </c>
      <c r="E22" s="7" t="inlineStr">
        <is>
          <t>XXXXX｜陈子凡｜粮食｜北京生物质颗粒装车仓｜方案V1 | 初步方案</t>
        </is>
      </c>
      <c r="F22" s="7" t="inlineStr"/>
      <c r="G22" s="7" t="n"/>
      <c r="H22" s="7" t="inlineStr">
        <is>
          <t>进行中</t>
        </is>
      </c>
      <c r="I22" s="7" t="inlineStr"/>
      <c r="J22" s="24" t="inlineStr">
        <is>
          <t>前期调研</t>
        </is>
      </c>
      <c r="K22" s="7" t="inlineStr">
        <is>
          <t>较前期，联系人出差后再联系</t>
        </is>
      </c>
      <c r="L22" s="7" t="inlineStr">
        <is>
          <t>是</t>
        </is>
      </c>
      <c r="M22" s="7" t="inlineStr"/>
      <c r="N22" s="7" t="inlineStr"/>
      <c r="O22" s="7" t="inlineStr"/>
      <c r="P22" s="7" t="inlineStr"/>
      <c r="Q22" s="7" t="inlineStr">
        <is>
          <t>跟进中。项目较前期，联系人在出差，需要过一段时间再联系</t>
        </is>
      </c>
    </row>
    <row r="23" ht="36" customHeight="1">
      <c r="A23" s="7" t="n">
        <v>22</v>
      </c>
      <c r="B23" s="7" t="inlineStr">
        <is>
          <t>陈子凡</t>
        </is>
      </c>
      <c r="C23" s="7" t="inlineStr">
        <is>
          <t>C00007247</t>
        </is>
      </c>
      <c r="D23" s="7" t="inlineStr">
        <is>
          <t>工业</t>
        </is>
      </c>
      <c r="E23" s="7" t="inlineStr">
        <is>
          <t>C00007247｜陈子凡｜工业｜MAK砖厂现有气力输送系统更新项目 ｜方案V1 | 重点项目</t>
        </is>
      </c>
      <c r="F23" s="7" t="inlineStr"/>
      <c r="G23" s="7" t="n"/>
      <c r="H23" s="7" t="inlineStr">
        <is>
          <t>进行中</t>
        </is>
      </c>
      <c r="I23" s="25" t="inlineStr">
        <is>
          <t>是</t>
        </is>
      </c>
      <c r="J23" s="17" t="inlineStr">
        <is>
          <t>有效跟进</t>
        </is>
      </c>
      <c r="K23" s="7" t="inlineStr">
        <is>
          <t>报价中，近期可成交</t>
        </is>
      </c>
      <c r="L23" s="7" t="inlineStr"/>
      <c r="M23" s="7" t="inlineStr">
        <is>
          <t>是</t>
        </is>
      </c>
      <c r="N23" s="7" t="inlineStr"/>
      <c r="O23" s="7" t="inlineStr"/>
      <c r="P23" s="7" t="inlineStr"/>
      <c r="Q23" s="7" t="inlineStr">
        <is>
          <t>报价中</t>
        </is>
      </c>
    </row>
    <row r="24" ht="36" customHeight="1">
      <c r="A24" s="7" t="n">
        <v>23</v>
      </c>
      <c r="B24" s="7" t="inlineStr">
        <is>
          <t>陈子凡</t>
        </is>
      </c>
      <c r="C24" s="7" t="inlineStr">
        <is>
          <t>C00009223</t>
        </is>
      </c>
      <c r="D24" s="7" t="inlineStr">
        <is>
          <t>粮食</t>
        </is>
      </c>
      <c r="E24" s="7" t="inlineStr">
        <is>
          <t>C00009223｜陈子凡｜粮食｜马来西亚益海大豆仓单仓｜图纸+算重量V1</t>
        </is>
      </c>
      <c r="F24" s="7" t="inlineStr"/>
      <c r="G24" s="7" t="n"/>
      <c r="H24" s="7" t="inlineStr">
        <is>
          <t>已结项-丢单</t>
        </is>
      </c>
      <c r="I24" s="7" t="inlineStr"/>
      <c r="J24" s="26" t="inlineStr">
        <is>
          <t>规范闭环</t>
        </is>
      </c>
      <c r="K24" s="7" t="inlineStr">
        <is>
          <t>工厂砍预算</t>
        </is>
      </c>
      <c r="L24" s="7" t="inlineStr"/>
      <c r="M24" s="7" t="inlineStr"/>
      <c r="N24" s="7" t="inlineStr"/>
      <c r="O24" s="7" t="inlineStr">
        <is>
          <t>是</t>
        </is>
      </c>
      <c r="P24" s="7" t="inlineStr">
        <is>
          <t>预算不足</t>
        </is>
      </c>
      <c r="Q24" s="7" t="inlineStr">
        <is>
          <t>项目取消。中间人告知工厂砍掉了此项预算，改为修复现有筒仓</t>
        </is>
      </c>
    </row>
    <row r="25" ht="36" customHeight="1">
      <c r="A25" s="7" t="n">
        <v>24</v>
      </c>
      <c r="B25" s="7" t="inlineStr">
        <is>
          <t>陈子凡</t>
        </is>
      </c>
      <c r="C25" s="7" t="inlineStr">
        <is>
          <t>C00009104</t>
        </is>
      </c>
      <c r="D25" s="7" t="inlineStr">
        <is>
          <t>工业</t>
        </is>
      </c>
      <c r="E25" s="7" t="inlineStr">
        <is>
          <t>C00009104｜陈子凡｜工业｜MONCEMENT 3x2000水泥中转站｜方案V2 | 重点项目</t>
        </is>
      </c>
      <c r="F25" s="7" t="inlineStr"/>
      <c r="G25" s="7" t="n"/>
      <c r="H25" s="7" t="inlineStr">
        <is>
          <t>进行中</t>
        </is>
      </c>
      <c r="I25" s="25" t="inlineStr">
        <is>
          <t>是</t>
        </is>
      </c>
      <c r="J25" s="17" t="inlineStr">
        <is>
          <t>有效跟进</t>
        </is>
      </c>
      <c r="K25" s="7" t="inlineStr">
        <is>
          <t>拜访后更新方案，有望落地</t>
        </is>
      </c>
      <c r="L25" s="7" t="inlineStr"/>
      <c r="M25" s="7" t="inlineStr">
        <is>
          <t>是</t>
        </is>
      </c>
      <c r="N25" s="7" t="inlineStr"/>
      <c r="O25" s="7" t="inlineStr"/>
      <c r="P25" s="7" t="inlineStr"/>
      <c r="Q25" s="7" t="inlineStr">
        <is>
          <t>更新方案中。拜访后按要求更新方案，有望近期落地</t>
        </is>
      </c>
    </row>
    <row r="26" ht="36" customHeight="1">
      <c r="A26" s="7" t="n">
        <v>25</v>
      </c>
      <c r="B26" s="7" t="inlineStr">
        <is>
          <t>陈子凡</t>
        </is>
      </c>
      <c r="C26" s="7" t="inlineStr">
        <is>
          <t>无编码</t>
        </is>
      </c>
      <c r="D26" s="7" t="inlineStr">
        <is>
          <t>工业</t>
        </is>
      </c>
      <c r="E26" s="7" t="inlineStr">
        <is>
          <t>Manila 01｜陈子凡｜工业｜菲律宾生力集团机场临建项目｜算量V1</t>
        </is>
      </c>
      <c r="F26" s="7" t="inlineStr"/>
      <c r="G26" s="7" t="n"/>
      <c r="H26" s="7" t="inlineStr">
        <is>
          <t>已结项-丢单</t>
        </is>
      </c>
      <c r="I26" s="7" t="inlineStr"/>
      <c r="J26" s="26" t="inlineStr">
        <is>
          <t>规范闭环</t>
        </is>
      </c>
      <c r="K26" s="7" t="inlineStr">
        <is>
          <t>EPC土建占比高，未参与</t>
        </is>
      </c>
      <c r="L26" s="7" t="inlineStr"/>
      <c r="M26" s="7" t="inlineStr"/>
      <c r="N26" s="7" t="inlineStr"/>
      <c r="O26" s="7" t="inlineStr">
        <is>
          <t>是</t>
        </is>
      </c>
      <c r="P26" s="7" t="inlineStr">
        <is>
          <t>其他</t>
        </is>
      </c>
      <c r="Q26" s="7" t="inlineStr">
        <is>
          <t>未参与</t>
        </is>
      </c>
    </row>
    <row r="27" ht="36" customHeight="1">
      <c r="A27" s="7" t="n">
        <v>26</v>
      </c>
      <c r="B27" s="7" t="inlineStr">
        <is>
          <t>陈子凡</t>
        </is>
      </c>
      <c r="C27" s="7" t="inlineStr">
        <is>
          <t>无编码</t>
        </is>
      </c>
      <c r="D27" s="7" t="inlineStr">
        <is>
          <t>粮食</t>
        </is>
      </c>
      <c r="E27" s="7" t="inlineStr">
        <is>
          <t>Manila 01｜陈子凡｜粮食｜SMC SHIPPING 平方仓项目｜方案V1</t>
        </is>
      </c>
      <c r="F27" s="7" t="inlineStr"/>
      <c r="G27" s="7" t="n"/>
      <c r="H27" s="7" t="inlineStr">
        <is>
          <t>已结项-丢单</t>
        </is>
      </c>
      <c r="I27" s="7" t="inlineStr"/>
      <c r="J27" s="26" t="inlineStr">
        <is>
          <t>规范闭环</t>
        </is>
      </c>
      <c r="K27" s="7" t="inlineStr">
        <is>
          <t>钢结构厂房价格无竞争力</t>
        </is>
      </c>
      <c r="L27" s="7" t="inlineStr"/>
      <c r="M27" s="7" t="inlineStr"/>
      <c r="N27" s="7" t="inlineStr"/>
      <c r="O27" s="7" t="inlineStr">
        <is>
          <t>是</t>
        </is>
      </c>
      <c r="P27" s="7" t="inlineStr">
        <is>
          <t>价格</t>
        </is>
      </c>
      <c r="Q27" s="7" t="inlineStr">
        <is>
          <t>价格高，客户买了别人的，可能是越南的，我们在钢结构厂房上没有竞争力</t>
        </is>
      </c>
    </row>
    <row r="28" ht="36" customHeight="1">
      <c r="A28" s="7" t="n">
        <v>27</v>
      </c>
      <c r="B28" s="7" t="inlineStr">
        <is>
          <t>陈子凡</t>
        </is>
      </c>
      <c r="C28" s="7" t="inlineStr">
        <is>
          <t>C00009101</t>
        </is>
      </c>
      <c r="D28" s="7" t="inlineStr">
        <is>
          <t>工业</t>
        </is>
      </c>
      <c r="E28" s="7" t="inlineStr">
        <is>
          <t>C00009101｜陈子凡｜工业｜毛里求斯塑料颗粒圆仓（铝仓，单仓）｜方案+清单V1</t>
        </is>
      </c>
      <c r="F28" s="7" t="inlineStr"/>
      <c r="G28" s="7" t="n"/>
      <c r="H28" s="7" t="inlineStr">
        <is>
          <t>已结项-丢单</t>
        </is>
      </c>
      <c r="I28" s="7" t="inlineStr"/>
      <c r="J28" s="26" t="inlineStr">
        <is>
          <t>规范闭环</t>
        </is>
      </c>
      <c r="K28" s="7" t="inlineStr">
        <is>
          <t>体量小主动放弃</t>
        </is>
      </c>
      <c r="L28" s="7" t="inlineStr"/>
      <c r="M28" s="7" t="inlineStr"/>
      <c r="N28" s="7" t="inlineStr"/>
      <c r="O28" s="7" t="inlineStr">
        <is>
          <t>是</t>
        </is>
      </c>
      <c r="P28" s="7" t="inlineStr">
        <is>
          <t>其他</t>
        </is>
      </c>
      <c r="Q28" s="7" t="inlineStr">
        <is>
          <t>项目较小，放弃</t>
        </is>
      </c>
    </row>
    <row r="29" ht="36" customHeight="1">
      <c r="A29" s="7" t="n">
        <v>28</v>
      </c>
      <c r="B29" s="7" t="inlineStr">
        <is>
          <t>陈子凡</t>
        </is>
      </c>
      <c r="C29" s="7" t="inlineStr">
        <is>
          <t>C00008912</t>
        </is>
      </c>
      <c r="D29" s="7" t="inlineStr">
        <is>
          <t>工业</t>
        </is>
      </c>
      <c r="E29" s="7" t="inlineStr">
        <is>
          <t>C00008912 ｜陈子凡｜工业｜印度尼西亚碳酸钙仓｜方案+清单V1</t>
        </is>
      </c>
      <c r="F29" s="7" t="inlineStr"/>
      <c r="G29" s="7" t="n"/>
      <c r="H29" s="7" t="inlineStr">
        <is>
          <t>已结项-丢单</t>
        </is>
      </c>
      <c r="I29" s="7" t="inlineStr"/>
      <c r="J29" s="26" t="inlineStr">
        <is>
          <t>规范闭环</t>
        </is>
      </c>
      <c r="K29" s="7" t="inlineStr">
        <is>
          <t>体量小主动放弃</t>
        </is>
      </c>
      <c r="L29" s="7" t="inlineStr"/>
      <c r="M29" s="7" t="inlineStr"/>
      <c r="N29" s="7" t="inlineStr"/>
      <c r="O29" s="7" t="inlineStr">
        <is>
          <t>是</t>
        </is>
      </c>
      <c r="P29" s="7" t="inlineStr">
        <is>
          <t>价格</t>
        </is>
      </c>
      <c r="Q29" s="7" t="inlineStr">
        <is>
          <t>项目小，放弃</t>
        </is>
      </c>
    </row>
    <row r="30" ht="36" customHeight="1">
      <c r="A30" s="7" t="n">
        <v>29</v>
      </c>
      <c r="B30" s="7" t="inlineStr">
        <is>
          <t>陈子凡</t>
        </is>
      </c>
      <c r="C30" s="7" t="inlineStr">
        <is>
          <t>无编码</t>
        </is>
      </c>
      <c r="D30" s="7" t="inlineStr"/>
      <c r="E30" s="7" t="inlineStr">
        <is>
          <t>20260304 菲律宾生力集团 取料机报价</t>
        </is>
      </c>
      <c r="F30" s="7" t="inlineStr"/>
      <c r="G30" s="7" t="n"/>
      <c r="H30" s="7" t="inlineStr">
        <is>
          <t>进行中</t>
        </is>
      </c>
      <c r="I30" s="25" t="inlineStr">
        <is>
          <t>是</t>
        </is>
      </c>
      <c r="J30" s="17" t="inlineStr">
        <is>
          <t>有效跟进</t>
        </is>
      </c>
      <c r="K30" s="7" t="inlineStr">
        <is>
          <t>重点：生力取料机，等授标通知</t>
        </is>
      </c>
      <c r="L30" s="7" t="inlineStr"/>
      <c r="M30" s="7" t="inlineStr">
        <is>
          <t>是</t>
        </is>
      </c>
      <c r="N30" s="7" t="inlineStr"/>
      <c r="O30" s="7" t="inlineStr"/>
      <c r="P30" s="7" t="inlineStr"/>
      <c r="Q30" s="7" t="inlineStr">
        <is>
          <t>等授标通知</t>
        </is>
      </c>
    </row>
    <row r="31" ht="36" customHeight="1">
      <c r="A31" s="7" t="n">
        <v>30</v>
      </c>
      <c r="B31" s="7" t="inlineStr">
        <is>
          <t>陈子凡</t>
        </is>
      </c>
      <c r="C31" s="7" t="inlineStr">
        <is>
          <t>C00007247</t>
        </is>
      </c>
      <c r="D31" s="7" t="inlineStr"/>
      <c r="E31" s="7" t="inlineStr">
        <is>
          <t>20260302 C00007247 MAK 陈子凡 2x150吨小仓方案 报价</t>
        </is>
      </c>
      <c r="F31" s="7" t="inlineStr"/>
      <c r="G31" s="7" t="n"/>
      <c r="H31" s="7" t="inlineStr">
        <is>
          <t>已结项-签约</t>
        </is>
      </c>
      <c r="I31" s="25" t="inlineStr">
        <is>
          <t>是</t>
        </is>
      </c>
      <c r="J31" s="26" t="inlineStr">
        <is>
          <t>规范闭环</t>
        </is>
      </c>
      <c r="K31" s="7" t="inlineStr">
        <is>
          <t>重点：MAK 2×150吨小仓，已成交，样本内唯一签约</t>
        </is>
      </c>
      <c r="L31" s="7" t="inlineStr"/>
      <c r="M31" s="7" t="inlineStr"/>
      <c r="N31" s="7" t="inlineStr"/>
      <c r="O31" s="7" t="inlineStr">
        <is>
          <t>是</t>
        </is>
      </c>
      <c r="P31" s="7" t="inlineStr"/>
      <c r="Q31" s="7" t="inlineStr">
        <is>
          <t>已成交</t>
        </is>
      </c>
    </row>
    <row r="32" ht="36" customHeight="1">
      <c r="A32" s="7" t="n">
        <v>31</v>
      </c>
      <c r="B32" s="7" t="inlineStr">
        <is>
          <t>陈子凡</t>
        </is>
      </c>
      <c r="C32" s="7" t="inlineStr">
        <is>
          <t>无编码</t>
        </is>
      </c>
      <c r="D32" s="7" t="inlineStr"/>
      <c r="E32" s="7" t="inlineStr">
        <is>
          <t>20260206 陈子凡 南美3x1000/3X2000/3X2500吨水泥仓方案+清单</t>
        </is>
      </c>
      <c r="F32" s="7" t="inlineStr"/>
      <c r="G32" s="7" t="n"/>
      <c r="H32" s="7" t="inlineStr">
        <is>
          <t>已结项-丢单</t>
        </is>
      </c>
      <c r="I32" s="7" t="inlineStr"/>
      <c r="J32" s="26" t="inlineStr">
        <is>
          <t>规范闭环</t>
        </is>
      </c>
      <c r="K32" s="7" t="inlineStr">
        <is>
          <t>北京中间商，真实性存疑</t>
        </is>
      </c>
      <c r="L32" s="7" t="inlineStr"/>
      <c r="M32" s="7" t="inlineStr"/>
      <c r="N32" s="7" t="inlineStr"/>
      <c r="O32" s="7" t="inlineStr">
        <is>
          <t>是</t>
        </is>
      </c>
      <c r="P32" s="7" t="inlineStr">
        <is>
          <t>其他</t>
        </is>
      </c>
      <c r="Q32" s="7" t="inlineStr">
        <is>
          <t>项目真实性存疑</t>
        </is>
      </c>
    </row>
    <row r="33" ht="36" customHeight="1">
      <c r="A33" s="7" t="n">
        <v>32</v>
      </c>
      <c r="B33" s="7" t="inlineStr">
        <is>
          <t>陈子凡</t>
        </is>
      </c>
      <c r="C33" s="7" t="inlineStr">
        <is>
          <t>无编码</t>
        </is>
      </c>
      <c r="D33" s="7" t="inlineStr"/>
      <c r="E33" s="7" t="inlineStr">
        <is>
          <t>20260113陈子凡  巴基斯坦4000吨稻壳颗粒仓及上料系统</t>
        </is>
      </c>
      <c r="F33" s="7" t="inlineStr"/>
      <c r="G33" s="7" t="n"/>
      <c r="H33" s="7" t="inlineStr">
        <is>
          <t>暂停</t>
        </is>
      </c>
      <c r="I33" s="7" t="inlineStr"/>
      <c r="J33" s="26" t="inlineStr">
        <is>
          <t>规范闭环</t>
        </is>
      </c>
      <c r="K33" s="7" t="inlineStr">
        <is>
          <t>项目暂停</t>
        </is>
      </c>
      <c r="L33" s="7" t="inlineStr"/>
      <c r="M33" s="7" t="inlineStr"/>
      <c r="N33" s="7" t="inlineStr"/>
      <c r="O33" s="7" t="inlineStr">
        <is>
          <t>是</t>
        </is>
      </c>
      <c r="P33" s="7" t="inlineStr"/>
      <c r="Q33" s="7" t="inlineStr">
        <is>
          <t>项目暂停</t>
        </is>
      </c>
    </row>
    <row r="34" ht="36" customHeight="1">
      <c r="A34" s="7" t="n">
        <v>33</v>
      </c>
      <c r="B34" s="7" t="inlineStr">
        <is>
          <t>陈子凡</t>
        </is>
      </c>
      <c r="C34" s="7" t="inlineStr">
        <is>
          <t>无编码</t>
        </is>
      </c>
      <c r="D34" s="7" t="inlineStr">
        <is>
          <t>粮食</t>
        </is>
      </c>
      <c r="E34" s="7" t="inlineStr">
        <is>
          <t>Manila01｜陈子凡｜粮食｜菲律宾4x2000吨锥底仓｜清单V1 | 报价清单</t>
        </is>
      </c>
      <c r="F34" s="7" t="inlineStr"/>
      <c r="G34" s="7" t="n"/>
      <c r="H34" s="7" t="inlineStr">
        <is>
          <t>进行中</t>
        </is>
      </c>
      <c r="I34" s="7" t="inlineStr"/>
      <c r="J34" s="27" t="inlineStr">
        <is>
          <t>浅层等待</t>
        </is>
      </c>
      <c r="K34" s="7" t="inlineStr">
        <is>
          <t>上周报价等反馈，单仓</t>
        </is>
      </c>
      <c r="L34" s="7" t="inlineStr"/>
      <c r="M34" s="7" t="inlineStr"/>
      <c r="N34" s="7" t="inlineStr"/>
      <c r="O34" s="7" t="inlineStr"/>
      <c r="P34" s="7" t="inlineStr"/>
      <c r="Q34" s="7" t="inlineStr">
        <is>
          <t>已提交报价，等反馈。单仓项目，上周报价，等反馈。</t>
        </is>
      </c>
    </row>
    <row r="35" ht="36" customHeight="1">
      <c r="A35" s="7" t="n">
        <v>34</v>
      </c>
      <c r="B35" s="7" t="inlineStr">
        <is>
          <t>崔阳</t>
        </is>
      </c>
      <c r="C35" s="7" t="inlineStr">
        <is>
          <t>C00005424</t>
        </is>
      </c>
      <c r="D35" s="7" t="inlineStr">
        <is>
          <t>工业</t>
        </is>
      </c>
      <c r="E35" s="7" t="inlineStr">
        <is>
          <t>C00005424|崔阳|工业|Sibur塑料颗粒的气力输送项目|方案V1</t>
        </is>
      </c>
      <c r="F35" s="7" t="inlineStr"/>
      <c r="G35" s="7" t="n"/>
      <c r="H35" s="7" t="inlineStr">
        <is>
          <t>进行中</t>
        </is>
      </c>
      <c r="I35" s="7" t="inlineStr"/>
      <c r="J35" s="17" t="inlineStr">
        <is>
          <t>有效跟进</t>
        </is>
      </c>
      <c r="K35" s="7" t="inlineStr">
        <is>
          <t>实地勘察后技术部出最终方案</t>
        </is>
      </c>
      <c r="L35" s="7" t="inlineStr"/>
      <c r="M35" s="7" t="inlineStr">
        <is>
          <t>是</t>
        </is>
      </c>
      <c r="N35" s="7" t="inlineStr"/>
      <c r="O35" s="7" t="inlineStr"/>
      <c r="P35" s="7" t="inlineStr"/>
      <c r="Q35" s="7" t="inlineStr">
        <is>
          <t>项目进行实地勘察后，技术部正在出最终方案</t>
        </is>
      </c>
    </row>
    <row r="36" ht="36" customHeight="1">
      <c r="A36" s="7" t="n">
        <v>35</v>
      </c>
      <c r="B36" s="7" t="inlineStr">
        <is>
          <t>崔阳</t>
        </is>
      </c>
      <c r="C36" s="7" t="inlineStr">
        <is>
          <t>C00006570</t>
        </is>
      </c>
      <c r="D36" s="7" t="inlineStr">
        <is>
          <t>工业</t>
        </is>
      </c>
      <c r="E36" s="7" t="inlineStr">
        <is>
          <t>C00006570|崔阳|工业|Powerz螺旋输送机采购|方案V1</t>
        </is>
      </c>
      <c r="F36" s="7" t="inlineStr"/>
      <c r="G36" s="7" t="n"/>
      <c r="H36" s="7" t="inlineStr">
        <is>
          <t>进行中</t>
        </is>
      </c>
      <c r="I36" s="7" t="inlineStr"/>
      <c r="J36" s="27" t="inlineStr">
        <is>
          <t>浅层等待</t>
        </is>
      </c>
      <c r="K36" s="7" t="inlineStr">
        <is>
          <t>报价已交最终业主，等回复</t>
        </is>
      </c>
      <c r="L36" s="7" t="inlineStr"/>
      <c r="M36" s="7" t="inlineStr"/>
      <c r="N36" s="7" t="inlineStr"/>
      <c r="O36" s="7" t="inlineStr"/>
      <c r="P36" s="7" t="inlineStr"/>
      <c r="Q36" s="7" t="inlineStr">
        <is>
          <t>项目报价已提交最终业主</t>
        </is>
      </c>
    </row>
    <row r="37" ht="36" customHeight="1">
      <c r="A37" s="7" t="n">
        <v>36</v>
      </c>
      <c r="B37" s="7" t="inlineStr">
        <is>
          <t>崔阳</t>
        </is>
      </c>
      <c r="C37" s="7" t="inlineStr">
        <is>
          <t>C00006458</t>
        </is>
      </c>
      <c r="D37" s="7" t="inlineStr">
        <is>
          <t>工业</t>
        </is>
      </c>
      <c r="E37" s="7" t="inlineStr">
        <is>
          <t>C00006458 崔阳|工业|达涅利 辊道和步进梁项目 |方案V1</t>
        </is>
      </c>
      <c r="F37" s="7" t="inlineStr"/>
      <c r="G37" s="7" t="n"/>
      <c r="H37" s="7" t="inlineStr">
        <is>
          <t>进行中</t>
        </is>
      </c>
      <c r="I37" s="7" t="inlineStr"/>
      <c r="J37" s="27" t="inlineStr">
        <is>
          <t>浅层等待</t>
        </is>
      </c>
      <c r="K37" s="7" t="inlineStr">
        <is>
          <t>方案未出，仍在找生产厂家</t>
        </is>
      </c>
      <c r="L37" s="7" t="inlineStr"/>
      <c r="M37" s="7" t="inlineStr"/>
      <c r="N37" s="7" t="inlineStr"/>
      <c r="O37" s="7" t="inlineStr"/>
      <c r="P37" s="7" t="inlineStr"/>
      <c r="Q37" s="7" t="inlineStr">
        <is>
          <t>正在寻找相应生产厂家，方案未出</t>
        </is>
      </c>
    </row>
    <row r="38" ht="36" customHeight="1">
      <c r="A38" s="7" t="n">
        <v>37</v>
      </c>
      <c r="B38" s="7" t="inlineStr">
        <is>
          <t>崔阳</t>
        </is>
      </c>
      <c r="C38" s="7" t="inlineStr">
        <is>
          <t>C00009596</t>
        </is>
      </c>
      <c r="D38" s="7" t="inlineStr">
        <is>
          <t>工业</t>
        </is>
      </c>
      <c r="E38" s="7" t="inlineStr">
        <is>
          <t>C00009596   崔阳|工业|乌克兰AIK-EKO 铜矿石筒仓项目 |方案V1</t>
        </is>
      </c>
      <c r="F38" s="7" t="inlineStr"/>
      <c r="G38" s="7" t="n"/>
      <c r="H38" s="7" t="inlineStr">
        <is>
          <t>进行中</t>
        </is>
      </c>
      <c r="I38" s="7" t="inlineStr"/>
      <c r="J38" s="27" t="inlineStr">
        <is>
          <t>浅层等待</t>
        </is>
      </c>
      <c r="K38" s="7" t="inlineStr">
        <is>
          <t>已报价，业主让等待回复</t>
        </is>
      </c>
      <c r="L38" s="7" t="inlineStr"/>
      <c r="M38" s="7" t="inlineStr"/>
      <c r="N38" s="7" t="inlineStr"/>
      <c r="O38" s="7" t="inlineStr"/>
      <c r="P38" s="7" t="inlineStr"/>
      <c r="Q38" s="7" t="inlineStr">
        <is>
          <t>报价已报出，业主让等待回复</t>
        </is>
      </c>
    </row>
    <row r="39" ht="36" customHeight="1">
      <c r="A39" s="7" t="n">
        <v>38</v>
      </c>
      <c r="B39" s="7" t="inlineStr">
        <is>
          <t>崔阳</t>
        </is>
      </c>
      <c r="C39" s="7" t="inlineStr">
        <is>
          <t>C00009055</t>
        </is>
      </c>
      <c r="D39" s="7" t="inlineStr">
        <is>
          <t>工业</t>
        </is>
      </c>
      <c r="E39" s="7" t="inlineStr">
        <is>
          <t>C00009055 崔阳|工业|CC7 Europe 化工回收项目 |方案V1</t>
        </is>
      </c>
      <c r="F39" s="7" t="inlineStr"/>
      <c r="G39" s="7" t="n"/>
      <c r="H39" s="7" t="inlineStr">
        <is>
          <t>进行中</t>
        </is>
      </c>
      <c r="I39" s="7" t="inlineStr"/>
      <c r="J39" s="17" t="inlineStr">
        <is>
          <t>有效跟进</t>
        </is>
      </c>
      <c r="K39" s="7" t="inlineStr">
        <is>
          <t>资质已交最终业主审查</t>
        </is>
      </c>
      <c r="L39" s="7" t="inlineStr"/>
      <c r="M39" s="7" t="inlineStr">
        <is>
          <t>是</t>
        </is>
      </c>
      <c r="N39" s="7" t="inlineStr"/>
      <c r="O39" s="7" t="inlineStr"/>
      <c r="P39" s="7" t="inlineStr"/>
      <c r="Q39" s="7" t="inlineStr">
        <is>
          <t>已将我方资质提交最终业主，业主进行资质审查</t>
        </is>
      </c>
    </row>
    <row r="40" ht="36" customHeight="1">
      <c r="A40" s="7" t="n">
        <v>39</v>
      </c>
      <c r="B40" s="7" t="inlineStr">
        <is>
          <t>崔阳</t>
        </is>
      </c>
      <c r="C40" s="7" t="inlineStr">
        <is>
          <t>C00006514</t>
        </is>
      </c>
      <c r="D40" s="7" t="inlineStr">
        <is>
          <t>工业</t>
        </is>
      </c>
      <c r="E40" s="7" t="inlineStr">
        <is>
          <t>C00006514|崔阳|工业|cotes哈萨克斯坦4个矿石仓项目|方案V1</t>
        </is>
      </c>
      <c r="F40" s="7" t="inlineStr"/>
      <c r="G40" s="7" t="n"/>
      <c r="H40" s="7" t="inlineStr">
        <is>
          <t>进行中</t>
        </is>
      </c>
      <c r="I40" s="7" t="inlineStr"/>
      <c r="J40" s="17" t="inlineStr">
        <is>
          <t>有效跟进</t>
        </is>
      </c>
      <c r="K40" s="7" t="inlineStr">
        <is>
          <t>cotes矿石仓技术探讨，尚未报价</t>
        </is>
      </c>
      <c r="L40" s="7" t="inlineStr"/>
      <c r="M40" s="7" t="inlineStr">
        <is>
          <t>是</t>
        </is>
      </c>
      <c r="N40" s="7" t="inlineStr"/>
      <c r="O40" s="7" t="inlineStr"/>
      <c r="P40" s="7" t="inlineStr"/>
      <c r="Q40" s="7" t="inlineStr">
        <is>
          <t>处于技术探讨阶段 还未报价</t>
        </is>
      </c>
    </row>
    <row r="41" ht="36" customHeight="1">
      <c r="A41" s="7" t="n">
        <v>40</v>
      </c>
      <c r="B41" s="7" t="inlineStr">
        <is>
          <t>崔阳</t>
        </is>
      </c>
      <c r="C41" s="7" t="inlineStr">
        <is>
          <t>C00009720</t>
        </is>
      </c>
      <c r="D41" s="7" t="inlineStr">
        <is>
          <t>工业</t>
        </is>
      </c>
      <c r="E41" s="7" t="inlineStr">
        <is>
          <t>C00009720|崔阳|工业|乌兹别克斯坦撒马尔罕3000吨水泥厂项目|方案V1</t>
        </is>
      </c>
      <c r="F41" s="7" t="inlineStr"/>
      <c r="G41" s="7" t="n"/>
      <c r="H41" s="7" t="inlineStr">
        <is>
          <t>进行中</t>
        </is>
      </c>
      <c r="I41" s="7" t="inlineStr"/>
      <c r="J41" s="27" t="inlineStr">
        <is>
          <t>浅层等待</t>
        </is>
      </c>
      <c r="K41" s="7" t="inlineStr">
        <is>
          <t>报价给中间人，等业主审核</t>
        </is>
      </c>
      <c r="L41" s="7" t="inlineStr"/>
      <c r="M41" s="7" t="inlineStr"/>
      <c r="N41" s="7" t="inlineStr"/>
      <c r="O41" s="7" t="inlineStr"/>
      <c r="P41" s="7" t="inlineStr"/>
      <c r="Q41" s="7" t="inlineStr">
        <is>
          <t>报价提供给中间人，中间人让等待业主审核</t>
        </is>
      </c>
    </row>
    <row r="42" ht="36" customHeight="1">
      <c r="A42" s="7" t="n">
        <v>41</v>
      </c>
      <c r="B42" s="7" t="inlineStr">
        <is>
          <t>崔阳</t>
        </is>
      </c>
      <c r="C42" s="7" t="inlineStr">
        <is>
          <t>C00007843</t>
        </is>
      </c>
      <c r="D42" s="7" t="inlineStr">
        <is>
          <t>工业</t>
        </is>
      </c>
      <c r="E42" s="7" t="inlineStr">
        <is>
          <t>C00007843|崔阳|工业|Эннова散装机|方案V1</t>
        </is>
      </c>
      <c r="F42" s="7" t="inlineStr"/>
      <c r="G42" s="7" t="n"/>
      <c r="H42" s="7" t="inlineStr">
        <is>
          <t>进行中</t>
        </is>
      </c>
      <c r="I42" s="7" t="inlineStr"/>
      <c r="J42" s="27" t="inlineStr">
        <is>
          <t>浅层等待</t>
        </is>
      </c>
      <c r="K42" s="7" t="inlineStr">
        <is>
          <t>已报价，最终业主评审中</t>
        </is>
      </c>
      <c r="L42" s="7" t="inlineStr"/>
      <c r="M42" s="7" t="inlineStr"/>
      <c r="N42" s="7" t="inlineStr"/>
      <c r="O42" s="7" t="inlineStr"/>
      <c r="P42" s="7" t="inlineStr"/>
      <c r="Q42" s="7" t="inlineStr">
        <is>
          <t>已提供报价 最终业主在评审</t>
        </is>
      </c>
    </row>
    <row r="43" ht="36" customHeight="1">
      <c r="A43" s="7" t="n">
        <v>42</v>
      </c>
      <c r="B43" s="7" t="inlineStr">
        <is>
          <t>崔阳</t>
        </is>
      </c>
      <c r="C43" s="7" t="inlineStr">
        <is>
          <t>C00009506</t>
        </is>
      </c>
      <c r="D43" s="7" t="inlineStr">
        <is>
          <t>粮食</t>
        </is>
      </c>
      <c r="E43" s="7" t="inlineStr">
        <is>
          <t>C00009506  |崔阳|粮食| RUSAGRO农作物种子加工厂项目|方案V1</t>
        </is>
      </c>
      <c r="F43" s="7" t="inlineStr"/>
      <c r="G43" s="7" t="n"/>
      <c r="H43" s="7" t="inlineStr">
        <is>
          <t>进行中</t>
        </is>
      </c>
      <c r="I43" s="7" t="inlineStr"/>
      <c r="J43" s="17" t="inlineStr">
        <is>
          <t>有效跟进</t>
        </is>
      </c>
      <c r="K43" s="7" t="inlineStr">
        <is>
          <t>客户提议9月现场考察</t>
        </is>
      </c>
      <c r="L43" s="7" t="inlineStr"/>
      <c r="M43" s="7" t="inlineStr">
        <is>
          <t>是</t>
        </is>
      </c>
      <c r="N43" s="7" t="inlineStr"/>
      <c r="O43" s="7" t="inlineStr"/>
      <c r="P43" s="7" t="inlineStr"/>
      <c r="Q43" s="7" t="inlineStr">
        <is>
          <t>客户提议九月份进行现场考察</t>
        </is>
      </c>
    </row>
    <row r="44" ht="36" customHeight="1">
      <c r="A44" s="7" t="n">
        <v>43</v>
      </c>
      <c r="B44" s="7" t="inlineStr">
        <is>
          <t>崔阳</t>
        </is>
      </c>
      <c r="C44" s="7" t="inlineStr">
        <is>
          <t>C00009372</t>
        </is>
      </c>
      <c r="D44" s="7" t="inlineStr">
        <is>
          <t>工业</t>
        </is>
      </c>
      <c r="E44" s="7" t="inlineStr">
        <is>
          <t>C00009372  |崔阳|工业|UZMETKOMBINATA, FILIAL 铁合金及辅料石灰日间仓储整套工艺设备EPC项目 |方案V1</t>
        </is>
      </c>
      <c r="F44" s="7" t="inlineStr"/>
      <c r="G44" s="7" t="n"/>
      <c r="H44" s="7" t="inlineStr">
        <is>
          <t>已结项-丢单</t>
        </is>
      </c>
      <c r="I44" s="7" t="inlineStr"/>
      <c r="J44" s="26" t="inlineStr">
        <is>
          <t>规范闭环</t>
        </is>
      </c>
      <c r="K44" s="7" t="inlineStr">
        <is>
          <t>价格过高，业主不继续</t>
        </is>
      </c>
      <c r="L44" s="7" t="inlineStr"/>
      <c r="M44" s="7" t="inlineStr"/>
      <c r="N44" s="7" t="inlineStr"/>
      <c r="O44" s="7" t="inlineStr">
        <is>
          <t>是</t>
        </is>
      </c>
      <c r="P44" s="7" t="inlineStr">
        <is>
          <t>价格</t>
        </is>
      </c>
      <c r="Q44" s="7" t="inlineStr">
        <is>
          <t>已经报价</t>
        </is>
      </c>
    </row>
    <row r="45" ht="36" customHeight="1">
      <c r="A45" s="7" t="n">
        <v>44</v>
      </c>
      <c r="B45" s="7" t="inlineStr">
        <is>
          <t>崔阳</t>
        </is>
      </c>
      <c r="C45" s="7" t="inlineStr">
        <is>
          <t>C00009055</t>
        </is>
      </c>
      <c r="D45" s="7" t="inlineStr">
        <is>
          <t>工业</t>
        </is>
      </c>
      <c r="E45" s="7" t="inlineStr">
        <is>
          <t>C00009055 崔阳|工业|CC7 Europe 石灰给料包项目 |方案V1</t>
        </is>
      </c>
      <c r="F45" s="7" t="inlineStr"/>
      <c r="G45" s="7" t="n"/>
      <c r="H45" s="7" t="inlineStr">
        <is>
          <t>进行中</t>
        </is>
      </c>
      <c r="I45" s="7" t="inlineStr"/>
      <c r="J45" s="22" t="inlineStr">
        <is>
          <t>重复开单</t>
        </is>
      </c>
      <c r="K45" s="7" t="inlineStr">
        <is>
          <t>与序号38同一CC7项目</t>
        </is>
      </c>
      <c r="L45" s="7" t="inlineStr"/>
      <c r="M45" s="7" t="inlineStr"/>
      <c r="N45" s="7" t="inlineStr"/>
      <c r="O45" s="7" t="inlineStr"/>
      <c r="P45" s="7" t="inlineStr"/>
      <c r="Q45" s="7" t="inlineStr">
        <is>
          <t>和38是同一个项目</t>
        </is>
      </c>
    </row>
    <row r="46" ht="36" customHeight="1">
      <c r="A46" s="7" t="n">
        <v>45</v>
      </c>
      <c r="B46" s="7" t="inlineStr">
        <is>
          <t>崔阳</t>
        </is>
      </c>
      <c r="C46" s="7" t="inlineStr">
        <is>
          <t>C00009398</t>
        </is>
      </c>
      <c r="D46" s="7" t="inlineStr">
        <is>
          <t>工业</t>
        </is>
      </c>
      <c r="E46" s="7" t="inlineStr">
        <is>
          <t>C00009398 |崔阳|工业|ООО «Бункер-Порт»氧化铝港口储存及输送项目|方案V1</t>
        </is>
      </c>
      <c r="F46" s="7" t="inlineStr"/>
      <c r="G46" s="7" t="n"/>
      <c r="H46" s="7" t="inlineStr">
        <is>
          <t>已结项-丢单</t>
        </is>
      </c>
      <c r="I46" s="7" t="inlineStr"/>
      <c r="J46" s="26" t="inlineStr">
        <is>
          <t>规范闭环</t>
        </is>
      </c>
      <c r="K46" s="7" t="inlineStr">
        <is>
          <t>技术方案不满足，未进报价</t>
        </is>
      </c>
      <c r="L46" s="7" t="inlineStr"/>
      <c r="M46" s="7" t="inlineStr"/>
      <c r="N46" s="7" t="inlineStr"/>
      <c r="O46" s="7" t="inlineStr">
        <is>
          <t>是</t>
        </is>
      </c>
      <c r="P46" s="7" t="inlineStr">
        <is>
          <t>其他</t>
        </is>
      </c>
      <c r="Q46" s="7" t="inlineStr">
        <is>
          <t>技术任务不满足客户需求 没有进入报价阶段</t>
        </is>
      </c>
    </row>
    <row r="47" ht="36" customHeight="1">
      <c r="A47" s="7" t="n">
        <v>46</v>
      </c>
      <c r="B47" s="7" t="inlineStr">
        <is>
          <t>崔阳</t>
        </is>
      </c>
      <c r="C47" s="7" t="inlineStr">
        <is>
          <t>C00006514</t>
        </is>
      </c>
      <c r="D47" s="7" t="inlineStr">
        <is>
          <t>工业</t>
        </is>
      </c>
      <c r="E47" s="7" t="inlineStr">
        <is>
          <t>C00006514|崔阳|工业|cotes烧碱和硫酸钠化工仓|方案V1</t>
        </is>
      </c>
      <c r="F47" s="7" t="inlineStr"/>
      <c r="G47" s="7" t="n"/>
      <c r="H47" s="7" t="inlineStr">
        <is>
          <t>进行中</t>
        </is>
      </c>
      <c r="I47" s="7" t="inlineStr"/>
      <c r="J47" s="27" t="inlineStr">
        <is>
          <t>浅层等待</t>
        </is>
      </c>
      <c r="K47" s="7" t="inlineStr">
        <is>
          <t>已报价cotec，写继续跟进无节点</t>
        </is>
      </c>
      <c r="L47" s="7" t="inlineStr"/>
      <c r="M47" s="7" t="inlineStr"/>
      <c r="N47" s="7" t="inlineStr"/>
      <c r="O47" s="7" t="inlineStr"/>
      <c r="P47" s="7" t="inlineStr"/>
      <c r="Q47" s="7" t="inlineStr">
        <is>
          <t>已报价给cotec 正在继续跟进中</t>
        </is>
      </c>
    </row>
    <row r="48" ht="36" customHeight="1">
      <c r="A48" s="7" t="n">
        <v>47</v>
      </c>
      <c r="B48" s="7" t="inlineStr">
        <is>
          <t>崔阳</t>
        </is>
      </c>
      <c r="C48" s="7" t="inlineStr">
        <is>
          <t>C00009347</t>
        </is>
      </c>
      <c r="D48" s="7" t="inlineStr">
        <is>
          <t>粮食</t>
        </is>
      </c>
      <c r="E48" s="7" t="inlineStr">
        <is>
          <t>C00009347 |崔阳|粮食| Ebad Pir Moradian Global Skills 40000吨储粮项目|方案V1</t>
        </is>
      </c>
      <c r="F48" s="7" t="inlineStr"/>
      <c r="G48" s="7" t="n"/>
      <c r="H48" s="7" t="inlineStr">
        <is>
          <t>进行中</t>
        </is>
      </c>
      <c r="I48" s="7" t="inlineStr"/>
      <c r="J48" s="27" t="inlineStr">
        <is>
          <t>浅层等待</t>
        </is>
      </c>
      <c r="K48" s="7" t="inlineStr">
        <is>
          <t>初步报价，业主评估中</t>
        </is>
      </c>
      <c r="L48" s="7" t="inlineStr"/>
      <c r="M48" s="7" t="inlineStr"/>
      <c r="N48" s="7" t="inlineStr"/>
      <c r="O48" s="7" t="inlineStr"/>
      <c r="P48" s="7" t="inlineStr"/>
      <c r="Q48" s="7" t="inlineStr">
        <is>
          <t>初步报价已提出，业主需要进行评估，和提交技术部门进行探讨</t>
        </is>
      </c>
    </row>
    <row r="49" ht="36" customHeight="1">
      <c r="A49" s="7" t="n">
        <v>48</v>
      </c>
      <c r="B49" s="7" t="inlineStr">
        <is>
          <t>崔阳</t>
        </is>
      </c>
      <c r="C49" s="7" t="inlineStr">
        <is>
          <t>C00001534</t>
        </is>
      </c>
      <c r="D49" s="7" t="inlineStr">
        <is>
          <t>粮食</t>
        </is>
      </c>
      <c r="E49" s="7" t="inlineStr">
        <is>
          <t>C00001534|崔阳|粮食| 30000吨 SILOS KZ 粮储综合体项目|方案V1</t>
        </is>
      </c>
      <c r="F49" s="7" t="inlineStr"/>
      <c r="G49" s="7" t="n"/>
      <c r="H49" s="7" t="inlineStr">
        <is>
          <t>已结项-丢单</t>
        </is>
      </c>
      <c r="I49" s="7" t="inlineStr"/>
      <c r="J49" s="26" t="inlineStr">
        <is>
          <t>规范闭环</t>
        </is>
      </c>
      <c r="K49" s="7" t="inlineStr">
        <is>
          <t>投标丢单，价格+资料不完整</t>
        </is>
      </c>
      <c r="L49" s="7" t="inlineStr"/>
      <c r="M49" s="7" t="inlineStr"/>
      <c r="N49" s="7" t="inlineStr"/>
      <c r="O49" s="7" t="inlineStr">
        <is>
          <t>是</t>
        </is>
      </c>
      <c r="P49" s="7" t="inlineStr">
        <is>
          <t>价格</t>
        </is>
      </c>
      <c r="Q49" s="7" t="inlineStr">
        <is>
          <t>以投标，</t>
        </is>
      </c>
    </row>
    <row r="50" ht="36" customHeight="1">
      <c r="A50" s="7" t="n">
        <v>49</v>
      </c>
      <c r="B50" s="7" t="inlineStr">
        <is>
          <t>崔阳</t>
        </is>
      </c>
      <c r="C50" s="7" t="inlineStr">
        <is>
          <t>C00001534</t>
        </is>
      </c>
      <c r="D50" s="7" t="inlineStr">
        <is>
          <t>粮食</t>
        </is>
      </c>
      <c r="E50" s="7" t="inlineStr">
        <is>
          <t>C00001534|崔阳|粮食| 1000吨小麦仓SILOS KZ 粮仓项目|方案V1</t>
        </is>
      </c>
      <c r="F50" s="7" t="inlineStr"/>
      <c r="G50" s="7" t="n"/>
      <c r="H50" s="7" t="inlineStr">
        <is>
          <t>已结项-丢单</t>
        </is>
      </c>
      <c r="I50" s="7" t="inlineStr"/>
      <c r="J50" s="26" t="inlineStr">
        <is>
          <t>规范闭环</t>
        </is>
      </c>
      <c r="K50" s="7" t="inlineStr">
        <is>
          <t>与48同一SILOS KZ客户，投标丢单</t>
        </is>
      </c>
      <c r="L50" s="7" t="inlineStr"/>
      <c r="M50" s="7" t="inlineStr"/>
      <c r="N50" s="7" t="inlineStr"/>
      <c r="O50" s="7" t="inlineStr">
        <is>
          <t>是</t>
        </is>
      </c>
      <c r="P50" s="7" t="inlineStr">
        <is>
          <t>价格</t>
        </is>
      </c>
      <c r="Q50" s="7" t="inlineStr">
        <is>
          <t>以投标，</t>
        </is>
      </c>
    </row>
    <row r="51" ht="36" customHeight="1">
      <c r="A51" s="7" t="n">
        <v>50</v>
      </c>
      <c r="B51" s="7" t="inlineStr">
        <is>
          <t>崔阳</t>
        </is>
      </c>
      <c r="C51" s="7" t="inlineStr">
        <is>
          <t>C00009304</t>
        </is>
      </c>
      <c r="D51" s="7" t="inlineStr">
        <is>
          <t>粮食</t>
        </is>
      </c>
      <c r="E51" s="7" t="inlineStr">
        <is>
          <t>C00009304|崔阳|粮食|ELFORS, OOO谷物码头项目|方案V1</t>
        </is>
      </c>
      <c r="F51" s="7" t="inlineStr"/>
      <c r="G51" s="7" t="n"/>
      <c r="H51" s="7" t="inlineStr">
        <is>
          <t>已结项-丢单</t>
        </is>
      </c>
      <c r="I51" s="7" t="inlineStr"/>
      <c r="J51" s="26" t="inlineStr">
        <is>
          <t>规范闭环</t>
        </is>
      </c>
      <c r="K51" s="7" t="inlineStr">
        <is>
          <t>价格过高，选其他供应商</t>
        </is>
      </c>
      <c r="L51" s="7" t="inlineStr"/>
      <c r="M51" s="7" t="inlineStr"/>
      <c r="N51" s="7" t="inlineStr"/>
      <c r="O51" s="7" t="inlineStr">
        <is>
          <t>是</t>
        </is>
      </c>
      <c r="P51" s="7" t="inlineStr">
        <is>
          <t>价格</t>
        </is>
      </c>
      <c r="Q51" s="7" t="inlineStr">
        <is>
          <t>以报价</t>
        </is>
      </c>
    </row>
    <row r="52" ht="36" customHeight="1">
      <c r="A52" s="7" t="n">
        <v>51</v>
      </c>
      <c r="B52" s="7" t="inlineStr">
        <is>
          <t>崔阳</t>
        </is>
      </c>
      <c r="C52" s="7" t="inlineStr">
        <is>
          <t>C00007843</t>
        </is>
      </c>
      <c r="D52" s="7" t="inlineStr">
        <is>
          <t>工业</t>
        </is>
      </c>
      <c r="E52" s="7" t="inlineStr">
        <is>
          <t>C00007843|崔阳|工业|Эннова新库兹涅兹克电厂烟气净化与脱硫系统项目|方案V1</t>
        </is>
      </c>
      <c r="F52" s="7" t="inlineStr"/>
      <c r="G52" s="7" t="n"/>
      <c r="H52" s="7" t="inlineStr">
        <is>
          <t>进行中</t>
        </is>
      </c>
      <c r="I52" s="7" t="inlineStr"/>
      <c r="J52" s="21" t="inlineStr">
        <is>
          <t>该结未结</t>
        </is>
      </c>
      <c r="K52" s="7" t="inlineStr">
        <is>
          <t>方案未出已三个月，希望不大仍进行中</t>
        </is>
      </c>
      <c r="L52" s="7" t="inlineStr"/>
      <c r="M52" s="7" t="inlineStr"/>
      <c r="N52" s="7" t="inlineStr">
        <is>
          <t>是</t>
        </is>
      </c>
      <c r="O52" s="7" t="inlineStr"/>
      <c r="P52" s="7" t="inlineStr"/>
      <c r="Q52" s="7" t="inlineStr">
        <is>
          <t>方案未出，时间跨度已经三个月，希望以不大，</t>
        </is>
      </c>
    </row>
    <row r="53" ht="36" customHeight="1">
      <c r="A53" s="7" t="n">
        <v>52</v>
      </c>
      <c r="B53" s="7" t="inlineStr">
        <is>
          <t>崔阳</t>
        </is>
      </c>
      <c r="C53" s="7" t="inlineStr">
        <is>
          <t>C00006570</t>
        </is>
      </c>
      <c r="D53" s="7" t="inlineStr">
        <is>
          <t>工业</t>
        </is>
      </c>
      <c r="E53" s="7" t="inlineStr">
        <is>
          <t>C00006570|崔阳|工业|POWERZ0508设备采购|方案V1</t>
        </is>
      </c>
      <c r="F53" s="7" t="inlineStr"/>
      <c r="G53" s="7" t="n"/>
      <c r="H53" s="7" t="inlineStr">
        <is>
          <t>已结项-丢单</t>
        </is>
      </c>
      <c r="I53" s="7" t="inlineStr"/>
      <c r="J53" s="26" t="inlineStr">
        <is>
          <t>规范闭环</t>
        </is>
      </c>
      <c r="K53" s="7" t="inlineStr">
        <is>
          <t>Powerz，业主选其他供应商</t>
        </is>
      </c>
      <c r="L53" s="7" t="inlineStr"/>
      <c r="M53" s="7" t="inlineStr"/>
      <c r="N53" s="7" t="inlineStr"/>
      <c r="O53" s="7" t="inlineStr">
        <is>
          <t>是</t>
        </is>
      </c>
      <c r="P53" s="7" t="inlineStr">
        <is>
          <t>选其他供应商</t>
        </is>
      </c>
      <c r="Q53" s="7" t="inlineStr">
        <is>
          <t>项目报价已提交最终业主</t>
        </is>
      </c>
    </row>
    <row r="54" ht="36" customHeight="1">
      <c r="A54" s="7" t="n">
        <v>53</v>
      </c>
      <c r="B54" s="7" t="inlineStr">
        <is>
          <t>崔阳</t>
        </is>
      </c>
      <c r="C54" s="7" t="inlineStr">
        <is>
          <t>C00006514</t>
        </is>
      </c>
      <c r="D54" s="7" t="inlineStr">
        <is>
          <t>工业</t>
        </is>
      </c>
      <c r="E54" s="7" t="inlineStr">
        <is>
          <t>C00006514|崔阳|工业|cotes电厂粉煤灰|方案V2</t>
        </is>
      </c>
      <c r="F54" s="7" t="inlineStr"/>
      <c r="G54" s="7" t="n"/>
      <c r="H54" s="7" t="inlineStr">
        <is>
          <t>进行中</t>
        </is>
      </c>
      <c r="I54" s="7" t="inlineStr"/>
      <c r="J54" s="17" t="inlineStr">
        <is>
          <t>有效跟进</t>
        </is>
      </c>
      <c r="K54" s="7" t="inlineStr">
        <is>
          <t>cotes粉煤灰仍在技术探讨</t>
        </is>
      </c>
      <c r="L54" s="7" t="inlineStr"/>
      <c r="M54" s="7" t="inlineStr">
        <is>
          <t>是</t>
        </is>
      </c>
      <c r="N54" s="7" t="inlineStr"/>
      <c r="O54" s="7" t="inlineStr"/>
      <c r="P54" s="7" t="inlineStr"/>
      <c r="Q54" s="7" t="inlineStr">
        <is>
          <t>处于技术探讨阶段 还未报价</t>
        </is>
      </c>
    </row>
    <row r="55" ht="36" customHeight="1">
      <c r="A55" s="7" t="n">
        <v>54</v>
      </c>
      <c r="B55" s="7" t="inlineStr">
        <is>
          <t>崔阳</t>
        </is>
      </c>
      <c r="C55" s="7" t="inlineStr">
        <is>
          <t>C00009215</t>
        </is>
      </c>
      <c r="D55" s="7" t="inlineStr">
        <is>
          <t>粮食</t>
        </is>
      </c>
      <c r="E55" s="7" t="inlineStr">
        <is>
          <t>C00009215|崔阳|粮食|Anush Grigoryan饲料储存仓项目|方案V1</t>
        </is>
      </c>
      <c r="F55" s="7" t="inlineStr"/>
      <c r="G55" s="7" t="n"/>
      <c r="H55" s="7" t="inlineStr">
        <is>
          <t>已结项-丢单</t>
        </is>
      </c>
      <c r="I55" s="7" t="inlineStr"/>
      <c r="J55" s="26" t="inlineStr">
        <is>
          <t>规范闭环</t>
        </is>
      </c>
      <c r="K55" s="7" t="inlineStr">
        <is>
          <t>报价后一直说在考虑，已结项</t>
        </is>
      </c>
      <c r="L55" s="7" t="inlineStr"/>
      <c r="M55" s="7" t="inlineStr"/>
      <c r="N55" s="7" t="inlineStr"/>
      <c r="O55" s="7" t="inlineStr">
        <is>
          <t>是</t>
        </is>
      </c>
      <c r="P55" s="7" t="inlineStr">
        <is>
          <t>其他</t>
        </is>
      </c>
      <c r="Q55" s="7" t="inlineStr">
        <is>
          <t>已报价</t>
        </is>
      </c>
    </row>
    <row r="56" ht="36" customHeight="1">
      <c r="A56" s="7" t="n">
        <v>55</v>
      </c>
      <c r="B56" s="7" t="inlineStr">
        <is>
          <t>崔阳</t>
        </is>
      </c>
      <c r="C56" s="7" t="inlineStr">
        <is>
          <t>C00007843</t>
        </is>
      </c>
      <c r="D56" s="7" t="inlineStr">
        <is>
          <t>工业</t>
        </is>
      </c>
      <c r="E56" s="7" t="inlineStr">
        <is>
          <t>C00007843|崔阳|工业|石灰料仓及气力输送设备|方案V1</t>
        </is>
      </c>
      <c r="F56" s="7" t="inlineStr"/>
      <c r="G56" s="7" t="n"/>
      <c r="H56" s="7" t="inlineStr">
        <is>
          <t>已结项-丢单</t>
        </is>
      </c>
      <c r="I56" s="7" t="inlineStr"/>
      <c r="J56" s="26" t="inlineStr">
        <is>
          <t>规范闭环</t>
        </is>
      </c>
      <c r="K56" s="7" t="inlineStr">
        <is>
          <t>产能存疑后取消</t>
        </is>
      </c>
      <c r="L56" s="7" t="inlineStr"/>
      <c r="M56" s="7" t="inlineStr"/>
      <c r="N56" s="7" t="inlineStr"/>
      <c r="O56" s="7" t="inlineStr">
        <is>
          <t>是</t>
        </is>
      </c>
      <c r="P56" s="7" t="inlineStr">
        <is>
          <t>其他</t>
        </is>
      </c>
      <c r="Q56" s="7" t="inlineStr">
        <is>
          <t>已报价</t>
        </is>
      </c>
    </row>
    <row r="57" ht="36" customHeight="1">
      <c r="A57" s="7" t="n">
        <v>56</v>
      </c>
      <c r="B57" s="7" t="inlineStr">
        <is>
          <t>崔阳</t>
        </is>
      </c>
      <c r="C57" s="7" t="inlineStr">
        <is>
          <t>C00007464</t>
        </is>
      </c>
      <c r="D57" s="7" t="inlineStr">
        <is>
          <t>工业</t>
        </is>
      </c>
      <c r="E57" s="7" t="inlineStr">
        <is>
          <t>C00007464|崔阳|工业|麻类作物深加工|方案V1</t>
        </is>
      </c>
      <c r="F57" s="7" t="inlineStr"/>
      <c r="G57" s="7" t="n"/>
      <c r="H57" s="7" t="inlineStr">
        <is>
          <t>已结项-丢单</t>
        </is>
      </c>
      <c r="I57" s="7" t="inlineStr"/>
      <c r="J57" s="26" t="inlineStr">
        <is>
          <t>规范闭环</t>
        </is>
      </c>
      <c r="K57" s="7" t="inlineStr">
        <is>
          <t>业主改选其他工艺</t>
        </is>
      </c>
      <c r="L57" s="7" t="inlineStr"/>
      <c r="M57" s="7" t="inlineStr"/>
      <c r="N57" s="7" t="inlineStr"/>
      <c r="O57" s="7" t="inlineStr">
        <is>
          <t>是</t>
        </is>
      </c>
      <c r="P57" s="7" t="inlineStr">
        <is>
          <t>其他</t>
        </is>
      </c>
      <c r="Q57" s="7" t="inlineStr">
        <is>
          <t>已报价</t>
        </is>
      </c>
    </row>
    <row r="58" ht="36" customHeight="1">
      <c r="A58" s="7" t="n">
        <v>57</v>
      </c>
      <c r="B58" s="7" t="inlineStr">
        <is>
          <t>崔阳</t>
        </is>
      </c>
      <c r="C58" s="7" t="inlineStr">
        <is>
          <t>C00009095</t>
        </is>
      </c>
      <c r="D58" s="7" t="inlineStr">
        <is>
          <t>粮食</t>
        </is>
      </c>
      <c r="E58" s="7" t="inlineStr">
        <is>
          <t>C00009095|崔阳|粮食|粮食储运系统|方案V1</t>
        </is>
      </c>
      <c r="F58" s="7" t="inlineStr"/>
      <c r="G58" s="7" t="n"/>
      <c r="H58" s="7" t="inlineStr">
        <is>
          <t>已结项-丢单</t>
        </is>
      </c>
      <c r="I58" s="7" t="inlineStr"/>
      <c r="J58" s="26" t="inlineStr">
        <is>
          <t>规范闭环</t>
        </is>
      </c>
      <c r="K58" s="7" t="inlineStr">
        <is>
          <t>价格敏感，选其他家</t>
        </is>
      </c>
      <c r="L58" s="7" t="inlineStr"/>
      <c r="M58" s="7" t="inlineStr"/>
      <c r="N58" s="7" t="inlineStr"/>
      <c r="O58" s="7" t="inlineStr">
        <is>
          <t>是</t>
        </is>
      </c>
      <c r="P58" s="7" t="inlineStr">
        <is>
          <t>价格</t>
        </is>
      </c>
      <c r="Q58" s="7" t="inlineStr">
        <is>
          <t>已报价</t>
        </is>
      </c>
    </row>
    <row r="59" ht="36" customHeight="1">
      <c r="A59" s="7" t="n">
        <v>58</v>
      </c>
      <c r="B59" s="7" t="inlineStr">
        <is>
          <t>崔阳</t>
        </is>
      </c>
      <c r="C59" s="7" t="inlineStr">
        <is>
          <t>C00009094</t>
        </is>
      </c>
      <c r="D59" s="7" t="inlineStr">
        <is>
          <t>粮食</t>
        </is>
      </c>
      <c r="E59" s="7" t="inlineStr">
        <is>
          <t>C00009094|崔阳|粮食|75万吨小麦深加工项目|方案V1|重点项目</t>
        </is>
      </c>
      <c r="F59" s="7" t="inlineStr"/>
      <c r="G59" s="7" t="n"/>
      <c r="H59" s="7" t="inlineStr">
        <is>
          <t>进行中</t>
        </is>
      </c>
      <c r="I59" s="25" t="inlineStr">
        <is>
          <t>是</t>
        </is>
      </c>
      <c r="J59" s="27" t="inlineStr">
        <is>
          <t>浅层等待</t>
        </is>
      </c>
      <c r="K59" s="7" t="inlineStr">
        <is>
          <t>重点项目，进展只写「进行中 重点任务」</t>
        </is>
      </c>
      <c r="L59" s="7" t="inlineStr"/>
      <c r="M59" s="7" t="inlineStr"/>
      <c r="N59" s="7" t="inlineStr"/>
      <c r="O59" s="7" t="inlineStr"/>
      <c r="P59" s="7" t="inlineStr"/>
      <c r="Q59" s="7" t="inlineStr">
        <is>
          <t>进行中 重点任务</t>
        </is>
      </c>
    </row>
    <row r="60" ht="36" customHeight="1">
      <c r="A60" s="7" t="n">
        <v>59</v>
      </c>
      <c r="B60" s="7" t="inlineStr">
        <is>
          <t>崔阳</t>
        </is>
      </c>
      <c r="C60" s="7" t="inlineStr">
        <is>
          <t>C00009064</t>
        </is>
      </c>
      <c r="D60" s="7" t="inlineStr">
        <is>
          <t>工业</t>
        </is>
      </c>
      <c r="E60" s="7" t="inlineStr">
        <is>
          <t>C00009064|崔阳|工业|75吨熟石灰钢板仓|方案V1</t>
        </is>
      </c>
      <c r="F60" s="7" t="inlineStr"/>
      <c r="G60" s="7" t="n"/>
      <c r="H60" s="7" t="inlineStr">
        <is>
          <t>已结项-丢单</t>
        </is>
      </c>
      <c r="I60" s="7" t="inlineStr"/>
      <c r="J60" s="26" t="inlineStr">
        <is>
          <t>规范闭环</t>
        </is>
      </c>
      <c r="K60" s="7" t="inlineStr">
        <is>
          <t>业主选当地供应商</t>
        </is>
      </c>
      <c r="L60" s="7" t="inlineStr"/>
      <c r="M60" s="7" t="inlineStr"/>
      <c r="N60" s="7" t="inlineStr"/>
      <c r="O60" s="7" t="inlineStr">
        <is>
          <t>是</t>
        </is>
      </c>
      <c r="P60" s="7" t="inlineStr">
        <is>
          <t>选其他供应商</t>
        </is>
      </c>
      <c r="Q60" s="7" t="inlineStr">
        <is>
          <t>已报价</t>
        </is>
      </c>
    </row>
    <row r="61" ht="36" customHeight="1">
      <c r="A61" s="7" t="n">
        <v>60</v>
      </c>
      <c r="B61" s="7" t="inlineStr">
        <is>
          <t>崔阳</t>
        </is>
      </c>
      <c r="C61" s="7" t="inlineStr">
        <is>
          <t>C00009061</t>
        </is>
      </c>
      <c r="D61" s="7" t="inlineStr">
        <is>
          <t>工业</t>
        </is>
      </c>
      <c r="E61" s="7" t="inlineStr">
        <is>
          <t>C00009061|崔阳|工业|500吨水泥钢板仓|方案V1</t>
        </is>
      </c>
      <c r="F61" s="7" t="inlineStr"/>
      <c r="G61" s="7" t="n"/>
      <c r="H61" s="7" t="inlineStr">
        <is>
          <t>已结项-丢单</t>
        </is>
      </c>
      <c r="I61" s="7" t="inlineStr"/>
      <c r="J61" s="26" t="inlineStr">
        <is>
          <t>规范闭环</t>
        </is>
      </c>
      <c r="K61" s="7" t="inlineStr">
        <is>
          <t>报价后失联</t>
        </is>
      </c>
      <c r="L61" s="7" t="inlineStr"/>
      <c r="M61" s="7" t="inlineStr"/>
      <c r="N61" s="7" t="inlineStr"/>
      <c r="O61" s="7" t="inlineStr">
        <is>
          <t>是</t>
        </is>
      </c>
      <c r="P61" s="7" t="inlineStr">
        <is>
          <t>客户失联</t>
        </is>
      </c>
      <c r="Q61" s="7" t="inlineStr">
        <is>
          <t>已报价</t>
        </is>
      </c>
    </row>
    <row r="62" ht="36" customHeight="1">
      <c r="A62" s="7" t="n">
        <v>61</v>
      </c>
      <c r="B62" s="7" t="inlineStr">
        <is>
          <t>崔阳</t>
        </is>
      </c>
      <c r="C62" s="7" t="inlineStr">
        <is>
          <t>C00006570</t>
        </is>
      </c>
      <c r="D62" s="7" t="inlineStr">
        <is>
          <t>工业</t>
        </is>
      </c>
      <c r="E62" s="7" t="inlineStr">
        <is>
          <t>C00006570|崔阳|工业|灰渣气力输送项目|方案V1</t>
        </is>
      </c>
      <c r="F62" s="7" t="inlineStr"/>
      <c r="G62" s="7" t="n"/>
      <c r="H62" s="7" t="inlineStr">
        <is>
          <t>已结项-丢单</t>
        </is>
      </c>
      <c r="I62" s="7" t="inlineStr"/>
      <c r="J62" s="26" t="inlineStr">
        <is>
          <t>规范闭环</t>
        </is>
      </c>
      <c r="K62" s="7" t="inlineStr">
        <is>
          <t>Powerz灰渣，业主选当地供应商</t>
        </is>
      </c>
      <c r="L62" s="7" t="inlineStr"/>
      <c r="M62" s="7" t="inlineStr"/>
      <c r="N62" s="7" t="inlineStr"/>
      <c r="O62" s="7" t="inlineStr">
        <is>
          <t>是</t>
        </is>
      </c>
      <c r="P62" s="7" t="inlineStr">
        <is>
          <t>选其他供应商</t>
        </is>
      </c>
      <c r="Q62" s="7" t="inlineStr">
        <is>
          <t>项目报价已提交最终业主</t>
        </is>
      </c>
    </row>
    <row r="63" ht="36" customHeight="1">
      <c r="A63" s="7" t="n">
        <v>62</v>
      </c>
      <c r="B63" s="7" t="inlineStr">
        <is>
          <t>崔阳</t>
        </is>
      </c>
      <c r="C63" s="7" t="inlineStr">
        <is>
          <t>C00006570</t>
        </is>
      </c>
      <c r="D63" s="7" t="inlineStr">
        <is>
          <t>工业</t>
        </is>
      </c>
      <c r="E63" s="7" t="inlineStr">
        <is>
          <t>C00006570 Powerz 崔阳 工业 底渣输送机 方案V1</t>
        </is>
      </c>
      <c r="F63" s="7" t="inlineStr"/>
      <c r="G63" s="7" t="n"/>
      <c r="H63" s="7" t="inlineStr">
        <is>
          <t>进行中</t>
        </is>
      </c>
      <c r="I63" s="7" t="inlineStr"/>
      <c r="J63" s="21" t="inlineStr">
        <is>
          <t>该结未结</t>
        </is>
      </c>
      <c r="K63" s="7" t="inlineStr">
        <is>
          <t>找不到设备已写暂停，状态仍进行中</t>
        </is>
      </c>
      <c r="L63" s="7" t="inlineStr"/>
      <c r="M63" s="7" t="inlineStr"/>
      <c r="N63" s="7" t="inlineStr">
        <is>
          <t>是</t>
        </is>
      </c>
      <c r="O63" s="7" t="inlineStr"/>
      <c r="P63" s="7" t="inlineStr"/>
      <c r="Q63" s="7" t="inlineStr">
        <is>
          <t>方案未出，国内找不到相应适合设备 暂停中</t>
        </is>
      </c>
    </row>
    <row r="64" ht="36" customHeight="1">
      <c r="A64" s="7" t="n">
        <v>63</v>
      </c>
      <c r="B64" s="7" t="inlineStr">
        <is>
          <t>崔阳</t>
        </is>
      </c>
      <c r="C64" s="7" t="inlineStr">
        <is>
          <t>C00005698</t>
        </is>
      </c>
      <c r="D64" s="7" t="inlineStr">
        <is>
          <t>粮食</t>
        </is>
      </c>
      <c r="E64" s="7" t="inlineStr">
        <is>
          <t>C00005698 ООО УК "Астон" 崔阳 粮食 1350吨葵花籽仓 方案V1</t>
        </is>
      </c>
      <c r="F64" s="7" t="inlineStr"/>
      <c r="G64" s="7" t="n"/>
      <c r="H64" s="7" t="inlineStr">
        <is>
          <t>已结项-丢单</t>
        </is>
      </c>
      <c r="I64" s="7" t="inlineStr"/>
      <c r="J64" s="26" t="inlineStr">
        <is>
          <t>规范闭环</t>
        </is>
      </c>
      <c r="K64" s="7" t="inlineStr">
        <is>
          <t>选其他供应商</t>
        </is>
      </c>
      <c r="L64" s="7" t="inlineStr"/>
      <c r="M64" s="7" t="inlineStr"/>
      <c r="N64" s="7" t="inlineStr"/>
      <c r="O64" s="7" t="inlineStr">
        <is>
          <t>是</t>
        </is>
      </c>
      <c r="P64" s="7" t="inlineStr">
        <is>
          <t>选其他供应商</t>
        </is>
      </c>
      <c r="Q64" s="7" t="inlineStr">
        <is>
          <t>已报价</t>
        </is>
      </c>
    </row>
    <row r="65" ht="36" customHeight="1">
      <c r="A65" s="7" t="n">
        <v>64</v>
      </c>
      <c r="B65" s="7" t="inlineStr">
        <is>
          <t>崔阳</t>
        </is>
      </c>
      <c r="C65" s="7" t="inlineStr">
        <is>
          <t>C00006570</t>
        </is>
      </c>
      <c r="D65" s="7" t="inlineStr">
        <is>
          <t>工业</t>
        </is>
      </c>
      <c r="E65" s="7" t="inlineStr">
        <is>
          <t>C00006570 Powerz 崔阳 工业 旋转给料系统 方案V1</t>
        </is>
      </c>
      <c r="F65" s="7" t="inlineStr"/>
      <c r="G65" s="7" t="n"/>
      <c r="H65" s="7" t="inlineStr">
        <is>
          <t>已结项-丢单</t>
        </is>
      </c>
      <c r="I65" s="7" t="inlineStr"/>
      <c r="J65" s="26" t="inlineStr">
        <is>
          <t>规范闭环</t>
        </is>
      </c>
      <c r="K65" s="7" t="inlineStr">
        <is>
          <t>Powerz旋转给料，选其他供应商</t>
        </is>
      </c>
      <c r="L65" s="7" t="inlineStr"/>
      <c r="M65" s="7" t="inlineStr"/>
      <c r="N65" s="7" t="inlineStr"/>
      <c r="O65" s="7" t="inlineStr">
        <is>
          <t>是</t>
        </is>
      </c>
      <c r="P65" s="7" t="inlineStr">
        <is>
          <t>选其他供应商</t>
        </is>
      </c>
      <c r="Q65" s="7" t="inlineStr">
        <is>
          <t>项目报价已提交最终业主</t>
        </is>
      </c>
    </row>
    <row r="66" ht="36" customHeight="1">
      <c r="A66" s="7" t="n">
        <v>65</v>
      </c>
      <c r="B66" s="7" t="inlineStr">
        <is>
          <t>崔阳</t>
        </is>
      </c>
      <c r="C66" s="7" t="inlineStr">
        <is>
          <t>C00007843</t>
        </is>
      </c>
      <c r="D66" s="7" t="inlineStr">
        <is>
          <t>工业</t>
        </is>
      </c>
      <c r="E66" s="7" t="inlineStr">
        <is>
          <t>C00007843 | 崔阳 | 工业 | 哈萨克热列兹肯特热电站10号机组烟气净化（脱硫，除尘）项目 | 方案V1</t>
        </is>
      </c>
      <c r="F66" s="7" t="inlineStr"/>
      <c r="G66" s="7" t="n"/>
      <c r="H66" s="7" t="inlineStr">
        <is>
          <t>进行中</t>
        </is>
      </c>
      <c r="I66" s="7" t="inlineStr"/>
      <c r="J66" s="21" t="inlineStr">
        <is>
          <t>该结未结</t>
        </is>
      </c>
      <c r="K66" s="7" t="inlineStr">
        <is>
          <t>方案未出五个月，希望不大仍进行中</t>
        </is>
      </c>
      <c r="L66" s="7" t="inlineStr"/>
      <c r="M66" s="7" t="inlineStr"/>
      <c r="N66" s="7" t="inlineStr">
        <is>
          <t>是</t>
        </is>
      </c>
      <c r="O66" s="7" t="inlineStr"/>
      <c r="P66" s="7" t="inlineStr"/>
      <c r="Q66" s="7" t="inlineStr">
        <is>
          <t>方案未出，时间跨度已经五个月，希望以不大，</t>
        </is>
      </c>
    </row>
    <row r="67" ht="36" customHeight="1">
      <c r="A67" s="7" t="n">
        <v>66</v>
      </c>
      <c r="B67" s="7" t="inlineStr">
        <is>
          <t>崔阳</t>
        </is>
      </c>
      <c r="C67" s="7" t="inlineStr">
        <is>
          <t>C00006570</t>
        </is>
      </c>
      <c r="D67" s="7" t="inlineStr"/>
      <c r="E67" s="7" t="inlineStr">
        <is>
          <t>C00006570 Powerz 崔阳  20260214 旋转阀</t>
        </is>
      </c>
      <c r="F67" s="7" t="inlineStr"/>
      <c r="G67" s="7" t="n"/>
      <c r="H67" s="7" t="inlineStr">
        <is>
          <t>已结项-丢单</t>
        </is>
      </c>
      <c r="I67" s="7" t="inlineStr"/>
      <c r="J67" s="26" t="inlineStr">
        <is>
          <t>规范闭环</t>
        </is>
      </c>
      <c r="K67" s="7" t="inlineStr">
        <is>
          <t>未报价，我方主动拒绝</t>
        </is>
      </c>
      <c r="L67" s="7" t="inlineStr"/>
      <c r="M67" s="7" t="inlineStr"/>
      <c r="N67" s="7" t="inlineStr"/>
      <c r="O67" s="7" t="inlineStr">
        <is>
          <t>是</t>
        </is>
      </c>
      <c r="P67" s="7" t="inlineStr">
        <is>
          <t>其他</t>
        </is>
      </c>
      <c r="Q67" s="7" t="inlineStr">
        <is>
          <t>未报价</t>
        </is>
      </c>
    </row>
    <row r="68" ht="36" customHeight="1">
      <c r="A68" s="7" t="n">
        <v>67</v>
      </c>
      <c r="B68" s="7" t="inlineStr">
        <is>
          <t>崔阳</t>
        </is>
      </c>
      <c r="C68" s="7" t="inlineStr">
        <is>
          <t>C00006514</t>
        </is>
      </c>
      <c r="D68" s="7" t="inlineStr">
        <is>
          <t>工业</t>
        </is>
      </c>
      <c r="E68" s="7" t="inlineStr">
        <is>
          <t>C00006514 KOTEC 崔阳 工业 装配仓 方案V2</t>
        </is>
      </c>
      <c r="F68" s="7" t="inlineStr"/>
      <c r="G68" s="7" t="n"/>
      <c r="H68" s="7" t="inlineStr">
        <is>
          <t>已结项-丢单</t>
        </is>
      </c>
      <c r="I68" s="7" t="inlineStr"/>
      <c r="J68" s="26" t="inlineStr">
        <is>
          <t>规范闭环</t>
        </is>
      </c>
      <c r="K68" s="7" t="inlineStr">
        <is>
          <t>报价后客户结束询价</t>
        </is>
      </c>
      <c r="L68" s="7" t="inlineStr"/>
      <c r="M68" s="7" t="inlineStr"/>
      <c r="N68" s="7" t="inlineStr"/>
      <c r="O68" s="7" t="inlineStr">
        <is>
          <t>是</t>
        </is>
      </c>
      <c r="P68" s="7" t="inlineStr">
        <is>
          <t>其他</t>
        </is>
      </c>
      <c r="Q68" s="7" t="inlineStr">
        <is>
          <t>已报价给客户  客户没有继续</t>
        </is>
      </c>
    </row>
    <row r="69" ht="36" customHeight="1">
      <c r="A69" s="7" t="n">
        <v>68</v>
      </c>
      <c r="B69" s="7" t="inlineStr">
        <is>
          <t>崔阳</t>
        </is>
      </c>
      <c r="C69" s="7" t="inlineStr">
        <is>
          <t>C00008851</t>
        </is>
      </c>
      <c r="D69" s="7" t="inlineStr">
        <is>
          <t>工业</t>
        </is>
      </c>
      <c r="E69" s="7" t="inlineStr">
        <is>
          <t>C00008851  ROSATOM, GK 崔阳 工业 俄罗斯氧化铝仓 方案V1</t>
        </is>
      </c>
      <c r="F69" s="7" t="inlineStr"/>
      <c r="G69" s="7" t="n"/>
      <c r="H69" s="7" t="inlineStr">
        <is>
          <t>已结项-丢单</t>
        </is>
      </c>
      <c r="I69" s="7" t="inlineStr"/>
      <c r="J69" s="26" t="inlineStr">
        <is>
          <t>规范闭环</t>
        </is>
      </c>
      <c r="K69" s="7" t="inlineStr">
        <is>
          <t>业主最终未立项</t>
        </is>
      </c>
      <c r="L69" s="7" t="inlineStr"/>
      <c r="M69" s="7" t="inlineStr"/>
      <c r="N69" s="7" t="inlineStr"/>
      <c r="O69" s="7" t="inlineStr">
        <is>
          <t>是</t>
        </is>
      </c>
      <c r="P69" s="7" t="inlineStr">
        <is>
          <t>其他</t>
        </is>
      </c>
      <c r="Q69" s="7" t="inlineStr">
        <is>
          <t>已报价</t>
        </is>
      </c>
    </row>
    <row r="70" ht="36" customHeight="1">
      <c r="A70" s="7" t="n">
        <v>69</v>
      </c>
      <c r="B70" s="7" t="inlineStr">
        <is>
          <t>崔阳</t>
        </is>
      </c>
      <c r="C70" s="7" t="inlineStr">
        <is>
          <t>C00007843</t>
        </is>
      </c>
      <c r="D70" s="7" t="inlineStr">
        <is>
          <t>工业</t>
        </is>
      </c>
      <c r="E70" s="7" t="inlineStr">
        <is>
          <t>C00007843 | 崔阳 | 工业 | 外贝加尔发电厂项目 | 方案</t>
        </is>
      </c>
      <c r="F70" s="7" t="inlineStr"/>
      <c r="G70" s="7" t="n"/>
      <c r="H70" s="7" t="inlineStr">
        <is>
          <t>进行中</t>
        </is>
      </c>
      <c r="I70" s="7" t="inlineStr"/>
      <c r="J70" s="21" t="inlineStr">
        <is>
          <t>该结未结</t>
        </is>
      </c>
      <c r="K70" s="7" t="inlineStr">
        <is>
          <t>方案未出六个月，希望不大仍进行中</t>
        </is>
      </c>
      <c r="L70" s="7" t="inlineStr"/>
      <c r="M70" s="7" t="inlineStr"/>
      <c r="N70" s="7" t="inlineStr">
        <is>
          <t>是</t>
        </is>
      </c>
      <c r="O70" s="7" t="inlineStr"/>
      <c r="P70" s="7" t="inlineStr"/>
      <c r="Q70" s="7" t="inlineStr">
        <is>
          <t>方案未出，时间跨度已经六个月，希望以不大，</t>
        </is>
      </c>
    </row>
    <row r="71" ht="36" customHeight="1">
      <c r="A71" s="7" t="n">
        <v>70</v>
      </c>
      <c r="B71" s="7" t="inlineStr">
        <is>
          <t>崔阳</t>
        </is>
      </c>
      <c r="C71" s="7" t="inlineStr">
        <is>
          <t>C00009506</t>
        </is>
      </c>
      <c r="D71" s="7" t="inlineStr">
        <is>
          <t>粮食</t>
        </is>
      </c>
      <c r="E71" s="7" t="inlineStr">
        <is>
          <t>C00009506|崔阳|粮食| RUSAGRO大豆深度加工综合生产线|方案V1</t>
        </is>
      </c>
      <c r="F71" s="7" t="inlineStr"/>
      <c r="G71" s="7" t="n"/>
      <c r="H71" s="7" t="inlineStr">
        <is>
          <t>进行中</t>
        </is>
      </c>
      <c r="I71" s="7" t="inlineStr"/>
      <c r="J71" s="24" t="inlineStr">
        <is>
          <t>前期调研</t>
        </is>
      </c>
      <c r="K71" s="7" t="inlineStr">
        <is>
          <t>立项阶段，我方范围小，自称暂停仍挂进行中</t>
        </is>
      </c>
      <c r="L71" s="7" t="inlineStr">
        <is>
          <t>是</t>
        </is>
      </c>
      <c r="M71" s="7" t="inlineStr"/>
      <c r="N71" s="7" t="inlineStr"/>
      <c r="O71" s="7" t="inlineStr"/>
      <c r="P71" s="7" t="inlineStr"/>
      <c r="Q71" s="7" t="inlineStr">
        <is>
          <t>1.项目属于立项阶段，我方技术分析后，认为我们参与部分不是很多，决定暂时暂停任务，观望后再说</t>
        </is>
      </c>
    </row>
    <row r="72" ht="36" customHeight="1">
      <c r="A72" s="7" t="n">
        <v>71</v>
      </c>
      <c r="B72" s="7" t="inlineStr">
        <is>
          <t>崔阳</t>
        </is>
      </c>
      <c r="C72" s="7" t="inlineStr">
        <is>
          <t>C00006570</t>
        </is>
      </c>
      <c r="D72" s="7" t="inlineStr">
        <is>
          <t>工业</t>
        </is>
      </c>
      <c r="E72" s="7" t="inlineStr">
        <is>
          <t>C00006570|崔阳|工业|Powerz输送机采购|方案V1</t>
        </is>
      </c>
      <c r="F72" s="7" t="inlineStr"/>
      <c r="G72" s="7" t="n"/>
      <c r="H72" s="7" t="inlineStr">
        <is>
          <t>已结项-丢单</t>
        </is>
      </c>
      <c r="I72" s="7" t="inlineStr"/>
      <c r="J72" s="26" t="inlineStr">
        <is>
          <t>规范闭环</t>
        </is>
      </c>
      <c r="K72" s="7" t="inlineStr">
        <is>
          <t>Powerz输送机，业主选其他供应商</t>
        </is>
      </c>
      <c r="L72" s="7" t="inlineStr"/>
      <c r="M72" s="7" t="inlineStr"/>
      <c r="N72" s="7" t="inlineStr"/>
      <c r="O72" s="7" t="inlineStr">
        <is>
          <t>是</t>
        </is>
      </c>
      <c r="P72" s="7" t="inlineStr">
        <is>
          <t>选其他供应商</t>
        </is>
      </c>
      <c r="Q72" s="7" t="inlineStr">
        <is>
          <t>项目报价已提交最终业主</t>
        </is>
      </c>
    </row>
    <row r="73" ht="36" customHeight="1">
      <c r="A73" s="7" t="n">
        <v>72</v>
      </c>
      <c r="B73" s="7" t="inlineStr">
        <is>
          <t>冯乐</t>
        </is>
      </c>
      <c r="C73" s="7" t="inlineStr">
        <is>
          <t>C00009678</t>
        </is>
      </c>
      <c r="D73" s="7" t="inlineStr"/>
      <c r="E73" s="7" t="inlineStr">
        <is>
          <t>C00009678｜冯乐｜坦桑尼亚｜小麦2×4500T装配仓项目｜方案V1 | 重点项目</t>
        </is>
      </c>
      <c r="F73" s="7" t="inlineStr"/>
      <c r="G73" s="7" t="n"/>
      <c r="H73" s="7" t="inlineStr">
        <is>
          <t>进行中</t>
        </is>
      </c>
      <c r="I73" s="25" t="inlineStr">
        <is>
          <t>是</t>
        </is>
      </c>
      <c r="J73" s="17" t="inlineStr">
        <is>
          <t>有效跟进</t>
        </is>
      </c>
      <c r="K73" s="7" t="inlineStr">
        <is>
          <t>曾接受报价，新要求已技术反馈，等农场回复</t>
        </is>
      </c>
      <c r="L73" s="7" t="inlineStr"/>
      <c r="M73" s="7" t="inlineStr">
        <is>
          <t>是</t>
        </is>
      </c>
      <c r="N73" s="7" t="inlineStr"/>
      <c r="O73" s="7" t="inlineStr"/>
      <c r="P73" s="7" t="inlineStr"/>
      <c r="Q73" s="7" t="inlineStr">
        <is>
          <t>客户主营粮食加工，此前已接受我方报价。回国与工程团队商讨后，客户提出了新要求，我方已做技术反馈。目前客户需视其农场情况再作回复。</t>
        </is>
      </c>
    </row>
    <row r="74" ht="36" customHeight="1">
      <c r="A74" s="7" t="n">
        <v>73</v>
      </c>
      <c r="B74" s="7" t="inlineStr">
        <is>
          <t>冯乐</t>
        </is>
      </c>
      <c r="C74" s="7" t="inlineStr">
        <is>
          <t>C00009584</t>
        </is>
      </c>
      <c r="D74" s="7" t="inlineStr">
        <is>
          <t>粮食</t>
        </is>
      </c>
      <c r="E74" s="7" t="inlineStr">
        <is>
          <t>C00009584|冯乐|粮食|尼日利亚-2×1200T玉米仓项目|方案V1</t>
        </is>
      </c>
      <c r="F74" s="7" t="inlineStr"/>
      <c r="G74" s="7" t="n"/>
      <c r="H74" s="7" t="inlineStr">
        <is>
          <t>进行中</t>
        </is>
      </c>
      <c r="I74" s="7" t="inlineStr"/>
      <c r="J74" s="24" t="inlineStr">
        <is>
          <t>前期调研</t>
        </is>
      </c>
      <c r="K74" s="7" t="inlineStr">
        <is>
          <t>中间贸易商代询，多家比价</t>
        </is>
      </c>
      <c r="L74" s="7" t="inlineStr">
        <is>
          <t>是</t>
        </is>
      </c>
      <c r="M74" s="7" t="inlineStr"/>
      <c r="N74" s="7" t="inlineStr"/>
      <c r="O74" s="7" t="inlineStr"/>
      <c r="P74" s="7" t="inlineStr"/>
      <c r="Q74" s="7" t="inlineStr">
        <is>
          <t>目前是一位中间贸易商替业主询价，我方已提供方案和报价，多家供应商对比。</t>
        </is>
      </c>
    </row>
    <row r="75" ht="36" customHeight="1">
      <c r="A75" s="7" t="n">
        <v>74</v>
      </c>
      <c r="B75" s="7" t="inlineStr">
        <is>
          <t>冯乐</t>
        </is>
      </c>
      <c r="C75" s="7" t="inlineStr">
        <is>
          <t>C00009383</t>
        </is>
      </c>
      <c r="D75" s="7" t="inlineStr">
        <is>
          <t>工业</t>
        </is>
      </c>
      <c r="E75" s="7" t="inlineStr">
        <is>
          <t>C00009383｜冯乐｜工业｜也门-3×1200m³水泥装配仓项目｜方案V3</t>
        </is>
      </c>
      <c r="F75" s="7" t="inlineStr"/>
      <c r="G75" s="7" t="n"/>
      <c r="H75" s="7" t="inlineStr">
        <is>
          <t>进行中</t>
        </is>
      </c>
      <c r="I75" s="7" t="inlineStr"/>
      <c r="J75" s="17" t="inlineStr">
        <is>
          <t>有效跟进</t>
        </is>
      </c>
      <c r="K75" s="7" t="inlineStr">
        <is>
          <t>V3多次报价，技术澄清中</t>
        </is>
      </c>
      <c r="L75" s="7" t="inlineStr"/>
      <c r="M75" s="7" t="inlineStr">
        <is>
          <t>是</t>
        </is>
      </c>
      <c r="N75" s="7" t="inlineStr"/>
      <c r="O75" s="7" t="inlineStr"/>
      <c r="P75" s="7" t="inlineStr"/>
      <c r="Q75" s="7" t="inlineStr">
        <is>
          <t>已进行多次报价，客户对价格比较敏感，目前正在和对方团队进行技术澄清。</t>
        </is>
      </c>
    </row>
    <row r="76" ht="36" customHeight="1">
      <c r="A76" s="7" t="n">
        <v>75</v>
      </c>
      <c r="B76" s="7" t="inlineStr">
        <is>
          <t>冯乐</t>
        </is>
      </c>
      <c r="C76" s="7" t="inlineStr">
        <is>
          <t>C00009344</t>
        </is>
      </c>
      <c r="D76" s="7" t="inlineStr">
        <is>
          <t>工业</t>
        </is>
      </c>
      <c r="E76" s="7" t="inlineStr">
        <is>
          <t>C00009344｜冯乐｜工业｜土库曼斯坦火车装载料斗项目｜方案V1</t>
        </is>
      </c>
      <c r="F76" s="7" t="inlineStr"/>
      <c r="G76" s="7" t="n"/>
      <c r="H76" s="7" t="inlineStr">
        <is>
          <t>进行中</t>
        </is>
      </c>
      <c r="I76" s="7" t="inlineStr"/>
      <c r="J76" s="27" t="inlineStr">
        <is>
          <t>浅层等待</t>
        </is>
      </c>
      <c r="K76" s="7" t="inlineStr">
        <is>
          <t>总包分包料斗，等总包更新</t>
        </is>
      </c>
      <c r="L76" s="7" t="inlineStr"/>
      <c r="M76" s="7" t="inlineStr"/>
      <c r="N76" s="7" t="inlineStr"/>
      <c r="O76" s="7" t="inlineStr"/>
      <c r="P76" s="7" t="inlineStr"/>
      <c r="Q76" s="7" t="inlineStr">
        <is>
          <t>客户是总承包商，我们是分包，已进行过两次商务报价。整个项目比较大，我们只负责料斗报价，目前等总包更新项目进展。</t>
        </is>
      </c>
    </row>
    <row r="77" ht="36" customHeight="1">
      <c r="A77" s="7" t="n">
        <v>76</v>
      </c>
      <c r="B77" s="7" t="inlineStr">
        <is>
          <t>冯乐</t>
        </is>
      </c>
      <c r="C77" s="7" t="inlineStr">
        <is>
          <t>C00009727</t>
        </is>
      </c>
      <c r="D77" s="7" t="inlineStr">
        <is>
          <t>粮食</t>
        </is>
      </c>
      <c r="E77" s="7" t="inlineStr">
        <is>
          <t>C00009727｜冯乐｜粮食｜阿根廷2×3000T+6×800T 储存仓项目｜方案V2</t>
        </is>
      </c>
      <c r="F77" s="7" t="inlineStr"/>
      <c r="G77" s="7" t="n"/>
      <c r="H77" s="7" t="inlineStr">
        <is>
          <t>进行中</t>
        </is>
      </c>
      <c r="I77" s="7" t="inlineStr"/>
      <c r="J77" s="24" t="inlineStr">
        <is>
          <t>前期调研</t>
        </is>
      </c>
      <c r="K77" s="7" t="inlineStr">
        <is>
          <t>业主规划项目，收集多方方案报价</t>
        </is>
      </c>
      <c r="L77" s="7" t="inlineStr">
        <is>
          <t>是</t>
        </is>
      </c>
      <c r="M77" s="7" t="inlineStr"/>
      <c r="N77" s="7" t="inlineStr"/>
      <c r="O77" s="7" t="inlineStr"/>
      <c r="P77" s="7" t="inlineStr"/>
      <c r="Q77" s="7" t="inlineStr">
        <is>
          <t>直接业主，是一家从农田到深加工全产业链的农业综合集团，该项目是业主的规划项目。目前处于收集多方供应商的方案和报价，我方已提供商务报价。等待业主回复。</t>
        </is>
      </c>
    </row>
    <row r="78" ht="36" customHeight="1">
      <c r="A78" s="7" t="n">
        <v>77</v>
      </c>
      <c r="B78" s="7" t="inlineStr">
        <is>
          <t>冯乐</t>
        </is>
      </c>
      <c r="C78" s="7" t="inlineStr">
        <is>
          <t>C00009344</t>
        </is>
      </c>
      <c r="D78" s="7" t="inlineStr">
        <is>
          <t>工业</t>
        </is>
      </c>
      <c r="E78" s="7" t="inlineStr">
        <is>
          <t>C00009344｜冯乐｜新疆｜PP掺混料仓×10+PE掺混料仓×10项目｜方案V1</t>
        </is>
      </c>
      <c r="F78" s="7" t="inlineStr"/>
      <c r="G78" s="7" t="n"/>
      <c r="H78" s="7" t="inlineStr">
        <is>
          <t>进行中</t>
        </is>
      </c>
      <c r="I78" s="7" t="inlineStr"/>
      <c r="J78" s="27" t="inlineStr">
        <is>
          <t>浅层等待</t>
        </is>
      </c>
      <c r="K78" s="7" t="inlineStr">
        <is>
          <t>总包分包，已提供商务报价</t>
        </is>
      </c>
      <c r="L78" s="7" t="inlineStr"/>
      <c r="M78" s="7" t="inlineStr"/>
      <c r="N78" s="7" t="inlineStr"/>
      <c r="O78" s="7" t="inlineStr"/>
      <c r="P78" s="7" t="inlineStr"/>
      <c r="Q78" s="7" t="inlineStr">
        <is>
          <t>客户是总承包商，我们是分包，已提供商务方案报价。</t>
        </is>
      </c>
    </row>
    <row r="79" ht="36" customHeight="1">
      <c r="A79" s="7" t="n">
        <v>82</v>
      </c>
      <c r="B79" s="7" t="inlineStr">
        <is>
          <t>韩鸿彪</t>
        </is>
      </c>
      <c r="C79" s="7" t="inlineStr">
        <is>
          <t>C00009357</t>
        </is>
      </c>
      <c r="D79" s="7" t="inlineStr">
        <is>
          <t>工业</t>
        </is>
      </c>
      <c r="E79" s="7" t="inlineStr">
        <is>
          <t>C00009357|韩鸿彪|工业|越南水泥码头+木屑颗粒仓项目|方案V1</t>
        </is>
      </c>
      <c r="F79" s="7" t="inlineStr"/>
      <c r="G79" s="7" t="n"/>
      <c r="H79" s="7" t="inlineStr">
        <is>
          <t>进行中</t>
        </is>
      </c>
      <c r="I79" s="7" t="inlineStr"/>
      <c r="J79" s="17" t="inlineStr">
        <is>
          <t>有效跟进</t>
        </is>
      </c>
      <c r="K79" s="7" t="inlineStr">
        <is>
          <t>土地审批+贷款，预计10月底更新</t>
        </is>
      </c>
      <c r="L79" s="7" t="inlineStr"/>
      <c r="M79" s="7" t="inlineStr">
        <is>
          <t>是</t>
        </is>
      </c>
      <c r="N79" s="7" t="inlineStr"/>
      <c r="O79" s="7" t="inlineStr"/>
      <c r="P79" s="7" t="inlineStr"/>
      <c r="Q79" s="7" t="inlineStr">
        <is>
          <t>项目土地审批和银行贷款阶段，预计10月底会有进一步更新</t>
        </is>
      </c>
    </row>
    <row r="80" ht="36" customHeight="1">
      <c r="A80" s="7" t="n">
        <v>83</v>
      </c>
      <c r="B80" s="7" t="inlineStr">
        <is>
          <t>韩鸿彪</t>
        </is>
      </c>
      <c r="C80" s="7" t="inlineStr">
        <is>
          <t>C00008493</t>
        </is>
      </c>
      <c r="D80" s="7" t="inlineStr">
        <is>
          <t>工业</t>
        </is>
      </c>
      <c r="E80" s="7" t="inlineStr">
        <is>
          <t>C00008493|韩鸿彪|工业|也门2x1600T水泥仓扩建项目方案V2</t>
        </is>
      </c>
      <c r="F80" s="7" t="inlineStr"/>
      <c r="G80" s="7" t="n"/>
      <c r="H80" s="7" t="inlineStr">
        <is>
          <t>进行中</t>
        </is>
      </c>
      <c r="I80" s="7" t="inlineStr"/>
      <c r="J80" s="17" t="inlineStr">
        <is>
          <t>有效跟进</t>
        </is>
      </c>
      <c r="K80" s="7" t="inlineStr">
        <is>
          <t>V3对比中，计划27年Q1</t>
        </is>
      </c>
      <c r="L80" s="7" t="inlineStr"/>
      <c r="M80" s="7" t="inlineStr">
        <is>
          <t>是</t>
        </is>
      </c>
      <c r="N80" s="7" t="inlineStr"/>
      <c r="O80" s="7" t="inlineStr"/>
      <c r="P80" s="7" t="inlineStr"/>
      <c r="Q80" s="7" t="inlineStr">
        <is>
          <t>更新方案更新报价V3，业主在对比方案和报价，项目计划是27年Q1上</t>
        </is>
      </c>
    </row>
    <row r="81" ht="36" customHeight="1">
      <c r="A81" s="7" t="n">
        <v>84</v>
      </c>
      <c r="B81" s="7" t="inlineStr">
        <is>
          <t>韩鸿彪</t>
        </is>
      </c>
      <c r="C81" s="7" t="inlineStr">
        <is>
          <t>C00008036</t>
        </is>
      </c>
      <c r="D81" s="7" t="inlineStr"/>
      <c r="E81" s="7" t="inlineStr">
        <is>
          <t>C00008036/韩鸿彪/越南QNC料场项目/方案V2</t>
        </is>
      </c>
      <c r="F81" s="7" t="inlineStr"/>
      <c r="G81" s="7" t="n"/>
      <c r="H81" s="7" t="inlineStr">
        <is>
          <t>暂停</t>
        </is>
      </c>
      <c r="I81" s="7" t="inlineStr"/>
      <c r="J81" s="26" t="inlineStr">
        <is>
          <t>规范闭环</t>
        </is>
      </c>
      <c r="K81" s="7" t="inlineStr">
        <is>
          <t>规划后延，已暂停</t>
        </is>
      </c>
      <c r="L81" s="7" t="inlineStr"/>
      <c r="M81" s="7" t="inlineStr"/>
      <c r="N81" s="7" t="inlineStr"/>
      <c r="O81" s="7" t="inlineStr">
        <is>
          <t>是</t>
        </is>
      </c>
      <c r="P81" s="7" t="inlineStr"/>
      <c r="Q81" s="7" t="inlineStr">
        <is>
          <t>项目排期后延，处于规划阶段，预计明年二季度会进行内部评估</t>
        </is>
      </c>
    </row>
    <row r="82" ht="36" customHeight="1">
      <c r="A82" s="7" t="n">
        <v>85</v>
      </c>
      <c r="B82" s="7" t="inlineStr">
        <is>
          <t>韩鸿彪</t>
        </is>
      </c>
      <c r="C82" s="7" t="inlineStr">
        <is>
          <t>C00008843</t>
        </is>
      </c>
      <c r="D82" s="7" t="inlineStr"/>
      <c r="E82" s="7" t="inlineStr">
        <is>
          <t>C00008843|韩鸿彪|印度Shree Cement 5000T/10000T/15000T/20000T水泥仓项目|方案 V3</t>
        </is>
      </c>
      <c r="F82" s="7" t="inlineStr"/>
      <c r="G82" s="7" t="n"/>
      <c r="H82" s="7" t="inlineStr">
        <is>
          <t>暂停</t>
        </is>
      </c>
      <c r="I82" s="7" t="inlineStr"/>
      <c r="J82" s="26" t="inlineStr">
        <is>
          <t>规范闭环</t>
        </is>
      </c>
      <c r="K82" s="7" t="inlineStr">
        <is>
          <t>互动减弱，业主偏向混凝土仓，已暂停</t>
        </is>
      </c>
      <c r="L82" s="7" t="inlineStr"/>
      <c r="M82" s="7" t="inlineStr"/>
      <c r="N82" s="7" t="inlineStr"/>
      <c r="O82" s="7" t="inlineStr">
        <is>
          <t>是</t>
        </is>
      </c>
      <c r="P82" s="7" t="inlineStr"/>
      <c r="Q82" s="7" t="inlineStr">
        <is>
          <t>等待具体项目信息，互动减弱，业主内部高层可能更偏向于混凝土仓仓型</t>
        </is>
      </c>
    </row>
    <row r="83" ht="36" customHeight="1">
      <c r="A83" s="7" t="n">
        <v>86</v>
      </c>
      <c r="B83" s="7" t="inlineStr">
        <is>
          <t>韩鸿彪</t>
        </is>
      </c>
      <c r="C83" s="7" t="inlineStr">
        <is>
          <t>C00008036</t>
        </is>
      </c>
      <c r="D83" s="7" t="inlineStr">
        <is>
          <t>工业</t>
        </is>
      </c>
      <c r="E83" s="7" t="inlineStr">
        <is>
          <t>C00008036|韩鸿彪|工业|越南QNC-Halong2x1500T水泥仓方案V2</t>
        </is>
      </c>
      <c r="F83" s="7" t="inlineStr"/>
      <c r="G83" s="7" t="n"/>
      <c r="H83" s="7" t="inlineStr">
        <is>
          <t>进行中</t>
        </is>
      </c>
      <c r="I83" s="7" t="inlineStr"/>
      <c r="J83" s="27" t="inlineStr">
        <is>
          <t>浅层等待</t>
        </is>
      </c>
      <c r="K83" s="7" t="inlineStr">
        <is>
          <t>配合性项目，等待业主反馈，不做重点</t>
        </is>
      </c>
      <c r="L83" s="7" t="inlineStr"/>
      <c r="M83" s="7" t="inlineStr"/>
      <c r="N83" s="7" t="inlineStr"/>
      <c r="O83" s="7" t="inlineStr"/>
      <c r="P83" s="7" t="inlineStr"/>
      <c r="Q83" s="7" t="inlineStr">
        <is>
          <t>越南4x6000业主的客户，等待业主的跟进反馈，配合性项目不做重点</t>
        </is>
      </c>
    </row>
    <row r="84" ht="36" customHeight="1">
      <c r="A84" s="7" t="n">
        <v>87</v>
      </c>
      <c r="B84" s="7" t="inlineStr">
        <is>
          <t>韩鸿彪</t>
        </is>
      </c>
      <c r="C84" s="7" t="inlineStr">
        <is>
          <t>无编码</t>
        </is>
      </c>
      <c r="D84" s="7" t="inlineStr"/>
      <c r="E84" s="7" t="inlineStr">
        <is>
          <t>韩鸿彪 20260128 巴拿马28x2500T粮库改造项目方案</t>
        </is>
      </c>
      <c r="F84" s="7" t="inlineStr"/>
      <c r="G84" s="7" t="n"/>
      <c r="H84" s="7" t="inlineStr">
        <is>
          <t>已结项-丢单</t>
        </is>
      </c>
      <c r="I84" s="7" t="inlineStr"/>
      <c r="J84" s="26" t="inlineStr">
        <is>
          <t>规范闭环</t>
        </is>
      </c>
      <c r="K84" s="7" t="inlineStr">
        <is>
          <t>非终端业主，信息不全已失联</t>
        </is>
      </c>
      <c r="L84" s="7" t="inlineStr"/>
      <c r="M84" s="7" t="inlineStr"/>
      <c r="N84" s="7" t="inlineStr"/>
      <c r="O84" s="7" t="inlineStr">
        <is>
          <t>是</t>
        </is>
      </c>
      <c r="P84" s="7" t="inlineStr">
        <is>
          <t>其他</t>
        </is>
      </c>
      <c r="Q84" s="7" t="inlineStr">
        <is>
          <t>联系人为中间工程公司，对项目把控性弱，项目信息不全，目前已失去联系</t>
        </is>
      </c>
    </row>
    <row r="85" ht="36" customHeight="1">
      <c r="A85" s="7" t="n">
        <v>88</v>
      </c>
      <c r="B85" s="7" t="inlineStr">
        <is>
          <t>韩鸿彪</t>
        </is>
      </c>
      <c r="C85" s="7" t="inlineStr">
        <is>
          <t>无编码</t>
        </is>
      </c>
      <c r="D85" s="7" t="inlineStr"/>
      <c r="E85" s="7" t="inlineStr">
        <is>
          <t>20260120 韩鸿彪 越南广宁水泥4*6000T筒仓配套装船钢结构雨棚（河边雨棚）</t>
        </is>
      </c>
      <c r="F85" s="7" t="inlineStr"/>
      <c r="G85" s="7" t="n"/>
      <c r="H85" s="7" t="inlineStr">
        <is>
          <t>进行中</t>
        </is>
      </c>
      <c r="I85" s="7" t="inlineStr"/>
      <c r="J85" s="21" t="inlineStr">
        <is>
          <t>该结未结</t>
        </is>
      </c>
      <c r="K85" s="7" t="inlineStr">
        <is>
          <t>雨棚报建复杂或将放弃，仍挂进行中</t>
        </is>
      </c>
      <c r="L85" s="7" t="inlineStr"/>
      <c r="M85" s="7" t="inlineStr"/>
      <c r="N85" s="7" t="inlineStr">
        <is>
          <t>是</t>
        </is>
      </c>
      <c r="O85" s="7" t="inlineStr"/>
      <c r="P85" s="7" t="inlineStr"/>
      <c r="Q85" s="7" t="inlineStr">
        <is>
          <t>土地报批手续中，杰余报建水槽手续复杂和预算原因，可能会放弃该项目建设</t>
        </is>
      </c>
    </row>
    <row r="86" ht="36" customHeight="1">
      <c r="A86" s="7" t="n">
        <v>89</v>
      </c>
      <c r="B86" s="7" t="inlineStr">
        <is>
          <t>韩鸿彪</t>
        </is>
      </c>
      <c r="C86" s="7" t="inlineStr">
        <is>
          <t>C00008036</t>
        </is>
      </c>
      <c r="D86" s="7" t="inlineStr"/>
      <c r="E86" s="7" t="inlineStr">
        <is>
          <t>C00008036 韩鸿彪 越南 4x6000T筒仓系统配套输送设备方案 V5</t>
        </is>
      </c>
      <c r="F86" s="7" t="inlineStr"/>
      <c r="G86" s="7" t="n"/>
      <c r="H86" s="7" t="inlineStr">
        <is>
          <t>进行中</t>
        </is>
      </c>
      <c r="I86" s="7" t="inlineStr"/>
      <c r="J86" s="17" t="inlineStr">
        <is>
          <t>有效跟进</t>
        </is>
      </c>
      <c r="K86" s="7" t="inlineStr">
        <is>
          <t>包装线更新方案，等决策，有明确分期</t>
        </is>
      </c>
      <c r="L86" s="7" t="inlineStr"/>
      <c r="M86" s="7" t="inlineStr">
        <is>
          <t>是</t>
        </is>
      </c>
      <c r="N86" s="7" t="inlineStr"/>
      <c r="O86" s="7" t="inlineStr"/>
      <c r="P86" s="7" t="inlineStr"/>
      <c r="Q86" s="7" t="inlineStr">
        <is>
          <t>更新方案，更新报价，等待决策。业主计划先上一条（6台）包装线，第一个筒仓完工后先运行起来</t>
        </is>
      </c>
    </row>
    <row r="87" ht="36" customHeight="1">
      <c r="A87" s="7" t="n">
        <v>90</v>
      </c>
      <c r="B87" s="7" t="inlineStr">
        <is>
          <t>韩鸿彪</t>
        </is>
      </c>
      <c r="C87" s="7" t="inlineStr">
        <is>
          <t>无编码</t>
        </is>
      </c>
      <c r="D87" s="7" t="inlineStr"/>
      <c r="E87" s="7" t="inlineStr">
        <is>
          <t>20260108 韩鸿彪 越南广宁水泥4*5000T筒仓配套装船钢结构雨棚</t>
        </is>
      </c>
      <c r="F87" s="7" t="inlineStr"/>
      <c r="G87" s="7" t="n"/>
      <c r="H87" s="7" t="inlineStr">
        <is>
          <t>暂停</t>
        </is>
      </c>
      <c r="I87" s="7" t="inlineStr"/>
      <c r="J87" s="26" t="inlineStr">
        <is>
          <t>规范闭环</t>
        </is>
      </c>
      <c r="K87" s="7" t="inlineStr">
        <is>
          <t>与序号86重复，已暂停</t>
        </is>
      </c>
      <c r="L87" s="7" t="inlineStr"/>
      <c r="M87" s="7" t="inlineStr"/>
      <c r="N87" s="7" t="inlineStr"/>
      <c r="O87" s="7" t="inlineStr">
        <is>
          <t>是</t>
        </is>
      </c>
      <c r="P87" s="7" t="inlineStr"/>
      <c r="Q87" s="7" t="inlineStr">
        <is>
          <t>与86重复</t>
        </is>
      </c>
    </row>
    <row r="88" ht="36" customHeight="1">
      <c r="A88" s="7" t="n">
        <v>91</v>
      </c>
      <c r="B88" s="7" t="inlineStr">
        <is>
          <t>韩鸿彪</t>
        </is>
      </c>
      <c r="C88" s="7" t="inlineStr">
        <is>
          <t>C00009474</t>
        </is>
      </c>
      <c r="D88" s="7" t="inlineStr">
        <is>
          <t>粮食</t>
        </is>
      </c>
      <c r="E88" s="7" t="inlineStr">
        <is>
          <t>C00009474|韩鸿彪|粮食|卢旺达面粉厂3x2500T小麦仓项目|方案V1</t>
        </is>
      </c>
      <c r="F88" s="7" t="inlineStr"/>
      <c r="G88" s="7" t="n"/>
      <c r="H88" s="7" t="inlineStr">
        <is>
          <t>进行中</t>
        </is>
      </c>
      <c r="I88" s="7" t="inlineStr"/>
      <c r="J88" s="17" t="inlineStr">
        <is>
          <t>有效跟进</t>
        </is>
      </c>
      <c r="K88" s="7" t="inlineStr">
        <is>
          <t>项目真实，第一版报价阶段</t>
        </is>
      </c>
      <c r="L88" s="7" t="inlineStr"/>
      <c r="M88" s="7" t="inlineStr">
        <is>
          <t>是</t>
        </is>
      </c>
      <c r="N88" s="7" t="inlineStr"/>
      <c r="O88" s="7" t="inlineStr"/>
      <c r="P88" s="7" t="inlineStr"/>
      <c r="Q88" s="7" t="inlineStr">
        <is>
          <t>面粉厂扩建项目，规模不大，但项目真实，第一版报价阶段</t>
        </is>
      </c>
    </row>
    <row r="89" ht="36" customHeight="1">
      <c r="A89" s="7" t="n">
        <v>92</v>
      </c>
      <c r="B89" s="7" t="inlineStr">
        <is>
          <t>韩鸿彪</t>
        </is>
      </c>
      <c r="C89" s="7" t="inlineStr">
        <is>
          <t>C00008036</t>
        </is>
      </c>
      <c r="D89" s="7" t="inlineStr">
        <is>
          <t>工业</t>
        </is>
      </c>
      <c r="E89" s="7" t="inlineStr">
        <is>
          <t>C00008036|韩鸿彪|工业|越南QNC船对船水泥输送系统|方案V1</t>
        </is>
      </c>
      <c r="F89" s="7" t="inlineStr"/>
      <c r="G89" s="7" t="n"/>
      <c r="H89" s="7" t="inlineStr">
        <is>
          <t>暂停</t>
        </is>
      </c>
      <c r="I89" s="7" t="inlineStr"/>
      <c r="J89" s="26" t="inlineStr">
        <is>
          <t>规范闭环</t>
        </is>
      </c>
      <c r="K89" s="7" t="inlineStr">
        <is>
          <t>报价过高方案不满足，已暂停</t>
        </is>
      </c>
      <c r="L89" s="7" t="inlineStr"/>
      <c r="M89" s="7" t="inlineStr"/>
      <c r="N89" s="7" t="inlineStr"/>
      <c r="O89" s="7" t="inlineStr">
        <is>
          <t>是</t>
        </is>
      </c>
      <c r="P89" s="7" t="inlineStr"/>
      <c r="Q89" s="7" t="inlineStr">
        <is>
          <t>第一版报价后，我司报价过高，业主需要的方案我们不能满足，暂停更新</t>
        </is>
      </c>
    </row>
    <row r="90" ht="36" customHeight="1">
      <c r="A90" s="7" t="n">
        <v>93</v>
      </c>
      <c r="B90" s="7" t="inlineStr">
        <is>
          <t>马鹏飞</t>
        </is>
      </c>
      <c r="C90" s="7" t="inlineStr">
        <is>
          <t>C00009797</t>
        </is>
      </c>
      <c r="D90" s="7" t="inlineStr">
        <is>
          <t>工业</t>
        </is>
      </c>
      <c r="E90" s="7" t="inlineStr">
        <is>
          <t>C00009797  | 马鹏飞 | 工业 | 新加坡波纹钢板储水罐 | 方案V1 |</t>
        </is>
      </c>
      <c r="F90" s="7" t="inlineStr"/>
      <c r="G90" s="7" t="n"/>
      <c r="H90" s="7" t="inlineStr">
        <is>
          <t>进行中</t>
        </is>
      </c>
      <c r="I90" s="7" t="inlineStr"/>
      <c r="J90" s="27" t="inlineStr">
        <is>
          <t>浅层等待</t>
        </is>
      </c>
      <c r="K90" s="7" t="inlineStr">
        <is>
          <t>业主延标，预计2026年底投标</t>
        </is>
      </c>
      <c r="L90" s="7" t="inlineStr"/>
      <c r="M90" s="7" t="inlineStr"/>
      <c r="N90" s="7" t="inlineStr"/>
      <c r="O90" s="7" t="inlineStr"/>
      <c r="P90" s="7" t="inlineStr"/>
      <c r="Q90" s="7" t="inlineStr">
        <is>
          <t>业主仍在投标，目前项目延标，预计2026年底投标</t>
        </is>
      </c>
    </row>
    <row r="91" ht="36" customHeight="1">
      <c r="A91" s="7" t="n">
        <v>94</v>
      </c>
      <c r="B91" s="7" t="inlineStr">
        <is>
          <t>马鹏飞</t>
        </is>
      </c>
      <c r="C91" s="7" t="inlineStr">
        <is>
          <t>C00009713</t>
        </is>
      </c>
      <c r="D91" s="7" t="inlineStr">
        <is>
          <t>工业</t>
        </is>
      </c>
      <c r="E91" s="7" t="inlineStr">
        <is>
          <t>C00009713  | 马鹏飞 | 工业 | 保加利亚DPM Metals Inc. 50吨消石灰仓及设备 | 方案V1 |</t>
        </is>
      </c>
      <c r="F91" s="7" t="inlineStr"/>
      <c r="G91" s="7" t="n"/>
      <c r="H91" s="7" t="inlineStr">
        <is>
          <t>已结项-丢单</t>
        </is>
      </c>
      <c r="I91" s="7" t="inlineStr"/>
      <c r="J91" s="26" t="inlineStr">
        <is>
          <t>规范闭环</t>
        </is>
      </c>
      <c r="K91" s="7" t="inlineStr">
        <is>
          <t>小仓澄清未回，兴趣不大</t>
        </is>
      </c>
      <c r="L91" s="7" t="inlineStr"/>
      <c r="M91" s="7" t="inlineStr"/>
      <c r="N91" s="7" t="inlineStr"/>
      <c r="O91" s="7" t="inlineStr">
        <is>
          <t>是</t>
        </is>
      </c>
      <c r="P91" s="7" t="inlineStr">
        <is>
          <t>客户失联</t>
        </is>
      </c>
      <c r="Q91" s="7" t="inlineStr">
        <is>
          <t>50吨小仓，客户对我公司项目澄清未回，客户兴趣不大，不再报价</t>
        </is>
      </c>
    </row>
    <row r="92" ht="36" customHeight="1">
      <c r="A92" s="7" t="n">
        <v>95</v>
      </c>
      <c r="B92" s="7" t="inlineStr">
        <is>
          <t>马鹏飞</t>
        </is>
      </c>
      <c r="C92" s="7" t="inlineStr">
        <is>
          <t>C00009340</t>
        </is>
      </c>
      <c r="D92" s="7" t="inlineStr">
        <is>
          <t>粮食</t>
        </is>
      </c>
      <c r="E92" s="7" t="inlineStr">
        <is>
          <t>C00009340 | 马鹏飞 | 粮食 | 澳大利亚维多利亚州 农场主 3 +1 个1000吨大麦小麦存储仓 | 方案V1 |</t>
        </is>
      </c>
      <c r="F92" s="7" t="inlineStr"/>
      <c r="G92" s="7" t="n"/>
      <c r="H92" s="7" t="inlineStr">
        <is>
          <t>已结项-丢单</t>
        </is>
      </c>
      <c r="I92" s="7" t="inlineStr"/>
      <c r="J92" s="26" t="inlineStr">
        <is>
          <t>规范闭环</t>
        </is>
      </c>
      <c r="K92" s="7" t="inlineStr">
        <is>
          <t>澄清未回后失联</t>
        </is>
      </c>
      <c r="L92" s="7" t="inlineStr"/>
      <c r="M92" s="7" t="inlineStr"/>
      <c r="N92" s="7" t="inlineStr"/>
      <c r="O92" s="7" t="inlineStr">
        <is>
          <t>是</t>
        </is>
      </c>
      <c r="P92" s="7" t="inlineStr">
        <is>
          <t>客户失联</t>
        </is>
      </c>
      <c r="Q92" s="7" t="inlineStr">
        <is>
          <t>客户比价倾向重，澳洲标准，项目需要落实澄清客户未回，主动联系不再回复，故不再报价</t>
        </is>
      </c>
    </row>
    <row r="93" ht="36" customHeight="1">
      <c r="A93" s="7" t="n">
        <v>96</v>
      </c>
      <c r="B93" s="7" t="inlineStr">
        <is>
          <t>马鹏飞</t>
        </is>
      </c>
      <c r="C93" s="7" t="inlineStr">
        <is>
          <t>C00006463</t>
        </is>
      </c>
      <c r="D93" s="7" t="inlineStr">
        <is>
          <t>粮食</t>
        </is>
      </c>
      <c r="E93" s="7" t="inlineStr">
        <is>
          <t>C00006463  | 马鹏飞 | 粮食 | 智利 Empresasalacarta公司麦麸料斗 | 方案V1 |</t>
        </is>
      </c>
      <c r="F93" s="7" t="inlineStr"/>
      <c r="G93" s="7" t="n"/>
      <c r="H93" s="7" t="inlineStr">
        <is>
          <t>已结项-丢单</t>
        </is>
      </c>
      <c r="I93" s="7" t="inlineStr"/>
      <c r="J93" s="26" t="inlineStr">
        <is>
          <t>规范闭环</t>
        </is>
      </c>
      <c r="K93" s="7" t="inlineStr">
        <is>
          <t>图纸错误澄清未回后失联</t>
        </is>
      </c>
      <c r="L93" s="7" t="inlineStr"/>
      <c r="M93" s="7" t="inlineStr"/>
      <c r="N93" s="7" t="inlineStr"/>
      <c r="O93" s="7" t="inlineStr">
        <is>
          <t>是</t>
        </is>
      </c>
      <c r="P93" s="7" t="inlineStr">
        <is>
          <t>客户失联</t>
        </is>
      </c>
      <c r="Q93" s="7" t="inlineStr">
        <is>
          <t>项目图纸有尺寸错误，向业主澄清未回，主动联系不再回复，故不再报价</t>
        </is>
      </c>
    </row>
    <row r="94" ht="36" customHeight="1">
      <c r="A94" s="7" t="n">
        <v>97</v>
      </c>
      <c r="B94" s="7" t="inlineStr">
        <is>
          <t>马鹏飞</t>
        </is>
      </c>
      <c r="C94" s="7" t="inlineStr">
        <is>
          <t>C00009133</t>
        </is>
      </c>
      <c r="D94" s="7" t="inlineStr">
        <is>
          <t>粮食</t>
        </is>
      </c>
      <c r="E94" s="7" t="inlineStr">
        <is>
          <t>C00009133  | 马鹏飞 | 粮食 | 科特迪瓦代理可可豆长期存储项目| 方案V2 |</t>
        </is>
      </c>
      <c r="F94" s="7" t="inlineStr"/>
      <c r="G94" s="7" t="n"/>
      <c r="H94" s="7" t="inlineStr">
        <is>
          <t>已结项-丢单</t>
        </is>
      </c>
      <c r="I94" s="7" t="inlineStr"/>
      <c r="J94" s="26" t="inlineStr">
        <is>
          <t>规范闭环</t>
        </is>
      </c>
      <c r="K94" s="7" t="inlineStr">
        <is>
          <t>改与电建合作，风险巨大主动停</t>
        </is>
      </c>
      <c r="L94" s="7" t="inlineStr"/>
      <c r="M94" s="7" t="inlineStr"/>
      <c r="N94" s="7" t="inlineStr"/>
      <c r="O94" s="7" t="inlineStr">
        <is>
          <t>是</t>
        </is>
      </c>
      <c r="P94" s="7" t="inlineStr">
        <is>
          <t>其他</t>
        </is>
      </c>
      <c r="Q94" s="7" t="inlineStr">
        <is>
          <t>已做方案，目前改与中国电建合作，准备相关研究报告</t>
        </is>
      </c>
    </row>
    <row r="95" ht="36" customHeight="1">
      <c r="A95" s="7" t="n">
        <v>98</v>
      </c>
      <c r="B95" s="7" t="inlineStr">
        <is>
          <t>马鹏飞</t>
        </is>
      </c>
      <c r="C95" s="7" t="inlineStr">
        <is>
          <t>C00008933</t>
        </is>
      </c>
      <c r="D95" s="7" t="inlineStr">
        <is>
          <t>工业</t>
        </is>
      </c>
      <c r="E95" s="7" t="inlineStr">
        <is>
          <t>C00008933 | 马鹏飞 | 工业 | Técnicas Reunidas S. A.（意大利头部国际 EPC/工程总承包集团）小型石灰仓 | 方案V1 |</t>
        </is>
      </c>
      <c r="F95" s="7" t="inlineStr"/>
      <c r="G95" s="7" t="n"/>
      <c r="H95" s="7" t="inlineStr">
        <is>
          <t>已结项-丢单</t>
        </is>
      </c>
      <c r="I95" s="7" t="inlineStr"/>
      <c r="J95" s="26" t="inlineStr">
        <is>
          <t>规范闭环</t>
        </is>
      </c>
      <c r="K95" s="7" t="inlineStr">
        <is>
          <t>污泥刮板机做不了</t>
        </is>
      </c>
      <c r="L95" s="7" t="inlineStr"/>
      <c r="M95" s="7" t="inlineStr"/>
      <c r="N95" s="7" t="inlineStr"/>
      <c r="O95" s="7" t="inlineStr">
        <is>
          <t>是</t>
        </is>
      </c>
      <c r="P95" s="7" t="inlineStr">
        <is>
          <t>其他</t>
        </is>
      </c>
      <c r="Q95" s="7" t="inlineStr">
        <is>
          <t>已做方案，及报价15吨小仓，项目污泥刮板机无法做，客户联络不回</t>
        </is>
      </c>
    </row>
    <row r="96" ht="36" customHeight="1">
      <c r="A96" s="7" t="n">
        <v>99</v>
      </c>
      <c r="B96" s="7" t="inlineStr">
        <is>
          <t>马鹏飞</t>
        </is>
      </c>
      <c r="C96" s="7" t="inlineStr">
        <is>
          <t>C00001420</t>
        </is>
      </c>
      <c r="D96" s="7" t="inlineStr">
        <is>
          <t>工业</t>
        </is>
      </c>
      <c r="E96" s="7" t="inlineStr">
        <is>
          <t>C00001420 | 马鹏飞 | 工业 |生力集团100TPH水泥冷却站项目需画电气单线图及理清范围 | 方案V4 |</t>
        </is>
      </c>
      <c r="F96" s="7" t="inlineStr"/>
      <c r="G96" s="7" t="n"/>
      <c r="H96" s="7" t="inlineStr">
        <is>
          <t>进行中</t>
        </is>
      </c>
      <c r="I96" s="7" t="inlineStr"/>
      <c r="J96" s="17" t="inlineStr">
        <is>
          <t>有效跟进</t>
        </is>
      </c>
      <c r="K96" s="7" t="inlineStr">
        <is>
          <t>冷却站资料已交，待生力决策层</t>
        </is>
      </c>
      <c r="L96" s="7" t="inlineStr"/>
      <c r="M96" s="7" t="inlineStr">
        <is>
          <t>是</t>
        </is>
      </c>
      <c r="N96" s="7" t="inlineStr"/>
      <c r="O96" s="7" t="inlineStr"/>
      <c r="P96" s="7" t="inlineStr"/>
      <c r="Q96" s="7" t="inlineStr">
        <is>
          <t>已完成单线图提供，生力水泥冷却站项目，已提交所有所需资料，待生力决策层批复，目前尚未有更新情况</t>
        </is>
      </c>
    </row>
    <row r="97" ht="36" customHeight="1">
      <c r="A97" s="7" t="n">
        <v>100</v>
      </c>
      <c r="B97" s="7" t="inlineStr">
        <is>
          <t>马鹏飞</t>
        </is>
      </c>
      <c r="C97" s="7" t="inlineStr">
        <is>
          <t>无编码</t>
        </is>
      </c>
      <c r="D97" s="7" t="inlineStr"/>
      <c r="E97" s="7" t="inlineStr">
        <is>
          <t>2026.2.10 马鹏飞科特迪瓦2个航空燃油储罐项目需报价</t>
        </is>
      </c>
      <c r="F97" s="7" t="inlineStr"/>
      <c r="G97" s="7" t="n"/>
      <c r="H97" s="7" t="inlineStr">
        <is>
          <t>已结项-丢单</t>
        </is>
      </c>
      <c r="I97" s="7" t="inlineStr"/>
      <c r="J97" s="26" t="inlineStr">
        <is>
          <t>规范闭环</t>
        </is>
      </c>
      <c r="K97" s="7" t="inlineStr">
        <is>
          <t>交期不满足，选土耳其钢板</t>
        </is>
      </c>
      <c r="L97" s="7" t="inlineStr"/>
      <c r="M97" s="7" t="inlineStr"/>
      <c r="N97" s="7" t="inlineStr"/>
      <c r="O97" s="7" t="inlineStr">
        <is>
          <t>是</t>
        </is>
      </c>
      <c r="P97" s="7" t="inlineStr">
        <is>
          <t>交期</t>
        </is>
      </c>
      <c r="Q97" s="7" t="inlineStr">
        <is>
          <t>已报价，因工期无法满足业主要求，业主选择土耳其采购钢板，在当地组装</t>
        </is>
      </c>
    </row>
    <row r="98" ht="36" customHeight="1">
      <c r="A98" s="7" t="n">
        <v>101</v>
      </c>
      <c r="B98" s="7" t="inlineStr">
        <is>
          <t>马鹏飞</t>
        </is>
      </c>
      <c r="C98" s="7" t="inlineStr">
        <is>
          <t>无编码</t>
        </is>
      </c>
      <c r="D98" s="7" t="inlineStr"/>
      <c r="E98" s="7" t="inlineStr">
        <is>
          <t>2026.2.2 马鹏飞 阿尔及利亚2万吨小麦玉米农场主6X5000 吨筒仓干燥项目</t>
        </is>
      </c>
      <c r="F98" s="7" t="inlineStr"/>
      <c r="G98" s="7" t="n"/>
      <c r="H98" s="7" t="inlineStr">
        <is>
          <t>已结项-丢单</t>
        </is>
      </c>
      <c r="I98" s="7" t="inlineStr"/>
      <c r="J98" s="26" t="inlineStr">
        <is>
          <t>规范闭环</t>
        </is>
      </c>
      <c r="K98" s="7" t="inlineStr">
        <is>
          <t>报价后失联</t>
        </is>
      </c>
      <c r="L98" s="7" t="inlineStr"/>
      <c r="M98" s="7" t="inlineStr"/>
      <c r="N98" s="7" t="inlineStr"/>
      <c r="O98" s="7" t="inlineStr">
        <is>
          <t>是</t>
        </is>
      </c>
      <c r="P98" s="7" t="inlineStr">
        <is>
          <t>客户失联</t>
        </is>
      </c>
      <c r="Q98" s="7" t="inlineStr">
        <is>
          <t>已做方案，及报价，业主对价格无任何反馈，联络不回</t>
        </is>
      </c>
    </row>
    <row r="99" ht="36" customHeight="1">
      <c r="A99" s="7" t="n">
        <v>102</v>
      </c>
      <c r="B99" s="7" t="inlineStr">
        <is>
          <t>马鹏飞</t>
        </is>
      </c>
      <c r="C99" s="7" t="inlineStr">
        <is>
          <t>C00004564</t>
        </is>
      </c>
      <c r="D99" s="7" t="inlineStr"/>
      <c r="E99" s="7" t="inlineStr">
        <is>
          <t>C00004564 | 马鹏飞 | 德国Intercem公司法国水泥厂项目单仓询价 | 方案 V3 |</t>
        </is>
      </c>
      <c r="F99" s="7" t="inlineStr"/>
      <c r="G99" s="7" t="n"/>
      <c r="H99" s="7" t="inlineStr">
        <is>
          <t>进行中</t>
        </is>
      </c>
      <c r="I99" s="7" t="inlineStr"/>
      <c r="J99" s="27" t="inlineStr">
        <is>
          <t>浅层等待</t>
        </is>
      </c>
      <c r="K99" s="7" t="inlineStr">
        <is>
          <t>法国单仓投标，长期无更新</t>
        </is>
      </c>
      <c r="L99" s="7" t="inlineStr"/>
      <c r="M99" s="7" t="inlineStr"/>
      <c r="N99" s="7" t="inlineStr"/>
      <c r="O99" s="7" t="inlineStr"/>
      <c r="P99" s="7" t="inlineStr">
        <is>
          <t>其他</t>
        </is>
      </c>
      <c r="Q99" s="7" t="inlineStr">
        <is>
          <t>已做方案，及报价，目前此业主也是投标，目前并无更新的投标情况</t>
        </is>
      </c>
    </row>
    <row r="100" ht="36" customHeight="1">
      <c r="A100" s="7" t="n">
        <v>103</v>
      </c>
      <c r="B100" s="7" t="inlineStr">
        <is>
          <t>马鹏飞</t>
        </is>
      </c>
      <c r="C100" s="7" t="inlineStr">
        <is>
          <t>C00001611</t>
        </is>
      </c>
      <c r="D100" s="7" t="inlineStr">
        <is>
          <t>工业</t>
        </is>
      </c>
      <c r="E100" s="7" t="inlineStr">
        <is>
          <t>C00001611| 马鹏飞 | 工业 | 墨西哥拉法基1*500吨水泥仓项目 | 方案V1 |</t>
        </is>
      </c>
      <c r="F100" s="7" t="inlineStr"/>
      <c r="G100" s="7" t="n"/>
      <c r="H100" s="7" t="inlineStr">
        <is>
          <t>进行中</t>
        </is>
      </c>
      <c r="I100" s="7" t="inlineStr"/>
      <c r="J100" s="27" t="inlineStr">
        <is>
          <t>浅层等待</t>
        </is>
      </c>
      <c r="K100" s="7" t="inlineStr">
        <is>
          <t>刚发出报价，尚无反馈</t>
        </is>
      </c>
      <c r="L100" s="7" t="inlineStr"/>
      <c r="M100" s="7" t="inlineStr"/>
      <c r="N100" s="7" t="inlineStr"/>
      <c r="O100" s="7" t="inlineStr"/>
      <c r="P100" s="7" t="inlineStr"/>
      <c r="Q100" s="7" t="inlineStr">
        <is>
          <t>已做方案，及报价，刚发出报价，尚无业主对价格的反馈意见。</t>
        </is>
      </c>
    </row>
    <row r="101" ht="36" customHeight="1">
      <c r="A101" s="7" t="n">
        <v>104</v>
      </c>
      <c r="B101" s="7" t="inlineStr">
        <is>
          <t>苗恒</t>
        </is>
      </c>
      <c r="C101" s="7" t="inlineStr">
        <is>
          <t>C00009786</t>
        </is>
      </c>
      <c r="D101" s="7" t="inlineStr">
        <is>
          <t>粮食</t>
        </is>
      </c>
      <c r="E101" s="7" t="inlineStr">
        <is>
          <t>C00009786｜苗恒｜粮食｜斯里兰卡10x2000吨稻谷仓项目｜方案V1</t>
        </is>
      </c>
      <c r="F101" s="7" t="inlineStr"/>
      <c r="G101" s="7" t="n"/>
      <c r="H101" s="7" t="inlineStr">
        <is>
          <t>进行中</t>
        </is>
      </c>
      <c r="I101" s="7" t="inlineStr"/>
      <c r="J101" s="21" t="inlineStr">
        <is>
          <t>该结未结</t>
        </is>
      </c>
      <c r="K101" s="7" t="inlineStr">
        <is>
          <t>大概率探价比价，报价后反馈不积极</t>
        </is>
      </c>
      <c r="L101" s="7" t="inlineStr"/>
      <c r="M101" s="7" t="inlineStr"/>
      <c r="N101" s="7" t="inlineStr">
        <is>
          <t>是</t>
        </is>
      </c>
      <c r="O101" s="7" t="inlineStr"/>
      <c r="P101" s="7" t="inlineStr"/>
      <c r="Q101" s="7" t="inlineStr">
        <is>
          <t>客户与土耳其ALTINBILEK有合作，上次报价大概率找我们探价和比价，报价后反馈不积极</t>
        </is>
      </c>
    </row>
    <row r="102" ht="36" customHeight="1">
      <c r="A102" s="7" t="n">
        <v>105</v>
      </c>
      <c r="B102" s="7" t="inlineStr">
        <is>
          <t>苗恒</t>
        </is>
      </c>
      <c r="C102" s="7" t="inlineStr">
        <is>
          <t>C00009762</t>
        </is>
      </c>
      <c r="D102" s="7" t="inlineStr">
        <is>
          <t>工业</t>
        </is>
      </c>
      <c r="E102" s="7" t="inlineStr">
        <is>
          <t>C00009762｜苗恒｜工业｜新加坡4x200m3熟石灰粉不锈钢仓项目｜方案V1</t>
        </is>
      </c>
      <c r="F102" s="7" t="inlineStr"/>
      <c r="G102" s="7" t="n"/>
      <c r="H102" s="7" t="inlineStr">
        <is>
          <t>进行中</t>
        </is>
      </c>
      <c r="I102" s="7" t="inlineStr"/>
      <c r="J102" s="17" t="inlineStr">
        <is>
          <t>有效跟进</t>
        </is>
      </c>
      <c r="K102" s="7" t="inlineStr">
        <is>
          <t>工程公司，约8月底/9月初反馈</t>
        </is>
      </c>
      <c r="L102" s="7" t="inlineStr"/>
      <c r="M102" s="7" t="inlineStr">
        <is>
          <t>是</t>
        </is>
      </c>
      <c r="N102" s="7" t="inlineStr"/>
      <c r="O102" s="7" t="inlineStr"/>
      <c r="P102" s="7" t="inlineStr"/>
      <c r="Q102" s="7" t="inlineStr">
        <is>
          <t>跟进中，客户为工程公司，回复8月底或9月初给我们反馈</t>
        </is>
      </c>
    </row>
    <row r="103" ht="36" customHeight="1">
      <c r="A103" s="7" t="n">
        <v>106</v>
      </c>
      <c r="B103" s="7" t="inlineStr">
        <is>
          <t>苗恒</t>
        </is>
      </c>
      <c r="C103" s="7" t="inlineStr">
        <is>
          <t>C00009353</t>
        </is>
      </c>
      <c r="D103" s="7" t="inlineStr">
        <is>
          <t>工业</t>
        </is>
      </c>
      <c r="E103" s="7" t="inlineStr">
        <is>
          <t>C00009353｜苗恒｜工业｜阿尔及利亚6x2500吨水泥仓+200TPH气力输送项目｜方案V1</t>
        </is>
      </c>
      <c r="F103" s="7" t="inlineStr"/>
      <c r="G103" s="7" t="n"/>
      <c r="H103" s="7" t="inlineStr">
        <is>
          <t>进行中</t>
        </is>
      </c>
      <c r="I103" s="7" t="inlineStr"/>
      <c r="J103" s="17" t="inlineStr">
        <is>
          <t>有效跟进</t>
        </is>
      </c>
      <c r="K103" s="7" t="inlineStr">
        <is>
          <t>已给布置图，9月更多现场信息</t>
        </is>
      </c>
      <c r="L103" s="7" t="inlineStr"/>
      <c r="M103" s="7" t="inlineStr">
        <is>
          <t>是</t>
        </is>
      </c>
      <c r="N103" s="7" t="inlineStr"/>
      <c r="O103" s="7" t="inlineStr"/>
      <c r="P103" s="7" t="inlineStr"/>
      <c r="Q103" s="7" t="inlineStr">
        <is>
          <t>跟进中，客户给了港口项目布置图，正在沟通方案布局，9月份客户会给更多项目现场信息</t>
        </is>
      </c>
    </row>
    <row r="104" ht="36" customHeight="1">
      <c r="A104" s="7" t="n">
        <v>107</v>
      </c>
      <c r="B104" s="7" t="inlineStr">
        <is>
          <t>苗恒</t>
        </is>
      </c>
      <c r="C104" s="7" t="inlineStr">
        <is>
          <t>C00009373</t>
        </is>
      </c>
      <c r="D104" s="7" t="inlineStr">
        <is>
          <t>粮食</t>
        </is>
      </c>
      <c r="E104" s="7" t="inlineStr">
        <is>
          <t>C00009373｜苗恒｜粮食｜印尼1X5000吨玉米仓项目｜方案V1</t>
        </is>
      </c>
      <c r="F104" s="7" t="inlineStr"/>
      <c r="G104" s="7" t="n"/>
      <c r="H104" s="7" t="inlineStr">
        <is>
          <t>已结项-丢单</t>
        </is>
      </c>
      <c r="I104" s="7" t="inlineStr"/>
      <c r="J104" s="26" t="inlineStr">
        <is>
          <t>规范闭环</t>
        </is>
      </c>
      <c r="K104" s="7" t="inlineStr">
        <is>
          <t>失联</t>
        </is>
      </c>
      <c r="L104" s="7" t="inlineStr"/>
      <c r="M104" s="7" t="inlineStr"/>
      <c r="N104" s="7" t="inlineStr"/>
      <c r="O104" s="7" t="inlineStr">
        <is>
          <t>是</t>
        </is>
      </c>
      <c r="P104" s="7" t="inlineStr">
        <is>
          <t>客户失联</t>
        </is>
      </c>
      <c r="Q104" s="7" t="inlineStr">
        <is>
          <t>无</t>
        </is>
      </c>
    </row>
    <row r="105" ht="36" customHeight="1">
      <c r="A105" s="7" t="n">
        <v>108</v>
      </c>
      <c r="B105" s="7" t="inlineStr">
        <is>
          <t>苗恒</t>
        </is>
      </c>
      <c r="C105" s="7" t="inlineStr">
        <is>
          <t>C00009256</t>
        </is>
      </c>
      <c r="D105" s="7" t="inlineStr">
        <is>
          <t>工业</t>
        </is>
      </c>
      <c r="E105" s="7" t="inlineStr">
        <is>
          <t>C00009256｜苗恒｜工业｜阿联酋500TPD玻璃瓶制造厂项目｜方案V1</t>
        </is>
      </c>
      <c r="F105" s="7" t="inlineStr"/>
      <c r="G105" s="7" t="n"/>
      <c r="H105" s="7" t="inlineStr">
        <is>
          <t>已结项-丢单</t>
        </is>
      </c>
      <c r="I105" s="7" t="inlineStr"/>
      <c r="J105" s="26" t="inlineStr">
        <is>
          <t>规范闭环</t>
        </is>
      </c>
      <c r="K105" s="7" t="inlineStr">
        <is>
          <t>失联</t>
        </is>
      </c>
      <c r="L105" s="7" t="inlineStr"/>
      <c r="M105" s="7" t="inlineStr"/>
      <c r="N105" s="7" t="inlineStr"/>
      <c r="O105" s="7" t="inlineStr">
        <is>
          <t>是</t>
        </is>
      </c>
      <c r="P105" s="7" t="inlineStr">
        <is>
          <t>客户失联</t>
        </is>
      </c>
      <c r="Q105" s="7" t="inlineStr">
        <is>
          <t>无</t>
        </is>
      </c>
    </row>
    <row r="106" ht="36" customHeight="1">
      <c r="A106" s="7" t="n">
        <v>109</v>
      </c>
      <c r="B106" s="7" t="inlineStr">
        <is>
          <t>苗恒</t>
        </is>
      </c>
      <c r="C106" s="7" t="inlineStr">
        <is>
          <t>C00008938</t>
        </is>
      </c>
      <c r="D106" s="7" t="inlineStr">
        <is>
          <t>粮食</t>
        </is>
      </c>
      <c r="E106" s="7" t="inlineStr">
        <is>
          <t>C00008938｜苗恒｜粮食｜墨西哥3x10000+2x5000+4x200+1x150粮仓项目｜方案V1 | 重点项目</t>
        </is>
      </c>
      <c r="F106" s="7" t="inlineStr"/>
      <c r="G106" s="7" t="n"/>
      <c r="H106" s="7" t="inlineStr">
        <is>
          <t>进行中</t>
        </is>
      </c>
      <c r="I106" s="25" t="inlineStr">
        <is>
          <t>是</t>
        </is>
      </c>
      <c r="J106" s="17" t="inlineStr">
        <is>
          <t>有效跟进</t>
        </is>
      </c>
      <c r="K106" s="7" t="inlineStr">
        <is>
          <t>重点，确认方案V4后更报价V2</t>
        </is>
      </c>
      <c r="L106" s="7" t="inlineStr"/>
      <c r="M106" s="7" t="inlineStr">
        <is>
          <t>是</t>
        </is>
      </c>
      <c r="N106" s="7" t="inlineStr"/>
      <c r="O106" s="7" t="inlineStr"/>
      <c r="P106" s="7" t="inlineStr"/>
      <c r="Q106" s="7" t="inlineStr">
        <is>
          <t>重点项目跟进中，客户反馈比较慢，下步计划确认方案V4后更新报价V2</t>
        </is>
      </c>
    </row>
    <row r="107" ht="36" customHeight="1">
      <c r="A107" s="7" t="n">
        <v>110</v>
      </c>
      <c r="B107" s="7" t="inlineStr">
        <is>
          <t>苗恒</t>
        </is>
      </c>
      <c r="C107" s="7" t="inlineStr">
        <is>
          <t>C00008680</t>
        </is>
      </c>
      <c r="D107" s="7" t="inlineStr">
        <is>
          <t>粮食</t>
        </is>
      </c>
      <c r="E107" s="7" t="inlineStr">
        <is>
          <t>C00008680｜苗恒｜粮食｜也门3x650吨小麦麸皮仓项目｜方案V1</t>
        </is>
      </c>
      <c r="F107" s="7" t="inlineStr"/>
      <c r="G107" s="7" t="n"/>
      <c r="H107" s="7" t="inlineStr">
        <is>
          <t>已结项-丢单</t>
        </is>
      </c>
      <c r="I107" s="7" t="inlineStr"/>
      <c r="J107" s="26" t="inlineStr">
        <is>
          <t>规范闭环</t>
        </is>
      </c>
      <c r="K107" s="7" t="inlineStr">
        <is>
          <t>更新后无答复，已按失联结项</t>
        </is>
      </c>
      <c r="L107" s="7" t="inlineStr"/>
      <c r="M107" s="7" t="inlineStr"/>
      <c r="N107" s="7" t="inlineStr"/>
      <c r="O107" s="7" t="inlineStr">
        <is>
          <t>是</t>
        </is>
      </c>
      <c r="P107" s="7" t="inlineStr">
        <is>
          <t>客户失联</t>
        </is>
      </c>
      <c r="Q107" s="7" t="inlineStr">
        <is>
          <t>跟进中，让完善报价的筒仓和清仓机信息，更新后暂时没有答复</t>
        </is>
      </c>
    </row>
    <row r="108" ht="36" customHeight="1">
      <c r="A108" s="7" t="n">
        <v>111</v>
      </c>
      <c r="B108" s="7" t="inlineStr">
        <is>
          <t>苗恒</t>
        </is>
      </c>
      <c r="C108" s="7" t="inlineStr">
        <is>
          <t>C00009088</t>
        </is>
      </c>
      <c r="D108" s="7" t="inlineStr">
        <is>
          <t>工业</t>
        </is>
      </c>
      <c r="E108" s="7" t="inlineStr">
        <is>
          <t>C00009088｜苗恒｜工业｜德国100吨水泥仓+固定式打包机1/2嘴项目｜方案V1</t>
        </is>
      </c>
      <c r="F108" s="7" t="inlineStr"/>
      <c r="G108" s="7" t="n"/>
      <c r="H108" s="7" t="inlineStr">
        <is>
          <t>已结项-丢单</t>
        </is>
      </c>
      <c r="I108" s="7" t="inlineStr"/>
      <c r="J108" s="26" t="inlineStr">
        <is>
          <t>规范闭环</t>
        </is>
      </c>
      <c r="K108" s="7" t="inlineStr">
        <is>
          <t>失联</t>
        </is>
      </c>
      <c r="L108" s="7" t="inlineStr"/>
      <c r="M108" s="7" t="inlineStr"/>
      <c r="N108" s="7" t="inlineStr"/>
      <c r="O108" s="7" t="inlineStr">
        <is>
          <t>是</t>
        </is>
      </c>
      <c r="P108" s="7" t="inlineStr">
        <is>
          <t>客户失联</t>
        </is>
      </c>
      <c r="Q108" s="7" t="inlineStr">
        <is>
          <t>无</t>
        </is>
      </c>
    </row>
    <row r="109" ht="36" customHeight="1">
      <c r="A109" s="7" t="n">
        <v>112</v>
      </c>
      <c r="B109" s="7" t="inlineStr">
        <is>
          <t>苗恒</t>
        </is>
      </c>
      <c r="C109" s="7" t="inlineStr">
        <is>
          <t>C00009058</t>
        </is>
      </c>
      <c r="D109" s="7" t="inlineStr">
        <is>
          <t>粮食</t>
        </is>
      </c>
      <c r="E109" s="7" t="inlineStr">
        <is>
          <t>C00009058｜苗恒｜粮食｜孟加拉4x18000吨玉米仓项目｜方案V1</t>
        </is>
      </c>
      <c r="F109" s="7" t="inlineStr"/>
      <c r="G109" s="7" t="n"/>
      <c r="H109" s="7" t="inlineStr">
        <is>
          <t>已结项-其他</t>
        </is>
      </c>
      <c r="I109" s="7" t="inlineStr"/>
      <c r="J109" s="26" t="inlineStr">
        <is>
          <t>规范闭环</t>
        </is>
      </c>
      <c r="K109" s="7" t="inlineStr">
        <is>
          <t>需求不实已结项</t>
        </is>
      </c>
      <c r="L109" s="7" t="inlineStr"/>
      <c r="M109" s="7" t="inlineStr"/>
      <c r="N109" s="7" t="inlineStr"/>
      <c r="O109" s="7" t="inlineStr">
        <is>
          <t>是</t>
        </is>
      </c>
      <c r="P109" s="7" t="inlineStr">
        <is>
          <t>需求不实</t>
        </is>
      </c>
      <c r="Q109" s="7" t="inlineStr">
        <is>
          <t>无</t>
        </is>
      </c>
    </row>
    <row r="110" ht="36" customHeight="1">
      <c r="A110" s="7" t="n">
        <v>113</v>
      </c>
      <c r="B110" s="7" t="inlineStr">
        <is>
          <t>苗恒</t>
        </is>
      </c>
      <c r="C110" s="7" t="inlineStr">
        <is>
          <t>C00009001</t>
        </is>
      </c>
      <c r="D110" s="7" t="inlineStr">
        <is>
          <t>工业</t>
        </is>
      </c>
      <c r="E110" s="7" t="inlineStr">
        <is>
          <t>C00009001｜苗恒｜工业｜斯里兰卡1x35000吨熟料仓项目｜方案V2</t>
        </is>
      </c>
      <c r="F110" s="7" t="inlineStr"/>
      <c r="G110" s="7" t="n"/>
      <c r="H110" s="7" t="inlineStr">
        <is>
          <t>进行中</t>
        </is>
      </c>
      <c r="I110" s="7" t="inlineStr"/>
      <c r="J110" s="17" t="inlineStr">
        <is>
          <t>有效跟进</t>
        </is>
      </c>
      <c r="K110" s="7" t="inlineStr">
        <is>
          <t>已联系真实业主，但倾向混凝土仓</t>
        </is>
      </c>
      <c r="L110" s="7" t="inlineStr"/>
      <c r="M110" s="7" t="inlineStr">
        <is>
          <t>是</t>
        </is>
      </c>
      <c r="N110" s="7" t="inlineStr"/>
      <c r="O110" s="7" t="inlineStr"/>
      <c r="P110" s="7" t="inlineStr">
        <is>
          <t>选其他供应商</t>
        </is>
      </c>
      <c r="Q110" s="7" t="inlineStr">
        <is>
          <t>重点项目跟进中，客户找了江苏鹏飞做的整厂规划布置，让我们报混凝土仓报价，准备给客户更新第二版</t>
        </is>
      </c>
    </row>
    <row r="111" ht="36" customHeight="1">
      <c r="A111" s="7" t="n">
        <v>114</v>
      </c>
      <c r="B111" s="7" t="inlineStr">
        <is>
          <t>苗恒</t>
        </is>
      </c>
      <c r="C111" s="7" t="inlineStr">
        <is>
          <t>C00008988</t>
        </is>
      </c>
      <c r="D111" s="7" t="inlineStr">
        <is>
          <t>粮食</t>
        </is>
      </c>
      <c r="E111" s="7" t="inlineStr">
        <is>
          <t>C00008988｜苗恒｜粮食｜孟加拉2x3000吨稻谷仓项目｜方案V3 | 重点项目</t>
        </is>
      </c>
      <c r="F111" s="7" t="inlineStr"/>
      <c r="G111" s="7" t="n"/>
      <c r="H111" s="7" t="inlineStr">
        <is>
          <t>暂停</t>
        </is>
      </c>
      <c r="I111" s="25" t="inlineStr">
        <is>
          <t>是</t>
        </is>
      </c>
      <c r="J111" s="26" t="inlineStr">
        <is>
          <t>规范闭环</t>
        </is>
      </c>
      <c r="K111" s="7" t="inlineStr">
        <is>
          <t>重点项目已暂停</t>
        </is>
      </c>
      <c r="L111" s="7" t="inlineStr"/>
      <c r="M111" s="7" t="inlineStr"/>
      <c r="N111" s="7" t="inlineStr"/>
      <c r="O111" s="7" t="inlineStr">
        <is>
          <t>是</t>
        </is>
      </c>
      <c r="P111" s="7" t="inlineStr"/>
      <c r="Q111" s="7" t="inlineStr">
        <is>
          <t>无</t>
        </is>
      </c>
    </row>
    <row r="112" ht="36" customHeight="1">
      <c r="A112" s="7" t="n">
        <v>115</v>
      </c>
      <c r="B112" s="7" t="inlineStr">
        <is>
          <t>苗恒</t>
        </is>
      </c>
      <c r="C112" s="7" t="inlineStr">
        <is>
          <t>C00008990</t>
        </is>
      </c>
      <c r="D112" s="7" t="inlineStr">
        <is>
          <t>粮食</t>
        </is>
      </c>
      <c r="E112" s="7" t="inlineStr">
        <is>
          <t>C00008990｜苗恒｜粮食｜马拉维1x10000吨大豆仓存储项目｜方案V1</t>
        </is>
      </c>
      <c r="F112" s="7" t="inlineStr"/>
      <c r="G112" s="7" t="n"/>
      <c r="H112" s="7" t="inlineStr">
        <is>
          <t>已结项-丢单</t>
        </is>
      </c>
      <c r="I112" s="7" t="inlineStr"/>
      <c r="J112" s="26" t="inlineStr">
        <is>
          <t>规范闭环</t>
        </is>
      </c>
      <c r="K112" s="7" t="inlineStr">
        <is>
          <t>失联</t>
        </is>
      </c>
      <c r="L112" s="7" t="inlineStr"/>
      <c r="M112" s="7" t="inlineStr"/>
      <c r="N112" s="7" t="inlineStr"/>
      <c r="O112" s="7" t="inlineStr">
        <is>
          <t>是</t>
        </is>
      </c>
      <c r="P112" s="7" t="inlineStr">
        <is>
          <t>客户失联</t>
        </is>
      </c>
      <c r="Q112" s="7" t="inlineStr">
        <is>
          <t>无</t>
        </is>
      </c>
    </row>
    <row r="113" ht="36" customHeight="1">
      <c r="A113" s="7" t="n">
        <v>116</v>
      </c>
      <c r="B113" s="7" t="inlineStr">
        <is>
          <t>苗恒</t>
        </is>
      </c>
      <c r="C113" s="7" t="inlineStr">
        <is>
          <t>无编码</t>
        </is>
      </c>
      <c r="D113" s="7" t="inlineStr"/>
      <c r="E113" s="7" t="inlineStr">
        <is>
          <t>20260223 苗恒 印度45000吨氧化铝仓港口存储输送项目</t>
        </is>
      </c>
      <c r="F113" s="7" t="inlineStr"/>
      <c r="G113" s="7" t="n"/>
      <c r="H113" s="7" t="inlineStr">
        <is>
          <t>已结项-丢单</t>
        </is>
      </c>
      <c r="I113" s="7" t="inlineStr"/>
      <c r="J113" s="26" t="inlineStr">
        <is>
          <t>规范闭环</t>
        </is>
      </c>
      <c r="K113" s="7" t="inlineStr">
        <is>
          <t>业主选混凝土仓</t>
        </is>
      </c>
      <c r="L113" s="7" t="inlineStr"/>
      <c r="M113" s="7" t="inlineStr"/>
      <c r="N113" s="7" t="inlineStr"/>
      <c r="O113" s="7" t="inlineStr">
        <is>
          <t>是</t>
        </is>
      </c>
      <c r="P113" s="7" t="inlineStr">
        <is>
          <t>选其他供应商</t>
        </is>
      </c>
      <c r="Q113" s="7" t="inlineStr">
        <is>
          <t>无</t>
        </is>
      </c>
    </row>
    <row r="114" ht="36" customHeight="1">
      <c r="A114" s="7" t="n">
        <v>117</v>
      </c>
      <c r="B114" s="7" t="inlineStr">
        <is>
          <t>苗恒</t>
        </is>
      </c>
      <c r="C114" s="7" t="inlineStr">
        <is>
          <t>无编码</t>
        </is>
      </c>
      <c r="D114" s="7" t="inlineStr"/>
      <c r="E114" s="7" t="inlineStr">
        <is>
          <t>20260205苗恒 委内瑞拉12x7500吨玉米和大豆存储项目</t>
        </is>
      </c>
      <c r="F114" s="7" t="inlineStr"/>
      <c r="G114" s="7" t="n"/>
      <c r="H114" s="7" t="inlineStr">
        <is>
          <t>暂停</t>
        </is>
      </c>
      <c r="I114" s="7" t="inlineStr"/>
      <c r="J114" s="26" t="inlineStr">
        <is>
          <t>规范闭环</t>
        </is>
      </c>
      <c r="K114" s="7" t="inlineStr">
        <is>
          <t>项目暂停</t>
        </is>
      </c>
      <c r="L114" s="7" t="inlineStr"/>
      <c r="M114" s="7" t="inlineStr"/>
      <c r="N114" s="7" t="inlineStr"/>
      <c r="O114" s="7" t="inlineStr">
        <is>
          <t>是</t>
        </is>
      </c>
      <c r="P114" s="7" t="inlineStr"/>
      <c r="Q114" s="7" t="inlineStr">
        <is>
          <t>无</t>
        </is>
      </c>
    </row>
    <row r="115" ht="36" customHeight="1">
      <c r="A115" s="7" t="n">
        <v>118</v>
      </c>
      <c r="B115" s="7" t="inlineStr">
        <is>
          <t>苗恒</t>
        </is>
      </c>
      <c r="C115" s="7" t="inlineStr">
        <is>
          <t>无编码</t>
        </is>
      </c>
      <c r="D115" s="7" t="inlineStr"/>
      <c r="E115" s="7" t="inlineStr">
        <is>
          <t>20260205苗恒 印度小麦仓存储项目</t>
        </is>
      </c>
      <c r="F115" s="7" t="inlineStr"/>
      <c r="G115" s="7" t="n"/>
      <c r="H115" s="7" t="inlineStr">
        <is>
          <t>暂停</t>
        </is>
      </c>
      <c r="I115" s="7" t="inlineStr"/>
      <c r="J115" s="26" t="inlineStr">
        <is>
          <t>规范闭环</t>
        </is>
      </c>
      <c r="K115" s="7" t="inlineStr">
        <is>
          <t>项目暂停</t>
        </is>
      </c>
      <c r="L115" s="7" t="inlineStr"/>
      <c r="M115" s="7" t="inlineStr"/>
      <c r="N115" s="7" t="inlineStr"/>
      <c r="O115" s="7" t="inlineStr">
        <is>
          <t>是</t>
        </is>
      </c>
      <c r="P115" s="7" t="inlineStr"/>
      <c r="Q115" s="7" t="inlineStr">
        <is>
          <t>无</t>
        </is>
      </c>
    </row>
    <row r="116" ht="36" customHeight="1">
      <c r="A116" s="7" t="n">
        <v>119</v>
      </c>
      <c r="B116" s="7" t="inlineStr">
        <is>
          <t>苗恒</t>
        </is>
      </c>
      <c r="C116" s="7" t="inlineStr">
        <is>
          <t>无编码</t>
        </is>
      </c>
      <c r="D116" s="7" t="inlineStr"/>
      <c r="E116" s="7" t="inlineStr">
        <is>
          <t>20260121  苗恒  土耳其石灰石粉末仓项目</t>
        </is>
      </c>
      <c r="F116" s="7" t="inlineStr"/>
      <c r="G116" s="7" t="n"/>
      <c r="H116" s="7" t="inlineStr">
        <is>
          <t>已结项-其他</t>
        </is>
      </c>
      <c r="I116" s="7" t="inlineStr"/>
      <c r="J116" s="26" t="inlineStr">
        <is>
          <t>规范闭环</t>
        </is>
      </c>
      <c r="K116" s="7" t="inlineStr">
        <is>
          <t>需求不实已结项</t>
        </is>
      </c>
      <c r="L116" s="7" t="inlineStr"/>
      <c r="M116" s="7" t="inlineStr"/>
      <c r="N116" s="7" t="inlineStr"/>
      <c r="O116" s="7" t="inlineStr">
        <is>
          <t>是</t>
        </is>
      </c>
      <c r="P116" s="7" t="inlineStr">
        <is>
          <t>需求不实</t>
        </is>
      </c>
      <c r="Q116" s="7" t="inlineStr">
        <is>
          <t>无</t>
        </is>
      </c>
    </row>
    <row r="117" ht="36" customHeight="1">
      <c r="A117" s="7" t="n">
        <v>120</v>
      </c>
      <c r="B117" s="7" t="inlineStr">
        <is>
          <t>苗恒</t>
        </is>
      </c>
      <c r="C117" s="7" t="inlineStr">
        <is>
          <t>C00009921</t>
        </is>
      </c>
      <c r="D117" s="7" t="inlineStr">
        <is>
          <t>工业</t>
        </is>
      </c>
      <c r="E117" s="7" t="inlineStr">
        <is>
          <t>C00009921｜苗恒｜工业｜伊拉克2x10000吨水泥仓项目｜方案V1</t>
        </is>
      </c>
      <c r="F117" s="7" t="inlineStr"/>
      <c r="G117" s="7" t="n"/>
      <c r="H117" s="7" t="inlineStr">
        <is>
          <t>进行中</t>
        </is>
      </c>
      <c r="I117" s="7" t="inlineStr"/>
      <c r="J117" s="17" t="inlineStr">
        <is>
          <t>有效跟进</t>
        </is>
      </c>
      <c r="K117" s="7" t="inlineStr">
        <is>
          <t>已报价，客户预计9.2到上海见面</t>
        </is>
      </c>
      <c r="L117" s="7" t="inlineStr"/>
      <c r="M117" s="7" t="inlineStr">
        <is>
          <t>是</t>
        </is>
      </c>
      <c r="N117" s="7" t="inlineStr"/>
      <c r="O117" s="7" t="inlineStr"/>
      <c r="P117" s="7" t="inlineStr"/>
      <c r="Q117" s="7" t="inlineStr">
        <is>
          <t>已报价，客户预计9.2到上海，希望可以见一面</t>
        </is>
      </c>
    </row>
    <row r="118" ht="36" customHeight="1">
      <c r="A118" s="7" t="n">
        <v>121</v>
      </c>
      <c r="B118" s="7" t="inlineStr">
        <is>
          <t>苗恒</t>
        </is>
      </c>
      <c r="C118" s="7" t="inlineStr">
        <is>
          <t>C00009883</t>
        </is>
      </c>
      <c r="D118" s="7" t="inlineStr">
        <is>
          <t>工业</t>
        </is>
      </c>
      <c r="E118" s="7" t="inlineStr">
        <is>
          <t>C00009883｜苗恒｜工业｜德国3x1600吨水泥仓+3个料斗投标项目｜方案V1</t>
        </is>
      </c>
      <c r="F118" s="7" t="inlineStr"/>
      <c r="G118" s="7" t="n"/>
      <c r="H118" s="7" t="inlineStr">
        <is>
          <t>进行中</t>
        </is>
      </c>
      <c r="I118" s="7" t="inlineStr"/>
      <c r="J118" s="22" t="inlineStr">
        <is>
          <t>重复开单</t>
        </is>
      </c>
      <c r="K118" s="7" t="inlineStr">
        <is>
          <t>与伊拉克2万吨仓属同一项目等业主选方案</t>
        </is>
      </c>
      <c r="L118" s="7" t="inlineStr"/>
      <c r="M118" s="7" t="inlineStr"/>
      <c r="N118" s="7" t="inlineStr"/>
      <c r="O118" s="7" t="inlineStr"/>
      <c r="P118" s="7" t="inlineStr"/>
      <c r="Q118" s="7" t="inlineStr">
        <is>
          <t>与上面伊拉克2x10000同属一个项目，需要等最终业主确认哪个方案</t>
        </is>
      </c>
    </row>
    <row r="119" ht="36" customHeight="1">
      <c r="A119" s="7" t="n">
        <v>122</v>
      </c>
      <c r="B119" s="7" t="inlineStr">
        <is>
          <t>司斌</t>
        </is>
      </c>
      <c r="C119" s="7" t="inlineStr">
        <is>
          <t>C00009709</t>
        </is>
      </c>
      <c r="D119" s="7" t="inlineStr">
        <is>
          <t>工业</t>
        </is>
      </c>
      <c r="E119" s="7" t="inlineStr">
        <is>
          <t>C00009709｜司斌｜工业｜蒙古60吨沙仓 |方案V1</t>
        </is>
      </c>
      <c r="F119" s="7" t="inlineStr"/>
      <c r="G119" s="7" t="n"/>
      <c r="H119" s="7" t="inlineStr">
        <is>
          <t>已结项-丢单</t>
        </is>
      </c>
      <c r="I119" s="7" t="inlineStr"/>
      <c r="J119" s="26" t="inlineStr">
        <is>
          <t>规范闭环</t>
        </is>
      </c>
      <c r="K119" s="7" t="inlineStr">
        <is>
          <t>工艺做不了，已放弃</t>
        </is>
      </c>
      <c r="L119" s="7" t="inlineStr"/>
      <c r="M119" s="7" t="inlineStr"/>
      <c r="N119" s="7" t="inlineStr"/>
      <c r="O119" s="7" t="inlineStr">
        <is>
          <t>是</t>
        </is>
      </c>
      <c r="P119" s="7" t="inlineStr">
        <is>
          <t>其他</t>
        </is>
      </c>
      <c r="Q119" s="7" t="inlineStr">
        <is>
          <t>客户是蒙古的，做热转换的，新公司，想要60吨沙仓用于热能存储和转换，工艺工程师王雷朋告知我们做不了，项目放弃</t>
        </is>
      </c>
    </row>
    <row r="120" ht="36" customHeight="1">
      <c r="A120" s="7" t="n">
        <v>123</v>
      </c>
      <c r="B120" s="7" t="inlineStr">
        <is>
          <t>司斌</t>
        </is>
      </c>
      <c r="C120" s="7" t="inlineStr">
        <is>
          <t>C00009733</t>
        </is>
      </c>
      <c r="D120" s="7" t="inlineStr">
        <is>
          <t>粮食</t>
        </is>
      </c>
      <c r="E120" s="7" t="inlineStr">
        <is>
          <t>C00009733｜司斌｜粮食｜印度路易达孚4x500咖啡仓 |方案V1</t>
        </is>
      </c>
      <c r="F120" s="7" t="inlineStr"/>
      <c r="G120" s="7" t="n"/>
      <c r="H120" s="7" t="inlineStr">
        <is>
          <t>进行中</t>
        </is>
      </c>
      <c r="I120" s="7" t="inlineStr"/>
      <c r="J120" s="24" t="inlineStr">
        <is>
          <t>前期调研</t>
        </is>
      </c>
      <c r="K120" s="7" t="inlineStr">
        <is>
          <t>路易达孚只要预算，不一定上</t>
        </is>
      </c>
      <c r="L120" s="7" t="inlineStr">
        <is>
          <t>是</t>
        </is>
      </c>
      <c r="M120" s="7" t="inlineStr"/>
      <c r="N120" s="7" t="inlineStr"/>
      <c r="O120" s="7" t="inlineStr"/>
      <c r="P120" s="7" t="inlineStr"/>
      <c r="Q120" s="7" t="inlineStr">
        <is>
          <t>路易达孚印度公司咖啡公司，项目处于调研阶段，只要了预算，待管理层决定，不一定会上</t>
        </is>
      </c>
    </row>
    <row r="121" ht="36" customHeight="1">
      <c r="A121" s="7" t="n">
        <v>124</v>
      </c>
      <c r="B121" s="7" t="inlineStr">
        <is>
          <t>司斌</t>
        </is>
      </c>
      <c r="C121" s="7" t="inlineStr">
        <is>
          <t>C00009649</t>
        </is>
      </c>
      <c r="D121" s="7" t="inlineStr">
        <is>
          <t>粮食</t>
        </is>
      </c>
      <c r="E121" s="7" t="inlineStr">
        <is>
          <t>C00009649｜司斌｜粮食｜斯里兰卡30*3500T稻谷仓 |方案V1|重点项目</t>
        </is>
      </c>
      <c r="F121" s="7" t="inlineStr"/>
      <c r="G121" s="7" t="n"/>
      <c r="H121" s="7" t="inlineStr">
        <is>
          <t>进行中</t>
        </is>
      </c>
      <c r="I121" s="25" t="inlineStr">
        <is>
          <t>是</t>
        </is>
      </c>
      <c r="J121" s="17" t="inlineStr">
        <is>
          <t>有效跟进</t>
        </is>
      </c>
      <c r="K121" s="7" t="inlineStr">
        <is>
          <t>已到决策期，但钢构单价我方拿不到</t>
        </is>
      </c>
      <c r="L121" s="7" t="inlineStr"/>
      <c r="M121" s="7" t="inlineStr">
        <is>
          <t>是</t>
        </is>
      </c>
      <c r="N121" s="7" t="inlineStr"/>
      <c r="O121" s="7" t="inlineStr"/>
      <c r="P121" s="7" t="inlineStr"/>
      <c r="Q121" s="7" t="inlineStr">
        <is>
          <t>老板自行决策，目前已到决策期，但是钢结构部分的报价客户告知6200CNY每吨，FOB含螺栓，采购部告知这个价格拿不到。客户对供货商成本把控严格，对国内采购价格深度熟悉，如果没有合适的价格，我们没有任何机会</t>
        </is>
      </c>
    </row>
    <row r="122" ht="36" customHeight="1">
      <c r="A122" s="7" t="n">
        <v>125</v>
      </c>
      <c r="B122" s="7" t="inlineStr">
        <is>
          <t>司斌</t>
        </is>
      </c>
      <c r="C122" s="7" t="inlineStr">
        <is>
          <t>C00008345</t>
        </is>
      </c>
      <c r="D122" s="7" t="inlineStr">
        <is>
          <t>粮食</t>
        </is>
      </c>
      <c r="E122" s="7" t="inlineStr">
        <is>
          <t>C00008345｜司斌｜粮食｜咖啡仓方仓 |方案V1</t>
        </is>
      </c>
      <c r="F122" s="7" t="inlineStr"/>
      <c r="G122" s="7" t="n"/>
      <c r="H122" s="7" t="inlineStr">
        <is>
          <t>进行中</t>
        </is>
      </c>
      <c r="I122" s="7" t="inlineStr"/>
      <c r="J122" s="21" t="inlineStr">
        <is>
          <t>该结未结</t>
        </is>
      </c>
      <c r="K122" s="7" t="inlineStr">
        <is>
          <t>三次报价均无反馈，前期价格咨询</t>
        </is>
      </c>
      <c r="L122" s="7" t="inlineStr"/>
      <c r="M122" s="7" t="inlineStr"/>
      <c r="N122" s="7" t="inlineStr">
        <is>
          <t>是</t>
        </is>
      </c>
      <c r="O122" s="7" t="inlineStr"/>
      <c r="P122" s="7" t="inlineStr"/>
      <c r="Q122" s="7" t="inlineStr">
        <is>
          <t>客户公司主业咖啡生产线，在全球都有项目，国内与星巴克，瑞幸都有合作。项目处于前期价格咨询。已就此公司进行了三次报价，但均无任何反馈，客户对供货商成本把控严格，对国内采购价格深度熟悉，如果没有合适的价格，我们没有任何机会</t>
        </is>
      </c>
    </row>
    <row r="123" ht="36" customHeight="1">
      <c r="A123" s="7" t="n">
        <v>126</v>
      </c>
      <c r="B123" s="7" t="inlineStr">
        <is>
          <t>司斌</t>
        </is>
      </c>
      <c r="C123" s="7" t="inlineStr">
        <is>
          <t>C00009546</t>
        </is>
      </c>
      <c r="D123" s="7" t="inlineStr">
        <is>
          <t>工业</t>
        </is>
      </c>
      <c r="E123" s="7" t="inlineStr">
        <is>
          <t>C00009546｜司斌｜工业｜越南6*800+2*450灰仓｜方案V1</t>
        </is>
      </c>
      <c r="F123" s="7" t="inlineStr"/>
      <c r="G123" s="7" t="n"/>
      <c r="H123" s="7" t="inlineStr">
        <is>
          <t>进行中</t>
        </is>
      </c>
      <c r="I123" s="7" t="inlineStr"/>
      <c r="J123" s="21" t="inlineStr">
        <is>
          <t>该结未结</t>
        </is>
      </c>
      <c r="K123" s="7" t="inlineStr">
        <is>
          <t>工程公司投标，技术无法澄清，胜率不高</t>
        </is>
      </c>
      <c r="L123" s="7" t="inlineStr"/>
      <c r="M123" s="7" t="inlineStr"/>
      <c r="N123" s="7" t="inlineStr">
        <is>
          <t>是</t>
        </is>
      </c>
      <c r="O123" s="7" t="inlineStr"/>
      <c r="P123" s="7" t="inlineStr"/>
      <c r="Q123" s="7" t="inlineStr">
        <is>
          <t>对接公司是工程公司，但是主业与我们行业不相关，此项目为投标项目，对接公司与最终业主有过合作，但技术问题无法澄清，虽然发送了报价，但是在较少的技术澄清下，胜率不高</t>
        </is>
      </c>
    </row>
    <row r="124" ht="36" customHeight="1">
      <c r="A124" s="7" t="n">
        <v>127</v>
      </c>
      <c r="B124" s="7" t="inlineStr">
        <is>
          <t>司斌</t>
        </is>
      </c>
      <c r="C124" s="7" t="inlineStr">
        <is>
          <t>C00008345</t>
        </is>
      </c>
      <c r="D124" s="7" t="inlineStr">
        <is>
          <t>粮食</t>
        </is>
      </c>
      <c r="E124" s="7" t="inlineStr">
        <is>
          <t>C00008345｜司斌｜粮食｜咖啡缓冲斗｜方案V1</t>
        </is>
      </c>
      <c r="F124" s="7" t="inlineStr"/>
      <c r="G124" s="7" t="n"/>
      <c r="H124" s="7" t="inlineStr">
        <is>
          <t>进行中</t>
        </is>
      </c>
      <c r="I124" s="7" t="inlineStr"/>
      <c r="J124" s="22" t="inlineStr">
        <is>
          <t>重复开单</t>
        </is>
      </c>
      <c r="K124" s="7" t="inlineStr">
        <is>
          <t>与咖啡仓方仓同一客户C00008345</t>
        </is>
      </c>
      <c r="L124" s="7" t="inlineStr"/>
      <c r="M124" s="7" t="inlineStr"/>
      <c r="N124" s="7" t="inlineStr"/>
      <c r="O124" s="7" t="inlineStr"/>
      <c r="P124" s="7" t="inlineStr"/>
      <c r="Q124" s="7" t="inlineStr">
        <is>
          <t>与123是同一个客户</t>
        </is>
      </c>
    </row>
    <row r="125" ht="36" customHeight="1">
      <c r="A125" s="7" t="n">
        <v>128</v>
      </c>
      <c r="B125" s="7" t="inlineStr">
        <is>
          <t>司斌</t>
        </is>
      </c>
      <c r="C125" s="7" t="inlineStr">
        <is>
          <t>C00009240</t>
        </is>
      </c>
      <c r="D125" s="7" t="inlineStr">
        <is>
          <t>工业</t>
        </is>
      </c>
      <c r="E125" s="7" t="inlineStr">
        <is>
          <t>C00009240｜司斌｜工业｜越南500吨粉煤灰筒仓项目｜方案V1</t>
        </is>
      </c>
      <c r="F125" s="7" t="inlineStr"/>
      <c r="G125" s="7" t="n"/>
      <c r="H125" s="7" t="inlineStr">
        <is>
          <t>已结项-丢单</t>
        </is>
      </c>
      <c r="I125" s="7" t="inlineStr"/>
      <c r="J125" s="26" t="inlineStr">
        <is>
          <t>规范闭环</t>
        </is>
      </c>
      <c r="K125" s="7" t="inlineStr">
        <is>
          <t>报价后失联</t>
        </is>
      </c>
      <c r="L125" s="7" t="inlineStr"/>
      <c r="M125" s="7" t="inlineStr"/>
      <c r="N125" s="7" t="inlineStr"/>
      <c r="O125" s="7" t="inlineStr">
        <is>
          <t>是</t>
        </is>
      </c>
      <c r="P125" s="7" t="inlineStr">
        <is>
          <t>其他</t>
        </is>
      </c>
      <c r="Q125" s="7" t="inlineStr">
        <is>
          <t>对接人是最终业主，水泥厂，项目处于询价环节，从报价后客户失联判断，我们报出的价格没有任何优势，客户不愿再进行后续沟通</t>
        </is>
      </c>
    </row>
    <row r="126" ht="36" customHeight="1">
      <c r="A126" s="7" t="n">
        <v>129</v>
      </c>
      <c r="B126" s="7" t="inlineStr">
        <is>
          <t>司斌</t>
        </is>
      </c>
      <c r="C126" s="7" t="inlineStr">
        <is>
          <t>C00005674</t>
        </is>
      </c>
      <c r="D126" s="7" t="inlineStr">
        <is>
          <t>木屑颗粒</t>
        </is>
      </c>
      <c r="E126" s="7" t="inlineStr">
        <is>
          <t>C00005674｜司斌｜木屑颗粒｜马来西亚发放仓项目｜方案V1</t>
        </is>
      </c>
      <c r="F126" s="7" t="inlineStr"/>
      <c r="G126" s="7" t="n"/>
      <c r="H126" s="7" t="inlineStr">
        <is>
          <t>已结项-丢单</t>
        </is>
      </c>
      <c r="I126" s="7" t="inlineStr"/>
      <c r="J126" s="26" t="inlineStr">
        <is>
          <t>规范闭环</t>
        </is>
      </c>
      <c r="K126" s="7" t="inlineStr">
        <is>
          <t>工厂未投用，按失联结项</t>
        </is>
      </c>
      <c r="L126" s="7" t="inlineStr"/>
      <c r="M126" s="7" t="inlineStr"/>
      <c r="N126" s="7" t="inlineStr"/>
      <c r="O126" s="7" t="inlineStr">
        <is>
          <t>是</t>
        </is>
      </c>
      <c r="P126" s="7" t="inlineStr">
        <is>
          <t>客户失联</t>
        </is>
      </c>
      <c r="Q126" s="7" t="inlineStr">
        <is>
          <t>已合作木屑颗粒项目，此项目为解决工厂生产完产品装车问题，目前工厂暂未投入使用，项目前期，还不到时候</t>
        </is>
      </c>
    </row>
    <row r="127" ht="36" customHeight="1">
      <c r="A127" s="7" t="n">
        <v>130</v>
      </c>
      <c r="B127" s="7" t="inlineStr">
        <is>
          <t>司斌</t>
        </is>
      </c>
      <c r="C127" s="7" t="inlineStr">
        <is>
          <t>C00001287</t>
        </is>
      </c>
      <c r="D127" s="7" t="inlineStr">
        <is>
          <t>粮食</t>
        </is>
      </c>
      <c r="E127" s="7" t="inlineStr">
        <is>
          <t>C00001287｜司斌｜粮食｜越南咖啡仓改造项目｜方案V1</t>
        </is>
      </c>
      <c r="F127" s="7" t="inlineStr"/>
      <c r="G127" s="7" t="n"/>
      <c r="H127" s="7" t="inlineStr">
        <is>
          <t>进行中</t>
        </is>
      </c>
      <c r="I127" s="7" t="inlineStr"/>
      <c r="J127" s="21" t="inlineStr">
        <is>
          <t>该结未结</t>
        </is>
      </c>
      <c r="K127" s="7" t="inlineStr">
        <is>
          <t>方案后无回复，可上可不上仍挂进行中</t>
        </is>
      </c>
      <c r="L127" s="7" t="inlineStr"/>
      <c r="M127" s="7" t="inlineStr"/>
      <c r="N127" s="7" t="inlineStr">
        <is>
          <t>是</t>
        </is>
      </c>
      <c r="O127" s="7" t="inlineStr"/>
      <c r="P127" s="7" t="inlineStr"/>
      <c r="Q127" s="7" t="inlineStr">
        <is>
          <t>已合作客户，上次拜访客户想要进行一定的改造，但是发送方案后一直没有任何回复，初步判断改造并非需要解决的大问题，可上可不上</t>
        </is>
      </c>
    </row>
    <row r="128" ht="36" customHeight="1">
      <c r="A128" s="7" t="n">
        <v>131</v>
      </c>
      <c r="B128" s="7" t="inlineStr">
        <is>
          <t>司斌</t>
        </is>
      </c>
      <c r="C128" s="7" t="inlineStr">
        <is>
          <t>C00008398</t>
        </is>
      </c>
      <c r="D128" s="7" t="inlineStr">
        <is>
          <t>工业</t>
        </is>
      </c>
      <c r="E128" s="7" t="inlineStr">
        <is>
          <t>C00008398｜司斌｜工业｜多米尼加塑料颗粒筒仓项目｜方案V1</t>
        </is>
      </c>
      <c r="F128" s="7" t="inlineStr"/>
      <c r="G128" s="7" t="n"/>
      <c r="H128" s="7" t="inlineStr">
        <is>
          <t>进行中</t>
        </is>
      </c>
      <c r="I128" s="7" t="inlineStr"/>
      <c r="J128" s="21" t="inlineStr">
        <is>
          <t>该结未结</t>
        </is>
      </c>
      <c r="K128" s="7" t="inlineStr">
        <is>
          <t>报价后不再沟通，五个月级库龄仍进行中</t>
        </is>
      </c>
      <c r="L128" s="7" t="inlineStr"/>
      <c r="M128" s="7" t="inlineStr"/>
      <c r="N128" s="7" t="inlineStr">
        <is>
          <t>是</t>
        </is>
      </c>
      <c r="O128" s="7" t="inlineStr"/>
      <c r="P128" s="7" t="inlineStr"/>
      <c r="Q128" s="7" t="inlineStr">
        <is>
          <t>客户公司是做木屑颗粒生产加工，目前是收集报价阶段，但是价格发送后不再沟通，初步判断价格不具有任何优势</t>
        </is>
      </c>
    </row>
    <row r="129" ht="36" customHeight="1">
      <c r="A129" s="7" t="n">
        <v>132</v>
      </c>
      <c r="B129" s="7" t="inlineStr">
        <is>
          <t>司斌</t>
        </is>
      </c>
      <c r="C129" s="7" t="inlineStr">
        <is>
          <t>C00008870</t>
        </is>
      </c>
      <c r="D129" s="7" t="inlineStr">
        <is>
          <t>粮食</t>
        </is>
      </c>
      <c r="E129" s="7" t="inlineStr">
        <is>
          <t>C00008870｜司斌｜粮食｜马来西亚筒仓项目｜方案V1</t>
        </is>
      </c>
      <c r="F129" s="7" t="inlineStr"/>
      <c r="G129" s="7" t="n"/>
      <c r="H129" s="7" t="inlineStr">
        <is>
          <t>暂停</t>
        </is>
      </c>
      <c r="I129" s="7" t="inlineStr"/>
      <c r="J129" s="26" t="inlineStr">
        <is>
          <t>规范闭环</t>
        </is>
      </c>
      <c r="K129" s="7" t="inlineStr">
        <is>
          <t>投标暂停，已暂停</t>
        </is>
      </c>
      <c r="L129" s="7" t="inlineStr"/>
      <c r="M129" s="7" t="inlineStr"/>
      <c r="N129" s="7" t="inlineStr"/>
      <c r="O129" s="7" t="inlineStr">
        <is>
          <t>是</t>
        </is>
      </c>
      <c r="P129" s="7" t="inlineStr"/>
      <c r="Q129" s="7" t="inlineStr">
        <is>
          <t>对接公司是做咖啡生产线，项目是在菲律宾，投标项目，目前告知项目被暂停，不愿告知原因</t>
        </is>
      </c>
    </row>
    <row r="130" ht="36" customHeight="1">
      <c r="A130" s="7" t="n">
        <v>133</v>
      </c>
      <c r="B130" s="7" t="inlineStr">
        <is>
          <t>司斌</t>
        </is>
      </c>
      <c r="C130" s="7" t="inlineStr">
        <is>
          <t>无编码</t>
        </is>
      </c>
      <c r="D130" s="7" t="inlineStr"/>
      <c r="E130" s="7" t="inlineStr">
        <is>
          <t>20260211司斌沙特码头氧化铝仓项目</t>
        </is>
      </c>
      <c r="F130" s="7" t="inlineStr"/>
      <c r="G130" s="7" t="n"/>
      <c r="H130" s="7" t="inlineStr">
        <is>
          <t>暂停</t>
        </is>
      </c>
      <c r="I130" s="7" t="inlineStr"/>
      <c r="J130" s="26" t="inlineStr">
        <is>
          <t>规范闭环</t>
        </is>
      </c>
      <c r="K130" s="7" t="inlineStr">
        <is>
          <t>物流公司拿方案找业主后失联，已暂停</t>
        </is>
      </c>
      <c r="L130" s="7" t="inlineStr"/>
      <c r="M130" s="7" t="inlineStr"/>
      <c r="N130" s="7" t="inlineStr"/>
      <c r="O130" s="7" t="inlineStr">
        <is>
          <t>是</t>
        </is>
      </c>
      <c r="P130" s="7" t="inlineStr"/>
      <c r="Q130" s="7" t="inlineStr">
        <is>
          <t>对接人是物流公司，通过自有渠道了解到他的客户想要扩建，想要拿着我们的方案去找最终业主谈，出过方案后失联，对项目无法把控，同时又不愿意让别人插手</t>
        </is>
      </c>
    </row>
    <row r="131" ht="36" customHeight="1">
      <c r="A131" s="7" t="n">
        <v>134</v>
      </c>
      <c r="B131" s="7" t="inlineStr">
        <is>
          <t>司斌</t>
        </is>
      </c>
      <c r="C131" s="7" t="inlineStr">
        <is>
          <t>无编码</t>
        </is>
      </c>
      <c r="D131" s="7" t="inlineStr"/>
      <c r="E131" s="7" t="inlineStr">
        <is>
          <t>20260104司斌苏丹码头小麦仓项目</t>
        </is>
      </c>
      <c r="F131" s="7" t="inlineStr"/>
      <c r="G131" s="7" t="n"/>
      <c r="H131" s="7" t="inlineStr">
        <is>
          <t>已结项-丢单</t>
        </is>
      </c>
      <c r="I131" s="7" t="inlineStr"/>
      <c r="J131" s="26" t="inlineStr">
        <is>
          <t>规范闭环</t>
        </is>
      </c>
      <c r="K131" s="7" t="inlineStr">
        <is>
          <t>收集价格，报价后失联</t>
        </is>
      </c>
      <c r="L131" s="7" t="inlineStr"/>
      <c r="M131" s="7" t="inlineStr"/>
      <c r="N131" s="7" t="inlineStr"/>
      <c r="O131" s="7" t="inlineStr">
        <is>
          <t>是</t>
        </is>
      </c>
      <c r="P131" s="7" t="inlineStr">
        <is>
          <t>客户失联</t>
        </is>
      </c>
      <c r="Q131" s="7" t="inlineStr">
        <is>
          <t>24年报过一个项目，说是他们公司的项目，但一些细节又不能具体澄清，判断为收集价格，报价后失联</t>
        </is>
      </c>
    </row>
    <row r="132" ht="36" customHeight="1">
      <c r="A132" s="7" t="n">
        <v>135</v>
      </c>
      <c r="B132" s="7" t="inlineStr">
        <is>
          <t>司斌</t>
        </is>
      </c>
      <c r="C132" s="7" t="inlineStr">
        <is>
          <t>C00009949</t>
        </is>
      </c>
      <c r="D132" s="7" t="inlineStr">
        <is>
          <t>粮食</t>
        </is>
      </c>
      <c r="E132" s="7" t="inlineStr">
        <is>
          <t>C00009949｜司斌｜粮食｜阿联酋饲料颗粒，项目在俄罗斯 |方案V1</t>
        </is>
      </c>
      <c r="F132" s="7" t="inlineStr"/>
      <c r="G132" s="7" t="n"/>
      <c r="H132" s="7" t="inlineStr">
        <is>
          <t>进行中</t>
        </is>
      </c>
      <c r="I132" s="7" t="inlineStr"/>
      <c r="J132" s="24" t="inlineStr">
        <is>
          <t>前期调研</t>
        </is>
      </c>
      <c r="K132" s="7" t="inlineStr">
        <is>
          <t>工程公司前期调研，信息少且逾期交预算</t>
        </is>
      </c>
      <c r="L132" s="7" t="inlineStr">
        <is>
          <t>是</t>
        </is>
      </c>
      <c r="M132" s="7" t="inlineStr"/>
      <c r="N132" s="7" t="inlineStr"/>
      <c r="O132" s="7" t="inlineStr"/>
      <c r="P132" s="7" t="inlineStr"/>
      <c r="Q132" s="7" t="inlineStr">
        <is>
          <t>对接公司是工程公司，想要对此项目进行投标，但目前项目信息较少，对于客户端属于前期的调研阶段。由于客户要求的时间较短，无法延期。且采购这段时间忙于投标其他项目，因此预估价格晚于客户逾期3天后，由于客户强调一定要再次时间收到预算，所以不利于后续跟进</t>
        </is>
      </c>
    </row>
    <row r="133" ht="36" customHeight="1">
      <c r="A133" s="7" t="n">
        <v>136</v>
      </c>
      <c r="B133" s="7" t="inlineStr">
        <is>
          <t>司斌</t>
        </is>
      </c>
      <c r="C133" s="7" t="inlineStr">
        <is>
          <t>C00008345</t>
        </is>
      </c>
      <c r="D133" s="7" t="inlineStr">
        <is>
          <t>粮食</t>
        </is>
      </c>
      <c r="E133" s="7" t="inlineStr">
        <is>
          <t>C00008345｜司斌｜粮食｜Probat国内咖啡仓方仓 |方案V1</t>
        </is>
      </c>
      <c r="F133" s="7" t="inlineStr"/>
      <c r="G133" s="7" t="n"/>
      <c r="H133" s="7" t="inlineStr">
        <is>
          <t>进行中</t>
        </is>
      </c>
      <c r="I133" s="7" t="inlineStr"/>
      <c r="J133" s="22" t="inlineStr">
        <is>
          <t>重复开单</t>
        </is>
      </c>
      <c r="K133" s="7" t="inlineStr">
        <is>
          <t>与C00008345咖啡仓同一客户</t>
        </is>
      </c>
      <c r="L133" s="7" t="inlineStr"/>
      <c r="M133" s="7" t="inlineStr"/>
      <c r="N133" s="7" t="inlineStr"/>
      <c r="O133" s="7" t="inlineStr"/>
      <c r="P133" s="7" t="inlineStr"/>
      <c r="Q133" s="7" t="inlineStr">
        <is>
          <t>与123是同一个客户</t>
        </is>
      </c>
    </row>
    <row r="134" ht="36" customHeight="1">
      <c r="A134" s="7" t="n">
        <v>137</v>
      </c>
      <c r="B134" s="7" t="inlineStr">
        <is>
          <t>司斌</t>
        </is>
      </c>
      <c r="C134" s="7" t="inlineStr">
        <is>
          <t>C00009745</t>
        </is>
      </c>
      <c r="D134" s="7" t="inlineStr">
        <is>
          <t>工业</t>
        </is>
      </c>
      <c r="E134" s="7" t="inlineStr">
        <is>
          <t>C00009745｜司斌｜工业｜伊朗水净化项目石灰仓|方案V1</t>
        </is>
      </c>
      <c r="F134" s="7" t="inlineStr"/>
      <c r="G134" s="7" t="n"/>
      <c r="H134" s="7" t="inlineStr">
        <is>
          <t>进行中</t>
        </is>
      </c>
      <c r="I134" s="7" t="inlineStr"/>
      <c r="J134" s="21" t="inlineStr">
        <is>
          <t>该结未结</t>
        </is>
      </c>
      <c r="K134" s="7" t="inlineStr">
        <is>
          <t>价格收集，战争结束前不可能上，仍进行中</t>
        </is>
      </c>
      <c r="L134" s="7" t="inlineStr"/>
      <c r="M134" s="7" t="inlineStr"/>
      <c r="N134" s="7" t="inlineStr">
        <is>
          <t>是</t>
        </is>
      </c>
      <c r="O134" s="7" t="inlineStr"/>
      <c r="P134" s="7" t="inlineStr"/>
      <c r="Q134" s="7" t="inlineStr">
        <is>
          <t>对接公司是工程公司，项目所处阶段为价格收集，由于霍尔木兹海峡现状，我认为在战争结束前不可能上</t>
        </is>
      </c>
    </row>
    <row r="135" ht="36" customHeight="1">
      <c r="A135" s="7" t="n">
        <v>138</v>
      </c>
      <c r="B135" s="7" t="inlineStr">
        <is>
          <t>司斌</t>
        </is>
      </c>
      <c r="C135" s="7" t="inlineStr">
        <is>
          <t>C00009743</t>
        </is>
      </c>
      <c r="D135" s="7" t="inlineStr">
        <is>
          <t>工业</t>
        </is>
      </c>
      <c r="E135" s="7" t="inlineStr">
        <is>
          <t>C00009743｜司斌｜工业｜马来西亚熟料料场|方案V1</t>
        </is>
      </c>
      <c r="F135" s="7" t="inlineStr"/>
      <c r="G135" s="7" t="n"/>
      <c r="H135" s="7" t="inlineStr">
        <is>
          <t>进行中</t>
        </is>
      </c>
      <c r="I135" s="7" t="inlineStr"/>
      <c r="J135" s="24" t="inlineStr">
        <is>
          <t>前期调研</t>
        </is>
      </c>
      <c r="K135" s="7" t="inlineStr">
        <is>
          <t>三大水泥厂前期调研，只要预算</t>
        </is>
      </c>
      <c r="L135" s="7" t="inlineStr">
        <is>
          <t>是</t>
        </is>
      </c>
      <c r="M135" s="7" t="inlineStr"/>
      <c r="N135" s="7" t="inlineStr"/>
      <c r="O135" s="7" t="inlineStr"/>
      <c r="P135" s="7" t="inlineStr"/>
      <c r="Q135" s="7" t="inlineStr">
        <is>
          <t>最终业主是马来西亚的三大水泥厂之一，此项目在前期调研，想要知道预算，需要管理层对此进行评估再判断是否上项目</t>
        </is>
      </c>
    </row>
    <row r="136" ht="36" customHeight="1">
      <c r="A136" s="7" t="n">
        <v>139</v>
      </c>
      <c r="B136" s="7" t="inlineStr">
        <is>
          <t>王伟超</t>
        </is>
      </c>
      <c r="C136" s="7" t="inlineStr">
        <is>
          <t>C00009593</t>
        </is>
      </c>
      <c r="D136" s="7" t="inlineStr">
        <is>
          <t>粮食</t>
        </is>
      </c>
      <c r="E136" s="7" t="inlineStr">
        <is>
          <t>C00009593｜王伟超｜粮食｜乌干达生咖啡豆筒仓项目｜方案V1</t>
        </is>
      </c>
      <c r="F136" s="7" t="inlineStr"/>
      <c r="G136" s="7" t="n"/>
      <c r="H136" s="7" t="inlineStr">
        <is>
          <t>进行中</t>
        </is>
      </c>
      <c r="I136" s="7" t="inlineStr"/>
      <c r="J136" s="24" t="inlineStr">
        <is>
          <t>前期调研</t>
        </is>
      </c>
      <c r="K136" s="7" t="inlineStr">
        <is>
          <t>非最终业主，准备阶段了解预算</t>
        </is>
      </c>
      <c r="L136" s="7" t="inlineStr">
        <is>
          <t>是</t>
        </is>
      </c>
      <c r="M136" s="7" t="inlineStr"/>
      <c r="N136" s="7" t="inlineStr"/>
      <c r="O136" s="7" t="inlineStr"/>
      <c r="P136" s="7" t="inlineStr"/>
      <c r="Q136" s="7" t="inlineStr">
        <is>
          <t>已经和客户开过视频会，发了方案和报价，但不是最终业主，而且业主表示目前是在准备阶段，这次询价可能是为了了解大概需要多少预算</t>
        </is>
      </c>
    </row>
    <row r="137" ht="36" customHeight="1">
      <c r="A137" s="7" t="n">
        <v>140</v>
      </c>
      <c r="B137" s="7" t="inlineStr">
        <is>
          <t>王伟超</t>
        </is>
      </c>
      <c r="C137" s="7" t="inlineStr">
        <is>
          <t>C00009131</t>
        </is>
      </c>
      <c r="D137" s="7" t="inlineStr">
        <is>
          <t>粮食</t>
        </is>
      </c>
      <c r="E137" s="7" t="inlineStr">
        <is>
          <t>C00009131｜王伟超｜粮食｜南非5个5000吨玉米筒仓项目｜方案V1</t>
        </is>
      </c>
      <c r="F137" s="7" t="inlineStr"/>
      <c r="G137" s="7" t="n"/>
      <c r="H137" s="7" t="inlineStr">
        <is>
          <t>已结项-丢单</t>
        </is>
      </c>
      <c r="I137" s="7" t="inlineStr"/>
      <c r="J137" s="26" t="inlineStr">
        <is>
          <t>规范闭环</t>
        </is>
      </c>
      <c r="K137" s="7" t="inlineStr">
        <is>
          <t>预算远低于报价</t>
        </is>
      </c>
      <c r="L137" s="7" t="inlineStr"/>
      <c r="M137" s="7" t="inlineStr"/>
      <c r="N137" s="7" t="inlineStr"/>
      <c r="O137" s="7" t="inlineStr">
        <is>
          <t>是</t>
        </is>
      </c>
      <c r="P137" s="7" t="inlineStr">
        <is>
          <t>价格</t>
        </is>
      </c>
      <c r="Q137" s="7" t="inlineStr">
        <is>
          <t>已发方案和报价竞标，有三个竞争对手，对方预算远低于报价，属于价格敏感型客户</t>
        </is>
      </c>
    </row>
    <row r="138" ht="36" customHeight="1">
      <c r="A138" s="7" t="n">
        <v>141</v>
      </c>
      <c r="B138" s="7" t="inlineStr">
        <is>
          <t>王伟超</t>
        </is>
      </c>
      <c r="C138" s="7" t="inlineStr">
        <is>
          <t>C00009044</t>
        </is>
      </c>
      <c r="D138" s="7" t="inlineStr">
        <is>
          <t>粮食</t>
        </is>
      </c>
      <c r="E138" s="7" t="inlineStr">
        <is>
          <t>C00009044｜王伟超｜粮食｜哥斯达黎加室外2个175吨，室内32个咖啡豆仓｜方案V5 | 重点项目</t>
        </is>
      </c>
      <c r="F138" s="7" t="inlineStr"/>
      <c r="G138" s="7" t="n"/>
      <c r="H138" s="7" t="inlineStr">
        <is>
          <t>进行中</t>
        </is>
      </c>
      <c r="I138" s="25" t="inlineStr">
        <is>
          <t>是</t>
        </is>
      </c>
      <c r="J138" s="17" t="inlineStr">
        <is>
          <t>有效跟进</t>
        </is>
      </c>
      <c r="K138" s="7" t="inlineStr">
        <is>
          <t>参观工厂，多次方案报价，调图纸等回复</t>
        </is>
      </c>
      <c r="L138" s="7" t="inlineStr"/>
      <c r="M138" s="7" t="inlineStr">
        <is>
          <t>是</t>
        </is>
      </c>
      <c r="N138" s="7" t="inlineStr"/>
      <c r="O138" s="7" t="inlineStr"/>
      <c r="P138" s="7" t="inlineStr"/>
      <c r="Q138" s="7" t="inlineStr">
        <is>
          <t>已参观过公司和工厂，已发方案和报价，并且更新过多次方案与报价，正在调整图纸的细节变化，并且需要契合对方厂房中设备的安装位置，等待对方回复</t>
        </is>
      </c>
    </row>
    <row r="139" ht="36" customHeight="1">
      <c r="A139" s="7" t="n">
        <v>142</v>
      </c>
      <c r="B139" s="7" t="inlineStr">
        <is>
          <t>王伟超</t>
        </is>
      </c>
      <c r="C139" s="7" t="inlineStr">
        <is>
          <t>C00008931</t>
        </is>
      </c>
      <c r="D139" s="7" t="inlineStr">
        <is>
          <t>工业</t>
        </is>
      </c>
      <c r="E139" s="7" t="inlineStr">
        <is>
          <t>C00008931｜王伟超｜工业｜科威特4个4000吨水泥螺旋卷边仓｜方案V1</t>
        </is>
      </c>
      <c r="F139" s="7" t="inlineStr"/>
      <c r="G139" s="7" t="n"/>
      <c r="H139" s="7" t="inlineStr">
        <is>
          <t>暂停</t>
        </is>
      </c>
      <c r="I139" s="7" t="inlineStr"/>
      <c r="J139" s="26" t="inlineStr">
        <is>
          <t>规范闭环</t>
        </is>
      </c>
      <c r="K139" s="7" t="inlineStr">
        <is>
          <t>项目搁置已暂停</t>
        </is>
      </c>
      <c r="L139" s="7" t="inlineStr"/>
      <c r="M139" s="7" t="inlineStr"/>
      <c r="N139" s="7" t="inlineStr"/>
      <c r="O139" s="7" t="inlineStr">
        <is>
          <t>是</t>
        </is>
      </c>
      <c r="P139" s="7" t="inlineStr"/>
      <c r="Q139" s="7" t="inlineStr">
        <is>
          <t>已发方案,发完方案邮件持续跟进后无回复，打电话询问后表示项目搁置</t>
        </is>
      </c>
    </row>
    <row r="140" ht="36" customHeight="1">
      <c r="A140" s="7" t="n">
        <v>143</v>
      </c>
      <c r="B140" s="7" t="inlineStr">
        <is>
          <t>王伟超</t>
        </is>
      </c>
      <c r="C140" s="7" t="inlineStr">
        <is>
          <t>C00006712</t>
        </is>
      </c>
      <c r="D140" s="7" t="inlineStr">
        <is>
          <t>工业</t>
        </is>
      </c>
      <c r="E140" s="7" t="inlineStr">
        <is>
          <t>C00006712｜王伟超｜工业｜菲律宾达沃料场项目｜方案V1</t>
        </is>
      </c>
      <c r="F140" s="7" t="inlineStr"/>
      <c r="G140" s="7" t="n"/>
      <c r="H140" s="7" t="inlineStr">
        <is>
          <t>进行中</t>
        </is>
      </c>
      <c r="I140" s="7" t="inlineStr"/>
      <c r="J140" s="27" t="inlineStr">
        <is>
          <t>浅层等待</t>
        </is>
      </c>
      <c r="K140" s="7" t="inlineStr">
        <is>
          <t>跨度大结构重，价格超预期，中间商再问业主</t>
        </is>
      </c>
      <c r="L140" s="7" t="inlineStr"/>
      <c r="M140" s="7" t="inlineStr"/>
      <c r="N140" s="7" t="inlineStr"/>
      <c r="O140" s="7" t="inlineStr"/>
      <c r="P140" s="7" t="inlineStr"/>
      <c r="Q140" s="7" t="inlineStr">
        <is>
          <t>与陈总沟通后，最终决定让我继续跟进，已经发送过方案与报价，但是根据料场的跨度过大，结构计算重量偏大，所以价格超过对方的预期，中间商正在与业主了解更多信息</t>
        </is>
      </c>
    </row>
    <row r="141" ht="36" customHeight="1">
      <c r="A141" s="7" t="n">
        <v>144</v>
      </c>
      <c r="B141" s="7" t="inlineStr">
        <is>
          <t>王伟乐</t>
        </is>
      </c>
      <c r="C141" s="7" t="inlineStr">
        <is>
          <t>C00006335</t>
        </is>
      </c>
      <c r="D141" s="7" t="inlineStr">
        <is>
          <t>粮食</t>
        </is>
      </c>
      <c r="E141" s="7" t="inlineStr">
        <is>
          <t>C00006335 | 王伟乐 | 粮食|  苏丹农业银行粮储项目 | 方案 V1|</t>
        </is>
      </c>
      <c r="F141" s="7" t="inlineStr"/>
      <c r="G141" s="7" t="n"/>
      <c r="H141" s="7" t="inlineStr">
        <is>
          <t>进行中</t>
        </is>
      </c>
      <c r="I141" s="7" t="inlineStr"/>
      <c r="J141" s="24" t="inlineStr">
        <is>
          <t>前期调研</t>
        </is>
      </c>
      <c r="K141" s="7" t="inlineStr">
        <is>
          <t>仍在做预算报价</t>
        </is>
      </c>
      <c r="L141" s="7" t="inlineStr">
        <is>
          <t>是</t>
        </is>
      </c>
      <c r="M141" s="7" t="inlineStr"/>
      <c r="N141" s="7" t="inlineStr"/>
      <c r="O141" s="7" t="inlineStr"/>
      <c r="P141" s="7" t="inlineStr"/>
      <c r="Q141" s="7" t="inlineStr">
        <is>
          <t>还在进行预算的报价，土建的报价需要预估</t>
        </is>
      </c>
    </row>
    <row r="142" ht="36" customHeight="1">
      <c r="A142" s="7" t="n">
        <v>145</v>
      </c>
      <c r="B142" s="7" t="inlineStr">
        <is>
          <t>王伟乐</t>
        </is>
      </c>
      <c r="C142" s="7" t="inlineStr">
        <is>
          <t>C00006274</t>
        </is>
      </c>
      <c r="D142" s="7" t="inlineStr">
        <is>
          <t>工业</t>
        </is>
      </c>
      <c r="E142" s="7" t="inlineStr">
        <is>
          <t>C00006274| 王伟乐|工业|2026.6.15 |埃及 4*3000t 螺旋咬口仓项目| 方案V1</t>
        </is>
      </c>
      <c r="F142" s="7" t="inlineStr"/>
      <c r="G142" s="7" t="n"/>
      <c r="H142" s="7" t="inlineStr">
        <is>
          <t>进行中</t>
        </is>
      </c>
      <c r="I142" s="7" t="inlineStr"/>
      <c r="J142" s="21" t="inlineStr">
        <is>
          <t>该结未结</t>
        </is>
      </c>
      <c r="K142" s="7" t="inlineStr">
        <is>
          <t>已报价未反馈，仅写可继续跟进</t>
        </is>
      </c>
      <c r="L142" s="7" t="inlineStr"/>
      <c r="M142" s="7" t="inlineStr"/>
      <c r="N142" s="7" t="inlineStr">
        <is>
          <t>是</t>
        </is>
      </c>
      <c r="O142" s="7" t="inlineStr"/>
      <c r="P142" s="7" t="inlineStr"/>
      <c r="Q142" s="7" t="inlineStr">
        <is>
          <t>已报价，客户未反馈报价的情况，后期可以继续跟进</t>
        </is>
      </c>
    </row>
    <row r="143" ht="36" customHeight="1">
      <c r="A143" s="7" t="n">
        <v>146</v>
      </c>
      <c r="B143" s="7" t="inlineStr">
        <is>
          <t>王伟乐</t>
        </is>
      </c>
      <c r="C143" s="7" t="inlineStr">
        <is>
          <t>C00008344</t>
        </is>
      </c>
      <c r="D143" s="7" t="inlineStr">
        <is>
          <t>工业</t>
        </is>
      </c>
      <c r="E143" s="7" t="inlineStr">
        <is>
          <t>C00008344 |王伟乐|工业| 新加披裕廊港12*10000t水泥钢板仓项目|方案V1|重点项目</t>
        </is>
      </c>
      <c r="F143" s="7" t="inlineStr"/>
      <c r="G143" s="7" t="n"/>
      <c r="H143" s="7" t="inlineStr">
        <is>
          <t>进行中</t>
        </is>
      </c>
      <c r="I143" s="25" t="inlineStr">
        <is>
          <t>是</t>
        </is>
      </c>
      <c r="J143" s="17" t="inlineStr">
        <is>
          <t>有效跟进</t>
        </is>
      </c>
      <c r="K143" s="7" t="inlineStr">
        <is>
          <t>咨询公司招投标准备，最新价澄清中</t>
        </is>
      </c>
      <c r="L143" s="7" t="inlineStr"/>
      <c r="M143" s="7" t="inlineStr">
        <is>
          <t>是</t>
        </is>
      </c>
      <c r="N143" s="7" t="inlineStr"/>
      <c r="O143" s="7" t="inlineStr"/>
      <c r="P143" s="7" t="inlineStr"/>
      <c r="Q143" s="7" t="inlineStr">
        <is>
          <t>在更新方案和报价给咨询公司做前期招投标准备，目前报了一版最新的价格，还在澄清</t>
        </is>
      </c>
    </row>
    <row r="144" ht="36" customHeight="1">
      <c r="A144" s="7" t="n">
        <v>147</v>
      </c>
      <c r="B144" s="7" t="inlineStr">
        <is>
          <t>王伟乐</t>
        </is>
      </c>
      <c r="C144" s="7" t="inlineStr">
        <is>
          <t>C00007643</t>
        </is>
      </c>
      <c r="D144" s="7" t="inlineStr">
        <is>
          <t>工业</t>
        </is>
      </c>
      <c r="E144" s="7" t="inlineStr">
        <is>
          <t>C00007643  |王伟乐| 工业|2026.5.26 德国方仓和钢构项目 |方案V1|</t>
        </is>
      </c>
      <c r="F144" s="7" t="inlineStr"/>
      <c r="G144" s="7" t="n"/>
      <c r="H144" s="7" t="inlineStr">
        <is>
          <t>已结项-丢单</t>
        </is>
      </c>
      <c r="I144" s="7" t="inlineStr"/>
      <c r="J144" s="26" t="inlineStr">
        <is>
          <t>规范闭环</t>
        </is>
      </c>
      <c r="K144" s="7" t="inlineStr">
        <is>
          <t>未反馈，大概率无后续，已结项</t>
        </is>
      </c>
      <c r="L144" s="7" t="inlineStr"/>
      <c r="M144" s="7" t="inlineStr"/>
      <c r="N144" s="7" t="inlineStr"/>
      <c r="O144" s="7" t="inlineStr">
        <is>
          <t>是</t>
        </is>
      </c>
      <c r="P144" s="7" t="inlineStr">
        <is>
          <t>客户未反馈</t>
        </is>
      </c>
      <c r="Q144" s="7" t="inlineStr">
        <is>
          <t>已报价，客户未反馈报价的情况，大概率没有后续了</t>
        </is>
      </c>
    </row>
    <row r="145" ht="36" customHeight="1">
      <c r="A145" s="7" t="n">
        <v>148</v>
      </c>
      <c r="B145" s="7" t="inlineStr">
        <is>
          <t>王伟乐</t>
        </is>
      </c>
      <c r="C145" s="7" t="inlineStr">
        <is>
          <t>C00009143</t>
        </is>
      </c>
      <c r="D145" s="7" t="inlineStr">
        <is>
          <t>粮食</t>
        </is>
      </c>
      <c r="E145" s="7" t="inlineStr">
        <is>
          <t>C00009143| 王伟乐 |粮食|菲律宾 3*1000t 玉米仓项目|方案V1</t>
        </is>
      </c>
      <c r="F145" s="7" t="inlineStr"/>
      <c r="G145" s="7" t="n"/>
      <c r="H145" s="7" t="inlineStr">
        <is>
          <t>已结项-丢单</t>
        </is>
      </c>
      <c r="I145" s="7" t="inlineStr"/>
      <c r="J145" s="26" t="inlineStr">
        <is>
          <t>规范闭环</t>
        </is>
      </c>
      <c r="K145" s="7" t="inlineStr">
        <is>
          <t>报给当地华人后不反馈</t>
        </is>
      </c>
      <c r="L145" s="7" t="inlineStr"/>
      <c r="M145" s="7" t="inlineStr"/>
      <c r="N145" s="7" t="inlineStr"/>
      <c r="O145" s="7" t="inlineStr">
        <is>
          <t>是</t>
        </is>
      </c>
      <c r="P145" s="7" t="inlineStr">
        <is>
          <t>客户未反馈</t>
        </is>
      </c>
      <c r="Q145" s="7" t="inlineStr">
        <is>
          <t>已报价（5月份）这个报给当地的一个华人，她说问客户跟进，后续再联系没有更新，不反馈</t>
        </is>
      </c>
    </row>
    <row r="146" ht="36" customHeight="1">
      <c r="A146" s="7" t="n">
        <v>149</v>
      </c>
      <c r="B146" s="7" t="inlineStr">
        <is>
          <t>王伟乐</t>
        </is>
      </c>
      <c r="C146" s="7" t="inlineStr">
        <is>
          <t>C00009014</t>
        </is>
      </c>
      <c r="D146" s="7" t="inlineStr">
        <is>
          <t>工业</t>
        </is>
      </c>
      <c r="E146" s="7" t="inlineStr">
        <is>
          <t>C00009014 | 王伟乐 |  工业 |2026.4.2 塞舌尔 4*1500t 水泥码头项目 |  方案V1</t>
        </is>
      </c>
      <c r="F146" s="7" t="inlineStr"/>
      <c r="G146" s="7" t="n"/>
      <c r="H146" s="7" t="inlineStr">
        <is>
          <t>已结项-丢单</t>
        </is>
      </c>
      <c r="I146" s="7" t="inlineStr"/>
      <c r="J146" s="26" t="inlineStr">
        <is>
          <t>规范闭环</t>
        </is>
      </c>
      <c r="K146" s="7" t="inlineStr">
        <is>
          <t>基础方案后失联，未报价即失联</t>
        </is>
      </c>
      <c r="L146" s="7" t="inlineStr"/>
      <c r="M146" s="7" t="inlineStr"/>
      <c r="N146" s="7" t="inlineStr"/>
      <c r="O146" s="7" t="inlineStr">
        <is>
          <t>是</t>
        </is>
      </c>
      <c r="P146" s="7" t="inlineStr">
        <is>
          <t>客户失联</t>
        </is>
      </c>
      <c r="Q146" s="7" t="inlineStr">
        <is>
          <t>已报方案，业主是当地的工程公司，前面的沟通比较顺畅，出了一个基础性方案后失联，没有报价都失联了，</t>
        </is>
      </c>
    </row>
    <row r="147" ht="36" customHeight="1">
      <c r="A147" s="7" t="n">
        <v>150</v>
      </c>
      <c r="B147" s="7" t="inlineStr">
        <is>
          <t>王伟乐</t>
        </is>
      </c>
      <c r="C147" s="7" t="inlineStr">
        <is>
          <t>C00009041</t>
        </is>
      </c>
      <c r="D147" s="7" t="inlineStr">
        <is>
          <t>工业</t>
        </is>
      </c>
      <c r="E147" s="7" t="inlineStr">
        <is>
          <t>C00009041 -2026.3.20 王伟乐 沙特 1*2000t 水泥仓 项目 -工业-V1</t>
        </is>
      </c>
      <c r="F147" s="7" t="inlineStr"/>
      <c r="G147" s="7" t="n"/>
      <c r="H147" s="7" t="inlineStr">
        <is>
          <t>已结项-丢单</t>
        </is>
      </c>
      <c r="I147" s="7" t="inlineStr"/>
      <c r="J147" s="26" t="inlineStr">
        <is>
          <t>规范闭环</t>
        </is>
      </c>
      <c r="K147" s="7" t="inlineStr">
        <is>
          <t>报价无反馈</t>
        </is>
      </c>
      <c r="L147" s="7" t="inlineStr"/>
      <c r="M147" s="7" t="inlineStr"/>
      <c r="N147" s="7" t="inlineStr"/>
      <c r="O147" s="7" t="inlineStr">
        <is>
          <t>是</t>
        </is>
      </c>
      <c r="P147" s="7" t="inlineStr">
        <is>
          <t>客户未反馈</t>
        </is>
      </c>
      <c r="Q147" s="7" t="inlineStr">
        <is>
          <t>已报价，报价是给中国的一个公司在沙特的项目，没有收到报价后的反馈</t>
        </is>
      </c>
    </row>
    <row r="148" ht="36" customHeight="1">
      <c r="A148" s="7" t="n">
        <v>151</v>
      </c>
      <c r="B148" s="7" t="inlineStr">
        <is>
          <t>王伟乐</t>
        </is>
      </c>
      <c r="C148" s="7" t="inlineStr">
        <is>
          <t>C00007413</t>
        </is>
      </c>
      <c r="D148" s="7" t="inlineStr">
        <is>
          <t>工业</t>
        </is>
      </c>
      <c r="E148" s="7" t="inlineStr">
        <is>
          <t>C00007413|王伟乐|工业|摩洛哥CIMAF 1*700t 水泥装配仓项目|方案V7|重点项目</t>
        </is>
      </c>
      <c r="F148" s="7" t="inlineStr"/>
      <c r="G148" s="7" t="n"/>
      <c r="H148" s="7" t="inlineStr">
        <is>
          <t>进行中</t>
        </is>
      </c>
      <c r="I148" s="25" t="inlineStr">
        <is>
          <t>是</t>
        </is>
      </c>
      <c r="J148" s="27" t="inlineStr">
        <is>
          <t>浅层等待</t>
        </is>
      </c>
      <c r="K148" s="7" t="inlineStr">
        <is>
          <t>老客户总部项目，已报价继续跟，库龄偏长</t>
        </is>
      </c>
      <c r="L148" s="7" t="inlineStr"/>
      <c r="M148" s="7" t="inlineStr"/>
      <c r="N148" s="7" t="inlineStr"/>
      <c r="O148" s="7" t="inlineStr"/>
      <c r="P148" s="7" t="inlineStr"/>
      <c r="Q148" s="7" t="inlineStr">
        <is>
          <t>已报价，还在继续跟进，属于毛里塔尼亚老客户总部的项目</t>
        </is>
      </c>
    </row>
    <row r="149" ht="36" customHeight="1">
      <c r="A149" s="7" t="n">
        <v>152</v>
      </c>
      <c r="B149" s="7" t="inlineStr">
        <is>
          <t>尹韬越</t>
        </is>
      </c>
      <c r="C149" s="7" t="inlineStr">
        <is>
          <t>C00004619</t>
        </is>
      </c>
      <c r="D149" s="7" t="inlineStr">
        <is>
          <t>工业</t>
        </is>
      </c>
      <c r="E149" s="7" t="inlineStr">
        <is>
          <t>C00004619｜尹韬越｜工业｜俄罗斯苏亚克公司磷矿石矿浆磨制项目｜方案V1</t>
        </is>
      </c>
      <c r="F149" s="7" t="inlineStr"/>
      <c r="G149" s="7" t="n"/>
      <c r="H149" s="7" t="inlineStr">
        <is>
          <t>已结项-丢单</t>
        </is>
      </c>
      <c r="I149" s="7" t="inlineStr"/>
      <c r="J149" s="26" t="inlineStr">
        <is>
          <t>规范闭环</t>
        </is>
      </c>
      <c r="K149" s="7" t="inlineStr">
        <is>
          <t>已报尚未回复，已结项</t>
        </is>
      </c>
      <c r="L149" s="7" t="inlineStr"/>
      <c r="M149" s="7" t="inlineStr"/>
      <c r="N149" s="7" t="inlineStr"/>
      <c r="O149" s="7" t="inlineStr">
        <is>
          <t>是</t>
        </is>
      </c>
      <c r="P149" s="7" t="inlineStr">
        <is>
          <t>其他</t>
        </is>
      </c>
      <c r="Q149" s="7" t="inlineStr">
        <is>
          <t>已报，尚未回复</t>
        </is>
      </c>
    </row>
    <row r="150" ht="36" customHeight="1">
      <c r="A150" s="7" t="n">
        <v>153</v>
      </c>
      <c r="B150" s="7" t="inlineStr">
        <is>
          <t>尹韬越</t>
        </is>
      </c>
      <c r="C150" s="7" t="inlineStr">
        <is>
          <t>C00009303</t>
        </is>
      </c>
      <c r="D150" s="7" t="inlineStr">
        <is>
          <t>工业</t>
        </is>
      </c>
      <c r="E150" s="7" t="inlineStr">
        <is>
          <t>C00009303｜尹韬越｜工业｜乌兹别克斯坦尼什巴什一期储煤场末煤仓项目｜方案V1</t>
        </is>
      </c>
      <c r="F150" s="7" t="inlineStr"/>
      <c r="G150" s="7" t="n"/>
      <c r="H150" s="7" t="inlineStr">
        <is>
          <t>进行中</t>
        </is>
      </c>
      <c r="I150" s="7" t="inlineStr"/>
      <c r="J150" s="21" t="inlineStr">
        <is>
          <t>该结未结</t>
        </is>
      </c>
      <c r="K150" s="7" t="inlineStr">
        <is>
          <t>仅写已报价，超90天无下一步</t>
        </is>
      </c>
      <c r="L150" s="7" t="inlineStr"/>
      <c r="M150" s="7" t="inlineStr"/>
      <c r="N150" s="7" t="inlineStr">
        <is>
          <t>是</t>
        </is>
      </c>
      <c r="O150" s="7" t="inlineStr"/>
      <c r="P150" s="7" t="inlineStr"/>
      <c r="Q150" s="7" t="inlineStr">
        <is>
          <t>已报价</t>
        </is>
      </c>
    </row>
    <row r="151" ht="36" customHeight="1">
      <c r="A151" s="7" t="n">
        <v>154</v>
      </c>
      <c r="B151" s="7" t="inlineStr">
        <is>
          <t>尹韬越</t>
        </is>
      </c>
      <c r="C151" s="7" t="inlineStr">
        <is>
          <t>C00009297</t>
        </is>
      </c>
      <c r="D151" s="7" t="inlineStr">
        <is>
          <t>粮食</t>
        </is>
      </c>
      <c r="E151" s="7" t="inlineStr">
        <is>
          <t>C00009297｜尹韬越｜粮食｜格鲁吉亚第比利斯3×1000吨玉米仓｜方案V1</t>
        </is>
      </c>
      <c r="F151" s="7" t="inlineStr"/>
      <c r="G151" s="7" t="n"/>
      <c r="H151" s="7" t="inlineStr">
        <is>
          <t>进行中</t>
        </is>
      </c>
      <c r="I151" s="7" t="inlineStr"/>
      <c r="J151" s="21" t="inlineStr">
        <is>
          <t>该结未结</t>
        </is>
      </c>
      <c r="K151" s="7" t="inlineStr">
        <is>
          <t>仅写已报方案，无互动记录</t>
        </is>
      </c>
      <c r="L151" s="7" t="inlineStr"/>
      <c r="M151" s="7" t="inlineStr"/>
      <c r="N151" s="7" t="inlineStr">
        <is>
          <t>是</t>
        </is>
      </c>
      <c r="O151" s="7" t="inlineStr"/>
      <c r="P151" s="7" t="inlineStr"/>
      <c r="Q151" s="7" t="inlineStr">
        <is>
          <t>已报方案</t>
        </is>
      </c>
    </row>
    <row r="152" ht="36" customHeight="1">
      <c r="A152" s="7" t="n">
        <v>155</v>
      </c>
      <c r="B152" s="7" t="inlineStr">
        <is>
          <t>尹韬越</t>
        </is>
      </c>
      <c r="C152" s="7" t="inlineStr">
        <is>
          <t>C00009222</t>
        </is>
      </c>
      <c r="D152" s="7" t="inlineStr">
        <is>
          <t>工业</t>
        </is>
      </c>
      <c r="E152" s="7" t="inlineStr">
        <is>
          <t>C00009222｜尹韬越｜工业｜哈萨克斯坦乌拉尔斯克小型粮食转运站项目｜方案V1</t>
        </is>
      </c>
      <c r="F152" s="7" t="inlineStr"/>
      <c r="G152" s="7" t="n"/>
      <c r="H152" s="7" t="inlineStr">
        <is>
          <t>已结项-丢单</t>
        </is>
      </c>
      <c r="I152" s="7" t="inlineStr"/>
      <c r="J152" s="26" t="inlineStr">
        <is>
          <t>规范闭环</t>
        </is>
      </c>
      <c r="K152" s="7" t="inlineStr">
        <is>
          <t>失联</t>
        </is>
      </c>
      <c r="L152" s="7" t="inlineStr"/>
      <c r="M152" s="7" t="inlineStr"/>
      <c r="N152" s="7" t="inlineStr"/>
      <c r="O152" s="7" t="inlineStr">
        <is>
          <t>是</t>
        </is>
      </c>
      <c r="P152" s="7" t="inlineStr">
        <is>
          <t>客户失联</t>
        </is>
      </c>
      <c r="Q152" s="7" t="inlineStr">
        <is>
          <t>已报方案</t>
        </is>
      </c>
    </row>
    <row r="153" ht="36" customHeight="1">
      <c r="A153" s="7" t="n">
        <v>156</v>
      </c>
      <c r="B153" s="7" t="inlineStr">
        <is>
          <t>尹韬越</t>
        </is>
      </c>
      <c r="C153" s="7" t="inlineStr">
        <is>
          <t>C00008577</t>
        </is>
      </c>
      <c r="D153" s="7" t="inlineStr">
        <is>
          <t>粮食</t>
        </is>
      </c>
      <c r="E153" s="7" t="inlineStr">
        <is>
          <t>C00008577｜尹韬越｜粮食｜哈萨克斯坦4×3500吨粮食项目｜方案V2</t>
        </is>
      </c>
      <c r="F153" s="7" t="inlineStr"/>
      <c r="G153" s="7" t="n"/>
      <c r="H153" s="7" t="inlineStr">
        <is>
          <t>进行中</t>
        </is>
      </c>
      <c r="I153" s="7" t="inlineStr"/>
      <c r="J153" s="17" t="inlineStr">
        <is>
          <t>有效跟进</t>
        </is>
      </c>
      <c r="K153" s="7" t="inlineStr">
        <is>
          <t>对方在征地，长周期仍有实质节点</t>
        </is>
      </c>
      <c r="L153" s="7" t="inlineStr"/>
      <c r="M153" s="7" t="inlineStr">
        <is>
          <t>是</t>
        </is>
      </c>
      <c r="N153" s="7" t="inlineStr"/>
      <c r="O153" s="7" t="inlineStr"/>
      <c r="P153" s="7" t="inlineStr"/>
      <c r="Q153" s="7" t="inlineStr">
        <is>
          <t>已报方案，目前对方在征地</t>
        </is>
      </c>
    </row>
    <row r="154" ht="36" customHeight="1">
      <c r="A154" s="7" t="n">
        <v>157</v>
      </c>
      <c r="B154" s="7" t="inlineStr">
        <is>
          <t>尹韬越</t>
        </is>
      </c>
      <c r="C154" s="7" t="inlineStr">
        <is>
          <t>无编码</t>
        </is>
      </c>
      <c r="D154" s="7" t="inlineStr">
        <is>
          <t>粮食</t>
        </is>
      </c>
      <c r="E154" s="7" t="inlineStr">
        <is>
          <t>尹韬越 哈萨克斯坦4×3000t粮食项目 方案1</t>
        </is>
      </c>
      <c r="F154" s="7" t="inlineStr"/>
      <c r="G154" s="7" t="n"/>
      <c r="H154" s="7" t="inlineStr">
        <is>
          <t>已结项-丢单</t>
        </is>
      </c>
      <c r="I154" s="7" t="inlineStr"/>
      <c r="J154" s="26" t="inlineStr">
        <is>
          <t>规范闭环</t>
        </is>
      </c>
      <c r="K154" s="7" t="inlineStr">
        <is>
          <t>价格丢单</t>
        </is>
      </c>
      <c r="L154" s="7" t="inlineStr"/>
      <c r="M154" s="7" t="inlineStr"/>
      <c r="N154" s="7" t="inlineStr"/>
      <c r="O154" s="7" t="inlineStr">
        <is>
          <t>是</t>
        </is>
      </c>
      <c r="P154" s="7" t="inlineStr">
        <is>
          <t>价格</t>
        </is>
      </c>
      <c r="Q154" s="7" t="inlineStr">
        <is>
          <t>已报价</t>
        </is>
      </c>
    </row>
    <row r="155" ht="36" customHeight="1">
      <c r="A155" s="7" t="n">
        <v>158</v>
      </c>
      <c r="B155" s="7" t="inlineStr">
        <is>
          <t>尹韬越</t>
        </is>
      </c>
      <c r="C155" s="7" t="inlineStr">
        <is>
          <t>C00008577</t>
        </is>
      </c>
      <c r="D155" s="7" t="inlineStr">
        <is>
          <t>粮食</t>
        </is>
      </c>
      <c r="E155" s="7" t="inlineStr">
        <is>
          <t>C00008577 尹韬越哈萨克斯坦4×3500吨粮食项目 方案1</t>
        </is>
      </c>
      <c r="F155" s="7" t="inlineStr"/>
      <c r="G155" s="7" t="n"/>
      <c r="H155" s="7" t="inlineStr">
        <is>
          <t>进行中</t>
        </is>
      </c>
      <c r="I155" s="7" t="inlineStr"/>
      <c r="J155" s="22" t="inlineStr">
        <is>
          <t>重复开单</t>
        </is>
      </c>
      <c r="K155" s="7" t="inlineStr">
        <is>
          <t>与序号156同一征地项目V1/V2</t>
        </is>
      </c>
      <c r="L155" s="7" t="inlineStr"/>
      <c r="M155" s="7" t="inlineStr"/>
      <c r="N155" s="7" t="inlineStr"/>
      <c r="O155" s="7" t="inlineStr"/>
      <c r="P155" s="7" t="inlineStr"/>
      <c r="Q155" s="7" t="inlineStr">
        <is>
          <t>已报方案，目前对方在征地</t>
        </is>
      </c>
    </row>
    <row r="156" ht="36" customHeight="1">
      <c r="A156" s="7" t="n">
        <v>159</v>
      </c>
      <c r="B156" s="7" t="inlineStr">
        <is>
          <t>尹韬越</t>
        </is>
      </c>
      <c r="C156" s="7" t="inlineStr">
        <is>
          <t>无编码</t>
        </is>
      </c>
      <c r="D156" s="7" t="inlineStr"/>
      <c r="E156" s="7" t="inlineStr">
        <is>
          <t>20260228 尹韬越哈萨克斯坦1×5000t粮仓项目</t>
        </is>
      </c>
      <c r="F156" s="7" t="inlineStr"/>
      <c r="G156" s="7" t="n"/>
      <c r="H156" s="7" t="inlineStr">
        <is>
          <t>已结项-丢单</t>
        </is>
      </c>
      <c r="I156" s="7" t="inlineStr"/>
      <c r="J156" s="26" t="inlineStr">
        <is>
          <t>规范闭环</t>
        </is>
      </c>
      <c r="K156" s="7" t="inlineStr">
        <is>
          <t>价格丢单</t>
        </is>
      </c>
      <c r="L156" s="7" t="inlineStr"/>
      <c r="M156" s="7" t="inlineStr"/>
      <c r="N156" s="7" t="inlineStr"/>
      <c r="O156" s="7" t="inlineStr">
        <is>
          <t>是</t>
        </is>
      </c>
      <c r="P156" s="7" t="inlineStr">
        <is>
          <t>价格</t>
        </is>
      </c>
      <c r="Q156" s="7" t="inlineStr">
        <is>
          <t>已报价</t>
        </is>
      </c>
    </row>
    <row r="157" ht="36" customHeight="1">
      <c r="A157" s="7" t="n">
        <v>160</v>
      </c>
      <c r="B157" s="7" t="inlineStr">
        <is>
          <t>尹韬越</t>
        </is>
      </c>
      <c r="C157" s="7" t="inlineStr">
        <is>
          <t>无编码</t>
        </is>
      </c>
      <c r="D157" s="7" t="inlineStr">
        <is>
          <t>粮食</t>
        </is>
      </c>
      <c r="E157" s="7" t="inlineStr">
        <is>
          <t>20260202 尹韬越哈萨克斯坦70000吨粮食筒仓</t>
        </is>
      </c>
      <c r="F157" s="7" t="inlineStr"/>
      <c r="G157" s="7" t="n"/>
      <c r="H157" s="7" t="inlineStr">
        <is>
          <t>已结项-丢单</t>
        </is>
      </c>
      <c r="I157" s="7" t="inlineStr"/>
      <c r="J157" s="26" t="inlineStr">
        <is>
          <t>规范闭环</t>
        </is>
      </c>
      <c r="K157" s="7" t="inlineStr">
        <is>
          <t>价格丢单</t>
        </is>
      </c>
      <c r="L157" s="7" t="inlineStr"/>
      <c r="M157" s="7" t="inlineStr"/>
      <c r="N157" s="7" t="inlineStr"/>
      <c r="O157" s="7" t="inlineStr">
        <is>
          <t>是</t>
        </is>
      </c>
      <c r="P157" s="7" t="inlineStr">
        <is>
          <t>价格</t>
        </is>
      </c>
      <c r="Q157" s="7" t="inlineStr">
        <is>
          <t>已报价</t>
        </is>
      </c>
    </row>
    <row r="158" ht="36" customHeight="1">
      <c r="A158" s="7" t="n">
        <v>161</v>
      </c>
      <c r="B158" s="7" t="inlineStr">
        <is>
          <t>尹韬越</t>
        </is>
      </c>
      <c r="C158" s="7" t="inlineStr">
        <is>
          <t>C00009853</t>
        </is>
      </c>
      <c r="D158" s="7" t="inlineStr">
        <is>
          <t>工业</t>
        </is>
      </c>
      <c r="E158" s="7" t="inlineStr">
        <is>
          <t>C00009853｜尹韬越｜工业｜哈萨克斯坦阿特劳4×800t水泥仓项目｜方案V1</t>
        </is>
      </c>
      <c r="F158" s="7" t="inlineStr"/>
      <c r="G158" s="7" t="n"/>
      <c r="H158" s="7" t="inlineStr">
        <is>
          <t>暂停</t>
        </is>
      </c>
      <c r="I158" s="7" t="inlineStr"/>
      <c r="J158" s="26" t="inlineStr">
        <is>
          <t>规范闭环</t>
        </is>
      </c>
      <c r="K158" s="7" t="inlineStr">
        <is>
          <t>暂停，客户失联</t>
        </is>
      </c>
      <c r="L158" s="7" t="inlineStr"/>
      <c r="M158" s="7" t="inlineStr"/>
      <c r="N158" s="7" t="inlineStr"/>
      <c r="O158" s="7" t="inlineStr">
        <is>
          <t>是</t>
        </is>
      </c>
      <c r="P158" s="7" t="inlineStr">
        <is>
          <t>客户失联</t>
        </is>
      </c>
      <c r="Q158" s="7" t="inlineStr">
        <is>
          <t>跟进</t>
        </is>
      </c>
    </row>
    <row r="159" ht="36" customHeight="1">
      <c r="A159" s="7" t="n">
        <v>162</v>
      </c>
      <c r="B159" s="7" t="inlineStr">
        <is>
          <t>尹韬越</t>
        </is>
      </c>
      <c r="C159" s="7" t="inlineStr">
        <is>
          <t>C00009761</t>
        </is>
      </c>
      <c r="D159" s="7" t="inlineStr">
        <is>
          <t>工业</t>
        </is>
      </c>
      <c r="E159" s="7" t="inlineStr">
        <is>
          <t>C00009761｜尹韬越｜工业｜哈萨克斯坦阿拉木图1×1000t水泥仓项目｜方案V1</t>
        </is>
      </c>
      <c r="F159" s="7" t="inlineStr"/>
      <c r="G159" s="7" t="n"/>
      <c r="H159" s="7" t="inlineStr">
        <is>
          <t>暂停</t>
        </is>
      </c>
      <c r="I159" s="7" t="inlineStr"/>
      <c r="J159" s="26" t="inlineStr">
        <is>
          <t>规范闭环</t>
        </is>
      </c>
      <c r="K159" s="7" t="inlineStr">
        <is>
          <t>暂停，客户失联</t>
        </is>
      </c>
      <c r="L159" s="7" t="inlineStr"/>
      <c r="M159" s="7" t="inlineStr"/>
      <c r="N159" s="7" t="inlineStr"/>
      <c r="O159" s="7" t="inlineStr">
        <is>
          <t>是</t>
        </is>
      </c>
      <c r="P159" s="7" t="inlineStr">
        <is>
          <t>客户失联</t>
        </is>
      </c>
      <c r="Q159" s="7" t="inlineStr">
        <is>
          <t>已报方案，跟进</t>
        </is>
      </c>
    </row>
    <row r="160" ht="36" customHeight="1">
      <c r="A160" s="7" t="n">
        <v>163</v>
      </c>
      <c r="B160" s="7" t="inlineStr">
        <is>
          <t>尹韬越</t>
        </is>
      </c>
      <c r="C160" s="7" t="inlineStr">
        <is>
          <t>C00009518</t>
        </is>
      </c>
      <c r="D160" s="7" t="inlineStr">
        <is>
          <t>粮食</t>
        </is>
      </c>
      <c r="E160" s="7" t="inlineStr">
        <is>
          <t>C00009518｜尹韬越｜粮食｜哈萨克斯坦钢管塔架项目｜方案V1</t>
        </is>
      </c>
      <c r="F160" s="7" t="inlineStr"/>
      <c r="G160" s="7" t="n"/>
      <c r="H160" s="7" t="inlineStr">
        <is>
          <t>暂停</t>
        </is>
      </c>
      <c r="I160" s="7" t="inlineStr"/>
      <c r="J160" s="26" t="inlineStr">
        <is>
          <t>规范闭环</t>
        </is>
      </c>
      <c r="K160" s="7" t="inlineStr">
        <is>
          <t>暂停，客户失联</t>
        </is>
      </c>
      <c r="L160" s="7" t="inlineStr"/>
      <c r="M160" s="7" t="inlineStr"/>
      <c r="N160" s="7" t="inlineStr"/>
      <c r="O160" s="7" t="inlineStr">
        <is>
          <t>是</t>
        </is>
      </c>
      <c r="P160" s="7" t="inlineStr">
        <is>
          <t>客户失联</t>
        </is>
      </c>
      <c r="Q160" s="7" t="inlineStr">
        <is>
          <t>已报方案，跟进</t>
        </is>
      </c>
    </row>
    <row r="161" ht="36" customHeight="1">
      <c r="A161" s="7" t="n">
        <v>164</v>
      </c>
      <c r="B161" s="7" t="inlineStr">
        <is>
          <t>尹韬越</t>
        </is>
      </c>
      <c r="C161" s="7" t="inlineStr">
        <is>
          <t>C00009520</t>
        </is>
      </c>
      <c r="D161" s="7" t="inlineStr">
        <is>
          <t>粮食</t>
        </is>
      </c>
      <c r="E161" s="7" t="inlineStr">
        <is>
          <t>C00009520｜尹韬越｜粮食｜格鲁吉亚哈舒里30吨/24小时面粉厂配套项目｜方案V1</t>
        </is>
      </c>
      <c r="F161" s="7" t="inlineStr"/>
      <c r="G161" s="7" t="n"/>
      <c r="H161" s="7" t="inlineStr">
        <is>
          <t>暂停</t>
        </is>
      </c>
      <c r="I161" s="7" t="inlineStr"/>
      <c r="J161" s="26" t="inlineStr">
        <is>
          <t>规范闭环</t>
        </is>
      </c>
      <c r="K161" s="7" t="inlineStr">
        <is>
          <t>暂停，客户失联</t>
        </is>
      </c>
      <c r="L161" s="7" t="inlineStr"/>
      <c r="M161" s="7" t="inlineStr"/>
      <c r="N161" s="7" t="inlineStr"/>
      <c r="O161" s="7" t="inlineStr">
        <is>
          <t>是</t>
        </is>
      </c>
      <c r="P161" s="7" t="inlineStr">
        <is>
          <t>客户失联</t>
        </is>
      </c>
      <c r="Q161" s="7" t="inlineStr">
        <is>
          <t>已报方案，跟进</t>
        </is>
      </c>
    </row>
    <row r="162" ht="36" customHeight="1">
      <c r="A162" s="7" t="n">
        <v>165</v>
      </c>
      <c r="B162" s="7" t="inlineStr">
        <is>
          <t>张硕</t>
        </is>
      </c>
      <c r="C162" s="7" t="inlineStr">
        <is>
          <t>无编码</t>
        </is>
      </c>
      <c r="D162" s="7" t="inlineStr"/>
      <c r="E162" s="7" t="inlineStr">
        <is>
          <t>20260121张硕 苏里南糙米碾白线配套筒仓项目</t>
        </is>
      </c>
      <c r="F162" s="7" t="inlineStr"/>
      <c r="G162" s="7" t="n"/>
      <c r="H162" s="7" t="inlineStr">
        <is>
          <t>已结项-丢单</t>
        </is>
      </c>
      <c r="I162" s="7" t="inlineStr"/>
      <c r="J162" s="26" t="inlineStr">
        <is>
          <t>规范闭环</t>
        </is>
      </c>
      <c r="K162" s="7" t="inlineStr">
        <is>
          <t>失联已结项</t>
        </is>
      </c>
      <c r="L162" s="7" t="inlineStr"/>
      <c r="M162" s="7" t="inlineStr"/>
      <c r="N162" s="7" t="inlineStr"/>
      <c r="O162" s="7" t="inlineStr">
        <is>
          <t>是</t>
        </is>
      </c>
      <c r="P162" s="7" t="inlineStr">
        <is>
          <t>客户失联</t>
        </is>
      </c>
      <c r="Q162" s="7" t="inlineStr">
        <is>
          <t>无</t>
        </is>
      </c>
    </row>
    <row r="163" ht="36" customHeight="1">
      <c r="A163" s="7" t="n">
        <v>166</v>
      </c>
      <c r="B163" s="7" t="inlineStr">
        <is>
          <t>张硕</t>
        </is>
      </c>
      <c r="C163" s="7" t="inlineStr">
        <is>
          <t>无编码</t>
        </is>
      </c>
      <c r="D163" s="7" t="inlineStr"/>
      <c r="E163" s="7" t="inlineStr">
        <is>
          <t>20260108张硕 比利时Sibelco法国工厂石英砂储存和火车发放项目</t>
        </is>
      </c>
      <c r="F163" s="7" t="inlineStr"/>
      <c r="G163" s="7" t="n"/>
      <c r="H163" s="7" t="inlineStr">
        <is>
          <t>已结项-丢单</t>
        </is>
      </c>
      <c r="I163" s="7" t="inlineStr"/>
      <c r="J163" s="26" t="inlineStr">
        <is>
          <t>规范闭环</t>
        </is>
      </c>
      <c r="K163" s="7" t="inlineStr">
        <is>
          <t>失联已结项</t>
        </is>
      </c>
      <c r="L163" s="7" t="inlineStr"/>
      <c r="M163" s="7" t="inlineStr"/>
      <c r="N163" s="7" t="inlineStr"/>
      <c r="O163" s="7" t="inlineStr">
        <is>
          <t>是</t>
        </is>
      </c>
      <c r="P163" s="7" t="inlineStr">
        <is>
          <t>客户失联</t>
        </is>
      </c>
      <c r="Q163" s="7" t="inlineStr">
        <is>
          <t>无</t>
        </is>
      </c>
    </row>
    <row r="164" ht="36" customHeight="1">
      <c r="A164" s="7" t="n">
        <v>167</v>
      </c>
      <c r="B164" s="7" t="inlineStr">
        <is>
          <t>张硕</t>
        </is>
      </c>
      <c r="C164" s="7" t="inlineStr">
        <is>
          <t>无编码</t>
        </is>
      </c>
      <c r="D164" s="7" t="inlineStr">
        <is>
          <t>粮食</t>
        </is>
      </c>
      <c r="E164" s="7" t="inlineStr">
        <is>
          <t>20260105张硕 哈里发港粮食码头来粮接收及储存项目</t>
        </is>
      </c>
      <c r="F164" s="7" t="inlineStr"/>
      <c r="G164" s="7" t="n"/>
      <c r="H164" s="7" t="inlineStr">
        <is>
          <t>进行中</t>
        </is>
      </c>
      <c r="I164" s="7" t="inlineStr"/>
      <c r="J164" s="24" t="inlineStr">
        <is>
          <t>前期调研</t>
        </is>
      </c>
      <c r="K164" s="7" t="inlineStr">
        <is>
          <t>大EPC需投标并设当地分公司，已标进行中，按前期计</t>
        </is>
      </c>
      <c r="L164" s="7" t="inlineStr">
        <is>
          <t>是</t>
        </is>
      </c>
      <c r="M164" s="7" t="inlineStr"/>
      <c r="N164" s="7" t="inlineStr"/>
      <c r="O164" s="7" t="inlineStr"/>
      <c r="P164" s="7" t="inlineStr"/>
      <c r="Q164" s="7" t="inlineStr">
        <is>
          <t>项目为大EPC，需要投标并在当地成立分公司，后续持续跟进</t>
        </is>
      </c>
    </row>
    <row r="165" ht="36" customHeight="1">
      <c r="A165" s="7" t="n">
        <v>168</v>
      </c>
      <c r="B165" s="7" t="inlineStr">
        <is>
          <t>张硕</t>
        </is>
      </c>
      <c r="C165" s="7" t="inlineStr">
        <is>
          <t>C00009858</t>
        </is>
      </c>
      <c r="D165" s="7" t="inlineStr">
        <is>
          <t>粮食</t>
        </is>
      </c>
      <c r="E165" s="7" t="inlineStr">
        <is>
          <t>C00009858 | 张硕 | 粮食 | 斯里兰卡汉班托塔Golden Harvest Mill3x1500MT小麦仓扩建项目</t>
        </is>
      </c>
      <c r="F165" s="7" t="inlineStr"/>
      <c r="G165" s="7" t="n"/>
      <c r="H165" s="7" t="inlineStr">
        <is>
          <t>进行中</t>
        </is>
      </c>
      <c r="I165" s="7" t="inlineStr"/>
      <c r="J165" s="17" t="inlineStr">
        <is>
          <t>有效跟进</t>
        </is>
      </c>
      <c r="K165" s="7" t="inlineStr">
        <is>
          <t>报价已上呈总裁，每周跟进+当地代理侧面了解</t>
        </is>
      </c>
      <c r="L165" s="7" t="inlineStr"/>
      <c r="M165" s="7" t="inlineStr">
        <is>
          <t>是</t>
        </is>
      </c>
      <c r="N165" s="7" t="inlineStr"/>
      <c r="O165" s="7" t="inlineStr"/>
      <c r="P165" s="7" t="inlineStr"/>
      <c r="Q165" s="7" t="inlineStr">
        <is>
          <t>业主收到3座仓的正式报价后没有直接给出评论意见，仅回复说以将报价上呈给公司总裁，判断其从多方供应商处比较报价后再做决定，跟进策略对业主按保持每周频次跟进，不表现急切情绪；另从近期开发的当地代理处侧面了解项目进展</t>
        </is>
      </c>
    </row>
    <row r="166" ht="36" customHeight="1">
      <c r="A166" s="7" t="n">
        <v>169</v>
      </c>
      <c r="B166" s="7" t="inlineStr">
        <is>
          <t>张硕</t>
        </is>
      </c>
      <c r="C166" s="7" t="inlineStr">
        <is>
          <t>C00009866</t>
        </is>
      </c>
      <c r="D166" s="7" t="inlineStr">
        <is>
          <t>工业</t>
        </is>
      </c>
      <c r="E166" s="7" t="inlineStr">
        <is>
          <t>C00009866 | 张硕｜工业｜印尼工程公司PT REXLINE生物质30m³定量料斗项目｜方案V1</t>
        </is>
      </c>
      <c r="F166" s="7" t="inlineStr"/>
      <c r="G166" s="7" t="n"/>
      <c r="H166" s="7" t="inlineStr">
        <is>
          <t>进行中</t>
        </is>
      </c>
      <c r="I166" s="7" t="inlineStr"/>
      <c r="J166" s="21" t="inlineStr">
        <is>
          <t>该结未结</t>
        </is>
      </c>
      <c r="K166" s="7" t="inlineStr">
        <is>
          <t>确认清单时多次无视邮件和Whatsapp</t>
        </is>
      </c>
      <c r="L166" s="7" t="inlineStr"/>
      <c r="M166" s="7" t="inlineStr"/>
      <c r="N166" s="7" t="inlineStr">
        <is>
          <t>是</t>
        </is>
      </c>
      <c r="O166" s="7" t="inlineStr"/>
      <c r="P166" s="7" t="inlineStr"/>
      <c r="Q166" s="7" t="inlineStr">
        <is>
          <t>客户为印尼本地工程公司，在收到我方的方案和设备清单（不含报价），与其沟通对方案图纸和设备清单参数确认时，对方多次无视邮件和Whatsapp信息，初步判定为客户可能已收到合适的报价</t>
        </is>
      </c>
    </row>
  </sheetData>
  <autoFilter ref="A1:Q16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56" customWidth="1" min="8" max="8"/>
    <col width="40" customWidth="1" min="9" max="9"/>
  </cols>
  <sheetData>
    <row r="1" ht="32" customHeight="1">
      <c r="A1" s="28" t="inlineStr">
        <is>
          <t>业务员</t>
        </is>
      </c>
      <c r="B1" s="28" t="inlineStr">
        <is>
          <t>一句话</t>
        </is>
      </c>
      <c r="C1" s="28" t="inlineStr">
        <is>
          <t>提报</t>
        </is>
      </c>
      <c r="D1" s="28" t="inlineStr">
        <is>
          <t>闭环</t>
        </is>
      </c>
      <c r="E1" s="28" t="inlineStr">
        <is>
          <t>前期客户</t>
        </is>
      </c>
      <c r="F1" s="28" t="inlineStr">
        <is>
          <t>重点</t>
        </is>
      </c>
      <c r="G1" s="28" t="inlineStr">
        <is>
          <t>有效在手</t>
        </is>
      </c>
      <c r="H1" s="28" t="inlineStr">
        <is>
          <t>主要问题</t>
        </is>
      </c>
      <c r="I1" s="28" t="inlineStr">
        <is>
          <t>建议动作</t>
        </is>
      </c>
    </row>
    <row r="2" ht="72" customHeight="1">
      <c r="A2" s="7" t="inlineStr">
        <is>
          <t>崔阳</t>
        </is>
      </c>
      <c r="B2" s="7" t="inlineStr">
        <is>
          <t>量最大，关账勤，有效在手只有5条，重复客户多</t>
        </is>
      </c>
      <c r="C2" s="7" t="n">
        <v>38</v>
      </c>
      <c r="D2" s="7" t="n">
        <v>19</v>
      </c>
      <c r="E2" s="7" t="n">
        <v>1</v>
      </c>
      <c r="F2" s="7" t="n">
        <v>1</v>
      </c>
      <c r="G2" s="7" t="n">
        <v>5</v>
      </c>
      <c r="H2" s="7" t="inlineStr">
        <is>
          <t>38条/约22个客户：Powerz 7条、Эннова 5条、cotes 4条。关19条几乎全是丢单（价格/当地供应商）。有效在手：Sibur勘察、CC7资质审查、cotes两处技术探讨、RUSAGRO 9月考察。Эннова/外贝加尔方案未出数月仍进行中；75万吨重点只写「进行中 重点任务」</t>
        </is>
      </c>
      <c r="I2" s="7" t="inlineStr">
        <is>
          <t>同一客户合并任务；希望不大的脱硫/电厂未出方案立即暂停；重点补真实下一步</t>
        </is>
      </c>
    </row>
    <row r="3" ht="72" customHeight="1">
      <c r="A3" s="7" t="inlineStr">
        <is>
          <t>苗恒</t>
        </is>
      </c>
      <c r="B3" s="7" t="inlineStr">
        <is>
          <t>敢结项、失联多，在手项目质量相对清楚</t>
        </is>
      </c>
      <c r="C3" s="7" t="n">
        <v>18</v>
      </c>
      <c r="D3" s="7" t="n">
        <v>11</v>
      </c>
      <c r="E3" s="7" t="n">
        <v>0</v>
      </c>
      <c r="F3" s="7" t="n">
        <v>2</v>
      </c>
      <c r="G3" s="7" t="n">
        <v>5</v>
      </c>
      <c r="H3" s="7" t="inlineStr">
        <is>
          <t>18条关了11条；丢单里失联占多数；有效在手5条（墨西哥粮仓重点、阿尔及利亚气力、伊拉克见面等）；2条需求不实已关掉</t>
        </is>
      </c>
      <c r="I3" s="7" t="inlineStr">
        <is>
          <t>卡提报真实性；伊拉克/德国同项目合并；斯里兰卡稻谷探价应考虑结项</t>
        </is>
      </c>
    </row>
    <row r="4" ht="72" customHeight="1">
      <c r="A4" s="7" t="inlineStr">
        <is>
          <t>司斌</t>
        </is>
      </c>
      <c r="B4" s="7" t="inlineStr">
        <is>
          <t>挂账最严重，同一咖啡客户拆3条，前期预算多</t>
        </is>
      </c>
      <c r="C4" s="7" t="n">
        <v>17</v>
      </c>
      <c r="D4" s="7" t="n">
        <v>6</v>
      </c>
      <c r="E4" s="7" t="n">
        <v>3</v>
      </c>
      <c r="F4" s="7" t="n">
        <v>1</v>
      </c>
      <c r="G4" s="7" t="n">
        <v>1</v>
      </c>
      <c r="H4" s="7" t="inlineStr">
        <is>
          <t>17条只关6条；该结未结5+重复2；路易达孚/马来熟料只要预算；斯里兰卡30×3500重点已到决策但价格拿不到</t>
        </is>
      </c>
      <c r="I4" s="7" t="inlineStr">
        <is>
          <t>C00008345合并；无反馈超60天强制暂停；预算类不进重点</t>
        </is>
      </c>
    </row>
    <row r="5" ht="72" customHeight="1">
      <c r="A5" s="7" t="inlineStr">
        <is>
          <t>陈辉</t>
        </is>
      </c>
      <c r="B5" s="7" t="inlineStr">
        <is>
          <t>进行中大半是规划/预算/找钱，重点里只有大宇和Lanwa像真项目</t>
        </is>
      </c>
      <c r="C5" s="7" t="n">
        <v>17</v>
      </c>
      <c r="D5" s="7" t="n">
        <v>5</v>
      </c>
      <c r="E5" s="7" t="n">
        <v>6</v>
      </c>
      <c r="F5" s="7" t="n">
        <v>3</v>
      </c>
      <c r="G5" s="7" t="n">
        <v>3</v>
      </c>
      <c r="H5" s="7" t="inlineStr">
        <is>
          <t>17条仅关5条；前期调研7条；塞拉利昂重点缺资金仍挂进行中；埃及/澳洲/巴西多为预算或规划</t>
        </is>
      </c>
      <c r="I5" s="7" t="inlineStr">
        <is>
          <t>规划类统一标前期并设退出期；重点只保留有业主互动的</t>
        </is>
      </c>
    </row>
    <row r="6" ht="72" customHeight="1">
      <c r="A6" s="7" t="inlineStr">
        <is>
          <t>陈子凡</t>
        </is>
      </c>
      <c r="B6" s="7" t="inlineStr">
        <is>
          <t>唯一签约，基本盘是生力集团和蒙古MAK</t>
        </is>
      </c>
      <c r="C6" s="7" t="n">
        <v>16</v>
      </c>
      <c r="D6" s="7" t="n">
        <v>8</v>
      </c>
      <c r="E6" s="7" t="n">
        <v>2</v>
      </c>
      <c r="F6" s="7" t="n">
        <v>4</v>
      </c>
      <c r="G6" s="7" t="n">
        <v>3</v>
      </c>
      <c r="H6" s="7" t="inlineStr">
        <is>
          <t>16条/12个客户：生力（含SMC、Manila01）4条，蒙古MAK 2条（1签约+1气力）。在手重点有节点。扣分在TESO只要预算、阿根廷希望不大</t>
        </is>
      </c>
      <c r="I6" s="7" t="inlineStr">
        <is>
          <t>生力/MAK按客户看覆盖，不要按条数报；TESO标前期；阿根廷考虑结项</t>
        </is>
      </c>
    </row>
    <row r="7" ht="72" customHeight="1">
      <c r="A7" s="7" t="inlineStr">
        <is>
          <t>尹韬越</t>
        </is>
      </c>
      <c r="B7" s="7" t="inlineStr">
        <is>
          <t>俄语区关账勤，但进行中两条只有「已报价」</t>
        </is>
      </c>
      <c r="C7" s="7" t="n">
        <v>13</v>
      </c>
      <c r="D7" s="7" t="n">
        <v>9</v>
      </c>
      <c r="E7" s="7" t="n">
        <v>0</v>
      </c>
      <c r="F7" s="7" t="n">
        <v>0</v>
      </c>
      <c r="G7" s="7" t="n">
        <v>1</v>
      </c>
      <c r="H7" s="7" t="inlineStr">
        <is>
          <t>13条关9条；4条暂停均为失联；征地项目算有效；V1/V2重复；价格丢单3条</t>
        </is>
      </c>
      <c r="I7" s="7" t="inlineStr">
        <is>
          <t>已报价无互动的改暂停；征地两条合并</t>
        </is>
      </c>
    </row>
    <row r="8" ht="72" customHeight="1">
      <c r="A8" s="7" t="inlineStr">
        <is>
          <t>韩鸿彪</t>
        </is>
      </c>
      <c r="B8" s="7" t="inlineStr">
        <is>
          <t>长周期项目跟得住，雨棚重复已暂停</t>
        </is>
      </c>
      <c r="C8" s="7" t="n">
        <v>11</v>
      </c>
      <c r="D8" s="7" t="n">
        <v>5</v>
      </c>
      <c r="E8" s="7" t="n">
        <v>0</v>
      </c>
      <c r="F8" s="7" t="n">
        <v>0</v>
      </c>
      <c r="G8" s="7" t="n">
        <v>4</v>
      </c>
      <c r="H8" s="7" t="inlineStr">
        <is>
          <t>QNC包装线/也门扩建/越南码头贷款节点清楚；4条已暂停（含与86重复的雨棚）；配合性Halong不做重点但仍挂</t>
        </is>
      </c>
      <c r="I8" s="7" t="inlineStr">
        <is>
          <t>配合性项目降级或暂停；河边雨棚报建复杂仍进行中，该关则关</t>
        </is>
      </c>
    </row>
    <row r="9" ht="72" customHeight="1">
      <c r="A9" s="7" t="inlineStr">
        <is>
          <t>马鹏飞</t>
        </is>
      </c>
      <c r="B9" s="7" t="inlineStr">
        <is>
          <t>闭环率最高，但3条「澄清未回」说明进管家偏早</t>
        </is>
      </c>
      <c r="C9" s="7" t="n">
        <v>11</v>
      </c>
      <c r="D9" s="7" t="n">
        <v>7</v>
      </c>
      <c r="E9" s="7" t="n">
        <v>0</v>
      </c>
      <c r="F9" s="7" t="n">
        <v>0</v>
      </c>
      <c r="G9" s="7" t="n">
        <v>1</v>
      </c>
      <c r="H9" s="7" t="inlineStr">
        <is>
          <t>11条关7条；在手生力冷却站是真项目；拉法基墨西哥刚报、Intercem法国长期无新投标信息</t>
        </is>
      </c>
      <c r="I9" s="7" t="inlineStr">
        <is>
          <t>澄清未回类提报前先过滤；法国单仓超180天应暂停等标讯</t>
        </is>
      </c>
    </row>
    <row r="10" ht="72" customHeight="1">
      <c r="A10" s="7" t="inlineStr">
        <is>
          <t>王伟乐</t>
        </is>
      </c>
      <c r="B10" s="7" t="inlineStr">
        <is>
          <t>结项清楚，进行中两条质量分化</t>
        </is>
      </c>
      <c r="C10" s="7" t="n">
        <v>8</v>
      </c>
      <c r="D10" s="7" t="n">
        <v>4</v>
      </c>
      <c r="E10" s="7" t="n">
        <v>1</v>
      </c>
      <c r="F10" s="7" t="n">
        <v>2</v>
      </c>
      <c r="G10" s="7" t="n">
        <v>1</v>
      </c>
      <c r="H10" s="7" t="inlineStr">
        <is>
          <t>8条关4条；裕廊港重点在澄清；CIMAF老客户已报价库龄长；苏丹仍在预算；埃及已报价未反馈仍进行中</t>
        </is>
      </c>
      <c r="I10" s="7" t="inlineStr">
        <is>
          <t>埃及未反馈改暂停；苏丹预算标前期</t>
        </is>
      </c>
    </row>
    <row r="11" ht="72" customHeight="1">
      <c r="A11" s="7" t="inlineStr">
        <is>
          <t>冯乐</t>
        </is>
      </c>
      <c r="B11" s="7" t="inlineStr">
        <is>
          <t>6条全进行中、0关闭，盘子虚</t>
        </is>
      </c>
      <c r="C11" s="7" t="n">
        <v>6</v>
      </c>
      <c r="D11" s="7" t="n">
        <v>0</v>
      </c>
      <c r="E11" s="7" t="n">
        <v>2</v>
      </c>
      <c r="F11" s="7" t="n">
        <v>1</v>
      </c>
      <c r="G11" s="7" t="n">
        <v>2</v>
      </c>
      <c r="H11" s="7" t="inlineStr">
        <is>
          <t>坦桑重点和也门V3有澄清；其余中间商/规划/等总包；没有一条关掉</t>
        </is>
      </c>
      <c r="I11" s="7" t="inlineStr">
        <is>
          <t>规划和中间商探价设退出日；至少把明显比价无互动的暂停</t>
        </is>
      </c>
    </row>
    <row r="12" ht="72" customHeight="1">
      <c r="A12" s="7" t="inlineStr">
        <is>
          <t>张硕</t>
        </is>
      </c>
      <c r="B12" s="7" t="inlineStr">
        <is>
          <t>旧单已关，新单一条跟得细、一条该结、哈利法港按前期</t>
        </is>
      </c>
      <c r="C12" s="7" t="n">
        <v>5</v>
      </c>
      <c r="D12" s="7" t="n">
        <v>2</v>
      </c>
      <c r="E12" s="7" t="n">
        <v>1</v>
      </c>
      <c r="F12" s="7" t="n">
        <v>0</v>
      </c>
      <c r="G12" s="7" t="n">
        <v>1</v>
      </c>
      <c r="H12" s="7" t="inlineStr">
        <is>
          <t>5条；2条旧失联已结；哈利法港已标进行中（大EPC需投标并设当地分公司，按前期，不算有效在手）；斯里兰卡小麦仓策略清楚；印尼料斗已不理邮件</t>
        </is>
      </c>
      <c r="I12" s="7" t="inlineStr">
        <is>
          <t>哈利法港按前期跟，设退出条件；印尼料斗结项</t>
        </is>
      </c>
    </row>
    <row r="13" ht="72" customHeight="1">
      <c r="A13" s="7" t="inlineStr">
        <is>
          <t>王伟超</t>
        </is>
      </c>
      <c r="B13" s="7" t="inlineStr">
        <is>
          <t>量少台账不乱，哥斯达黎加重点跟得细</t>
        </is>
      </c>
      <c r="C13" s="7" t="n">
        <v>5</v>
      </c>
      <c r="D13" s="7" t="n">
        <v>2</v>
      </c>
      <c r="E13" s="7" t="n">
        <v>1</v>
      </c>
      <c r="F13" s="7" t="n">
        <v>1</v>
      </c>
      <c r="G13" s="7" t="n">
        <v>1</v>
      </c>
      <c r="H13" s="7" t="inlineStr">
        <is>
          <t>5条关2条；哥斯达黎加多次改图；乌干达非业主要预算；达沃价格超预期</t>
        </is>
      </c>
      <c r="I13" s="7" t="inlineStr">
        <is>
          <t>乌干达预算类不要当在手项目汇报</t>
        </is>
      </c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8" customWidth="1" min="5" max="5"/>
    <col width="10" customWidth="1" min="6" max="6"/>
    <col width="14" customWidth="1" min="7" max="7"/>
    <col width="16" customWidth="1" min="8" max="8"/>
    <col width="12" customWidth="1" min="9" max="9"/>
    <col width="12" customWidth="1" min="10" max="10"/>
    <col width="12" customWidth="1" min="11" max="11"/>
    <col width="36" customWidth="1" min="12" max="12"/>
    <col width="17.6" customWidth="1" min="13" max="13"/>
    <col width="17.6" customWidth="1" min="14" max="14"/>
  </cols>
  <sheetData>
    <row r="1" ht="28" customHeight="1">
      <c r="A1" s="54" t="inlineStr">
        <is>
          <t>排名</t>
        </is>
      </c>
      <c r="B1" s="54" t="inlineStr">
        <is>
          <t>组别</t>
        </is>
      </c>
      <c r="C1" s="54" t="inlineStr">
        <is>
          <t>业务员</t>
        </is>
      </c>
      <c r="D1" s="54" t="inlineStr">
        <is>
          <t>任务</t>
        </is>
      </c>
      <c r="E1" s="54" t="inlineStr">
        <is>
          <t>客户</t>
        </is>
      </c>
      <c r="F1" s="54" t="inlineStr">
        <is>
          <t>条/客</t>
        </is>
      </c>
      <c r="G1" s="54" t="inlineStr">
        <is>
          <t>类型</t>
        </is>
      </c>
      <c r="H1" s="54" t="inlineStr">
        <is>
          <t>最大客户</t>
        </is>
      </c>
      <c r="I1" s="54" t="inlineStr">
        <is>
          <t>最大占本人</t>
        </is>
      </c>
      <c r="J1" s="54" t="inlineStr">
        <is>
          <t>前三大占比</t>
        </is>
      </c>
      <c r="K1" s="54" t="inlineStr">
        <is>
          <t>≥2条客户</t>
        </is>
      </c>
      <c r="L1" s="54" t="inlineStr">
        <is>
          <t>怎么读</t>
        </is>
      </c>
    </row>
    <row r="2" ht="26" customHeight="1">
      <c r="A2" s="60" t="n">
        <v>1</v>
      </c>
      <c r="B2" s="55" t="inlineStr">
        <is>
          <t>俄语组</t>
        </is>
      </c>
      <c r="C2" s="60" t="inlineStr">
        <is>
          <t>崔阳</t>
        </is>
      </c>
      <c r="D2" s="55" t="n">
        <v>38</v>
      </c>
      <c r="E2" s="55" t="n">
        <v>22</v>
      </c>
      <c r="F2" s="65" t="n">
        <v>1.73</v>
      </c>
      <c r="G2" s="66" t="inlineStr">
        <is>
          <t>拆单注水</t>
        </is>
      </c>
      <c r="H2" s="56" t="inlineStr">
        <is>
          <t>Powerz ×7</t>
        </is>
      </c>
      <c r="I2" s="67" t="n">
        <v>0.18</v>
      </c>
      <c r="J2" s="67" t="n">
        <v>0.42</v>
      </c>
      <c r="K2" s="55" t="n">
        <v>6</v>
      </c>
      <c r="L2" s="56" t="inlineStr">
        <is>
          <t>前三户 16 条，集中在死单</t>
        </is>
      </c>
    </row>
    <row r="3" ht="26" customHeight="1">
      <c r="A3" s="60" t="n">
        <v>2</v>
      </c>
      <c r="B3" s="55" t="inlineStr">
        <is>
          <t>六组</t>
        </is>
      </c>
      <c r="C3" s="60" t="inlineStr">
        <is>
          <t>韩鸿彪</t>
        </is>
      </c>
      <c r="D3" s="55" t="n">
        <v>11</v>
      </c>
      <c r="E3" s="55" t="n">
        <v>8</v>
      </c>
      <c r="F3" s="68" t="n">
        <v>1.38</v>
      </c>
      <c r="G3" s="57" t="inlineStr">
        <is>
          <t>基本盘深挖</t>
        </is>
      </c>
      <c r="H3" s="56" t="inlineStr">
        <is>
          <t>QNC ×4</t>
        </is>
      </c>
      <c r="I3" s="67" t="n">
        <v>0.36</v>
      </c>
      <c r="J3" s="67" t="n">
        <v>0.55</v>
      </c>
      <c r="K3" s="55" t="n">
        <v>1</v>
      </c>
      <c r="L3" s="56" t="inlineStr">
        <is>
          <t>占本人 36%，健康但单一</t>
        </is>
      </c>
    </row>
    <row r="4" ht="26" customHeight="1">
      <c r="A4" s="60" t="n">
        <v>3</v>
      </c>
      <c r="B4" s="55" t="inlineStr">
        <is>
          <t>一组</t>
        </is>
      </c>
      <c r="C4" s="60" t="inlineStr">
        <is>
          <t>陈子凡</t>
        </is>
      </c>
      <c r="D4" s="55" t="n">
        <v>16</v>
      </c>
      <c r="E4" s="55" t="n">
        <v>12</v>
      </c>
      <c r="F4" s="68" t="n">
        <v>1.33</v>
      </c>
      <c r="G4" s="57" t="inlineStr">
        <is>
          <t>基本盘深挖</t>
        </is>
      </c>
      <c r="H4" s="56" t="inlineStr">
        <is>
          <t>生力 ×4</t>
        </is>
      </c>
      <c r="I4" s="67" t="n">
        <v>0.25</v>
      </c>
      <c r="J4" s="67" t="n">
        <v>0.44</v>
      </c>
      <c r="K4" s="55" t="n">
        <v>2</v>
      </c>
      <c r="L4" s="56" t="inlineStr">
        <is>
          <t>生力 + MAK，含唯一签约</t>
        </is>
      </c>
    </row>
    <row r="5" ht="26" customHeight="1">
      <c r="A5" s="55" t="n">
        <v>4</v>
      </c>
      <c r="B5" s="55" t="inlineStr">
        <is>
          <t>五组</t>
        </is>
      </c>
      <c r="C5" s="55" t="inlineStr">
        <is>
          <t>陈辉</t>
        </is>
      </c>
      <c r="D5" s="55" t="n">
        <v>17</v>
      </c>
      <c r="E5" s="55" t="n">
        <v>13</v>
      </c>
      <c r="F5" s="69" t="n">
        <v>1.31</v>
      </c>
      <c r="G5" s="70" t="inlineStr">
        <is>
          <t>渠道多询</t>
        </is>
      </c>
      <c r="H5" s="56" t="inlineStr">
        <is>
          <t>Kim ×4</t>
        </is>
      </c>
      <c r="I5" s="67" t="n">
        <v>0.24</v>
      </c>
      <c r="J5" s="67" t="n">
        <v>0.41</v>
      </c>
      <c r="K5" s="55" t="n">
        <v>2</v>
      </c>
      <c r="L5" s="56" t="inlineStr">
        <is>
          <t>一个渠道四条询价，关了 3 条</t>
        </is>
      </c>
    </row>
    <row r="6" ht="26" customHeight="1">
      <c r="A6" s="55" t="n">
        <v>5</v>
      </c>
      <c r="B6" s="55" t="inlineStr">
        <is>
          <t>五组</t>
        </is>
      </c>
      <c r="C6" s="55" t="inlineStr">
        <is>
          <t>冯乐</t>
        </is>
      </c>
      <c r="D6" s="55" t="n">
        <v>6</v>
      </c>
      <c r="E6" s="55" t="n">
        <v>5</v>
      </c>
      <c r="F6" s="69" t="n">
        <v>1.2</v>
      </c>
      <c r="G6" s="71" t="inlineStr">
        <is>
          <t>样本小</t>
        </is>
      </c>
      <c r="H6" s="56" t="inlineStr">
        <is>
          <t>C00009344 ×2</t>
        </is>
      </c>
      <c r="I6" s="67" t="n">
        <v>0.33</v>
      </c>
      <c r="J6" s="67" t="n">
        <v>0.67</v>
      </c>
      <c r="K6" s="55" t="n">
        <v>1</v>
      </c>
      <c r="L6" s="56" t="inlineStr">
        <is>
          <t>同一编码跨土库曼 / 新疆</t>
        </is>
      </c>
    </row>
    <row r="7" ht="26" customHeight="1">
      <c r="A7" s="55" t="n">
        <v>6</v>
      </c>
      <c r="B7" s="55" t="inlineStr">
        <is>
          <t>二组</t>
        </is>
      </c>
      <c r="C7" s="55" t="inlineStr">
        <is>
          <t>司斌</t>
        </is>
      </c>
      <c r="D7" s="55" t="n">
        <v>17</v>
      </c>
      <c r="E7" s="55" t="n">
        <v>15</v>
      </c>
      <c r="F7" s="72" t="n">
        <v>1.13</v>
      </c>
      <c r="G7" s="66" t="inlineStr">
        <is>
          <t>局部拆单</t>
        </is>
      </c>
      <c r="H7" s="56" t="inlineStr">
        <is>
          <t>咖啡仓 ×3</t>
        </is>
      </c>
      <c r="I7" s="67" t="n">
        <v>0.18</v>
      </c>
      <c r="J7" s="67" t="n">
        <v>0.29</v>
      </c>
      <c r="K7" s="55" t="n">
        <v>1</v>
      </c>
      <c r="L7" s="56" t="inlineStr">
        <is>
          <t>面上不集中，三条全挂着</t>
        </is>
      </c>
    </row>
    <row r="8" ht="26" customHeight="1">
      <c r="A8" s="55" t="n">
        <v>7</v>
      </c>
      <c r="B8" s="55" t="inlineStr">
        <is>
          <t>俄语组</t>
        </is>
      </c>
      <c r="C8" s="55" t="inlineStr">
        <is>
          <t>尹韬越</t>
        </is>
      </c>
      <c r="D8" s="55" t="n">
        <v>13</v>
      </c>
      <c r="E8" s="55" t="n">
        <v>12</v>
      </c>
      <c r="F8" s="69" t="n">
        <v>1.08</v>
      </c>
      <c r="G8" s="62" t="inlineStr">
        <is>
          <t>接近一人一客</t>
        </is>
      </c>
      <c r="H8" s="56" t="inlineStr">
        <is>
          <t>征地 V1/V2 ×2</t>
        </is>
      </c>
      <c r="I8" s="67" t="n">
        <v>0.15</v>
      </c>
      <c r="J8" s="67" t="n">
        <v>0.31</v>
      </c>
      <c r="K8" s="55" t="n">
        <v>1</v>
      </c>
      <c r="L8" s="56" t="inlineStr">
        <is>
          <t>只多拆了征地</t>
        </is>
      </c>
    </row>
    <row r="9" ht="26" customHeight="1">
      <c r="A9" s="55" t="n">
        <v>8</v>
      </c>
      <c r="B9" s="55" t="inlineStr">
        <is>
          <t>六组</t>
        </is>
      </c>
      <c r="C9" s="55" t="inlineStr">
        <is>
          <t>苗恒</t>
        </is>
      </c>
      <c r="D9" s="55" t="n">
        <v>18</v>
      </c>
      <c r="E9" s="55" t="n">
        <v>18</v>
      </c>
      <c r="F9" s="73" t="n">
        <v>1</v>
      </c>
      <c r="G9" s="62" t="inlineStr">
        <is>
          <t>广撒网</t>
        </is>
      </c>
      <c r="H9" s="56" t="inlineStr">
        <is>
          <t>—</t>
        </is>
      </c>
      <c r="I9" s="67" t="n">
        <v>0.06</v>
      </c>
      <c r="J9" s="67" t="n">
        <v>0.17</v>
      </c>
      <c r="K9" s="55" t="n">
        <v>0</v>
      </c>
      <c r="L9" s="56" t="inlineStr">
        <is>
          <t>铺得最开，留下 5 条</t>
        </is>
      </c>
    </row>
    <row r="10" ht="26" customHeight="1">
      <c r="A10" s="55" t="n">
        <v>9</v>
      </c>
      <c r="B10" s="55" t="inlineStr">
        <is>
          <t>三组</t>
        </is>
      </c>
      <c r="C10" s="55" t="inlineStr">
        <is>
          <t>马鹏飞</t>
        </is>
      </c>
      <c r="D10" s="55" t="n">
        <v>11</v>
      </c>
      <c r="E10" s="55" t="n">
        <v>11</v>
      </c>
      <c r="F10" s="73" t="n">
        <v>1</v>
      </c>
      <c r="G10" s="62" t="inlineStr">
        <is>
          <t>广撒网</t>
        </is>
      </c>
      <c r="H10" s="56" t="inlineStr">
        <is>
          <t>—</t>
        </is>
      </c>
      <c r="I10" s="67" t="n">
        <v>0.09</v>
      </c>
      <c r="J10" s="67" t="n">
        <v>0.27</v>
      </c>
      <c r="K10" s="55" t="n">
        <v>0</v>
      </c>
      <c r="L10" s="56" t="inlineStr">
        <is>
          <t>11 条死 7 条</t>
        </is>
      </c>
    </row>
    <row r="11" ht="26" customHeight="1">
      <c r="A11" s="55" t="n">
        <v>10</v>
      </c>
      <c r="B11" s="55" t="inlineStr">
        <is>
          <t>三组</t>
        </is>
      </c>
      <c r="C11" s="55" t="inlineStr">
        <is>
          <t>王伟乐</t>
        </is>
      </c>
      <c r="D11" s="55" t="n">
        <v>8</v>
      </c>
      <c r="E11" s="55" t="n">
        <v>8</v>
      </c>
      <c r="F11" s="73" t="n">
        <v>1</v>
      </c>
      <c r="G11" s="62" t="inlineStr">
        <is>
          <t>广撒网</t>
        </is>
      </c>
      <c r="H11" s="56" t="inlineStr">
        <is>
          <t>—</t>
        </is>
      </c>
      <c r="I11" s="67" t="n">
        <v>0.12</v>
      </c>
      <c r="J11" s="67" t="n">
        <v>0.38</v>
      </c>
      <c r="K11" s="55" t="n">
        <v>0</v>
      </c>
      <c r="L11" s="56" t="inlineStr">
        <is>
          <t>一半丢掉</t>
        </is>
      </c>
    </row>
    <row r="12" ht="26" customHeight="1">
      <c r="A12" s="55" t="n">
        <v>11</v>
      </c>
      <c r="B12" s="55" t="inlineStr">
        <is>
          <t>一组</t>
        </is>
      </c>
      <c r="C12" s="55" t="inlineStr">
        <is>
          <t>张硕</t>
        </is>
      </c>
      <c r="D12" s="55" t="n">
        <v>5</v>
      </c>
      <c r="E12" s="55" t="n">
        <v>5</v>
      </c>
      <c r="F12" s="73" t="n">
        <v>1</v>
      </c>
      <c r="G12" s="62" t="inlineStr">
        <is>
          <t>广撒网</t>
        </is>
      </c>
      <c r="H12" s="56" t="inlineStr">
        <is>
          <t>—</t>
        </is>
      </c>
      <c r="I12" s="67" t="n">
        <v>0.2</v>
      </c>
      <c r="J12" s="67" t="n">
        <v>0.6</v>
      </c>
      <c r="K12" s="55" t="n">
        <v>0</v>
      </c>
      <c r="L12" s="56" t="inlineStr">
        <is>
          <t>样本小；斯里兰卡跟得细</t>
        </is>
      </c>
    </row>
    <row r="13" ht="26" customHeight="1">
      <c r="A13" s="55" t="n">
        <v>11</v>
      </c>
      <c r="B13" s="55" t="inlineStr">
        <is>
          <t>二组</t>
        </is>
      </c>
      <c r="C13" s="55" t="inlineStr">
        <is>
          <t>王伟超</t>
        </is>
      </c>
      <c r="D13" s="55" t="n">
        <v>5</v>
      </c>
      <c r="E13" s="55" t="n">
        <v>5</v>
      </c>
      <c r="F13" s="73" t="n">
        <v>1</v>
      </c>
      <c r="G13" s="62" t="inlineStr">
        <is>
          <t>广撒网</t>
        </is>
      </c>
      <c r="H13" s="56" t="inlineStr">
        <is>
          <t>—</t>
        </is>
      </c>
      <c r="I13" s="67" t="n">
        <v>0.2</v>
      </c>
      <c r="J13" s="67" t="n">
        <v>0.6</v>
      </c>
      <c r="K13" s="55" t="n">
        <v>0</v>
      </c>
      <c r="L13" s="56" t="inlineStr">
        <is>
          <t>样本小；哥斯达黎加到过工厂</t>
        </is>
      </c>
    </row>
    <row r="14" ht="24" customHeight="1">
      <c r="A14" s="63" t="inlineStr"/>
      <c r="B14" s="63" t="inlineStr">
        <is>
          <t>合计</t>
        </is>
      </c>
      <c r="C14" s="63" t="n"/>
      <c r="D14" s="63" t="n">
        <v>165</v>
      </c>
      <c r="E14" s="63" t="n">
        <v>134</v>
      </c>
      <c r="F14" s="74" t="n">
        <v>1.23</v>
      </c>
      <c r="G14" s="63" t="n"/>
      <c r="H14" s="63" t="n"/>
      <c r="I14" s="63" t="n"/>
      <c r="J14" s="63" t="n"/>
      <c r="K14" s="63" t="n">
        <v>14</v>
      </c>
      <c r="L14" s="63" t="n"/>
    </row>
    <row r="16" ht="32" customHeight="1">
      <c r="A16" s="64" t="inlineStr">
        <is>
          <t>崔阳最高是拆单；韩鸿彪、陈子凡是基本盘。底下五个 1.00 是一人一客、铺新客户。冯乐/张硕/王伟超样本小于 8。</t>
        </is>
      </c>
    </row>
  </sheetData>
  <autoFilter ref="A1:L13"/>
  <mergeCells count="1">
    <mergeCell ref="A16:L16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.9" customWidth="1" min="3" max="3"/>
    <col width="12.2" customWidth="1" min="4" max="4"/>
    <col width="8" customWidth="1" min="5" max="5"/>
    <col width="70" customWidth="1" min="6" max="6"/>
    <col width="11.5" customWidth="1" min="7" max="7"/>
  </cols>
  <sheetData>
    <row r="1" ht="32" customHeight="1">
      <c r="A1" s="6" t="inlineStr">
        <is>
          <t>业务员</t>
        </is>
      </c>
      <c r="B1" s="6" t="inlineStr">
        <is>
          <t>客户键</t>
        </is>
      </c>
      <c r="C1" s="6" t="inlineStr">
        <is>
          <t>客户简称</t>
        </is>
      </c>
      <c r="D1" s="6" t="inlineStr">
        <is>
          <t>该客户任务数</t>
        </is>
      </c>
      <c r="E1" s="6" t="inlineStr">
        <is>
          <t>序号</t>
        </is>
      </c>
      <c r="F1" s="6" t="inlineStr">
        <is>
          <t>任务标题</t>
        </is>
      </c>
      <c r="G1" s="6" t="inlineStr">
        <is>
          <t>状态</t>
        </is>
      </c>
    </row>
    <row r="2" ht="22" customHeight="1">
      <c r="A2" s="7" t="inlineStr">
        <is>
          <t>陈辉</t>
        </is>
      </c>
      <c r="B2" s="7" t="inlineStr">
        <is>
          <t>C00001305</t>
        </is>
      </c>
      <c r="C2" s="7" t="inlineStr">
        <is>
          <t>C00001305</t>
        </is>
      </c>
      <c r="D2" s="7" t="n">
        <v>4</v>
      </c>
      <c r="E2" s="7" t="n">
        <v>3</v>
      </c>
      <c r="F2" s="7" t="inlineStr">
        <is>
          <t>C00001305｜陈辉｜工业｜韩国Jeju-四套污泥仓｜方案V1</t>
        </is>
      </c>
      <c r="G2" s="7" t="inlineStr">
        <is>
          <t>已结项-丢单</t>
        </is>
      </c>
    </row>
    <row r="3" ht="22" customHeight="1">
      <c r="A3" s="7" t="inlineStr">
        <is>
          <t>陈辉</t>
        </is>
      </c>
      <c r="B3" s="7" t="inlineStr">
        <is>
          <t>C00001305</t>
        </is>
      </c>
      <c r="C3" s="7" t="inlineStr">
        <is>
          <t>C00001305</t>
        </is>
      </c>
      <c r="D3" s="7" t="n">
        <v>4</v>
      </c>
      <c r="E3" s="7" t="n">
        <v>4</v>
      </c>
      <c r="F3" s="7" t="inlineStr">
        <is>
          <t>C00001305｜陈辉｜工业｜韩国welcron5套污泥仓｜方案V1</t>
        </is>
      </c>
      <c r="G3" s="7" t="inlineStr">
        <is>
          <t>已结项-丢单</t>
        </is>
      </c>
    </row>
    <row r="4" ht="22" customHeight="1">
      <c r="A4" s="7" t="inlineStr">
        <is>
          <t>陈辉</t>
        </is>
      </c>
      <c r="B4" s="7" t="inlineStr">
        <is>
          <t>C00001305</t>
        </is>
      </c>
      <c r="C4" s="7" t="inlineStr">
        <is>
          <t>C00001305</t>
        </is>
      </c>
      <c r="D4" s="7" t="n">
        <v>4</v>
      </c>
      <c r="E4" s="7" t="n">
        <v>5</v>
      </c>
      <c r="F4" s="7" t="inlineStr">
        <is>
          <t>C00001305｜陈辉｜工业｜韩国140立方米 x 3套树脂仓｜方案V1</t>
        </is>
      </c>
      <c r="G4" s="7" t="inlineStr">
        <is>
          <t>暂停</t>
        </is>
      </c>
    </row>
    <row r="5" ht="22" customHeight="1">
      <c r="A5" s="7" t="inlineStr">
        <is>
          <t>陈辉</t>
        </is>
      </c>
      <c r="B5" s="7" t="inlineStr">
        <is>
          <t>C00001305</t>
        </is>
      </c>
      <c r="C5" s="7" t="inlineStr">
        <is>
          <t>C00001305</t>
        </is>
      </c>
      <c r="D5" s="7" t="n">
        <v>4</v>
      </c>
      <c r="E5" s="7" t="n">
        <v>8</v>
      </c>
      <c r="F5" s="7" t="inlineStr">
        <is>
          <t>C00001305｜陈辉｜工业｜韩国3,000立方米 x 2套石膏粉仓｜方案V2</t>
        </is>
      </c>
      <c r="G5" s="7" t="inlineStr">
        <is>
          <t>已结项-丢单</t>
        </is>
      </c>
    </row>
    <row r="6" ht="22" customHeight="1">
      <c r="A6" s="7" t="inlineStr">
        <is>
          <t>陈辉</t>
        </is>
      </c>
      <c r="B6" s="7" t="inlineStr">
        <is>
          <t>C00009244</t>
        </is>
      </c>
      <c r="C6" s="7" t="inlineStr">
        <is>
          <t>C00009244</t>
        </is>
      </c>
      <c r="D6" s="7" t="n">
        <v>2</v>
      </c>
      <c r="E6" s="7" t="n">
        <v>10</v>
      </c>
      <c r="F6" s="7" t="inlineStr">
        <is>
          <t>C00009244｜陈辉｜工业｜火车卸料项目｜方案V1</t>
        </is>
      </c>
      <c r="G6" s="7" t="inlineStr">
        <is>
          <t>进行中</t>
        </is>
      </c>
    </row>
    <row r="7" ht="22" customHeight="1">
      <c r="A7" s="7" t="inlineStr">
        <is>
          <t>陈辉</t>
        </is>
      </c>
      <c r="B7" s="7" t="inlineStr">
        <is>
          <t>C00009244</t>
        </is>
      </c>
      <c r="C7" s="7" t="inlineStr">
        <is>
          <t>C00009244</t>
        </is>
      </c>
      <c r="D7" s="7" t="n">
        <v>2</v>
      </c>
      <c r="E7" s="7" t="n">
        <v>15</v>
      </c>
      <c r="F7" s="7" t="inlineStr">
        <is>
          <t>C00009244｜陈辉｜工业｜巴西钢板仓和卸到火车项目｜方案V1</t>
        </is>
      </c>
      <c r="G7" s="7" t="inlineStr">
        <is>
          <t>进行中</t>
        </is>
      </c>
    </row>
    <row r="8" ht="22" customHeight="1">
      <c r="A8" s="7" t="inlineStr">
        <is>
          <t>陈子凡</t>
        </is>
      </c>
      <c r="B8" s="7" t="inlineStr">
        <is>
          <t>ALIAS-SMC</t>
        </is>
      </c>
      <c r="C8" s="7" t="inlineStr">
        <is>
          <t>菲律宾生力集团</t>
        </is>
      </c>
      <c r="D8" s="7" t="n">
        <v>4</v>
      </c>
      <c r="E8" s="7" t="n">
        <v>25</v>
      </c>
      <c r="F8" s="7" t="inlineStr">
        <is>
          <t>Manila 01｜陈子凡｜工业｜菲律宾生力集团机场临建项目｜算量V1</t>
        </is>
      </c>
      <c r="G8" s="7" t="inlineStr">
        <is>
          <t>已结项-丢单</t>
        </is>
      </c>
    </row>
    <row r="9" ht="22" customHeight="1">
      <c r="A9" s="7" t="inlineStr">
        <is>
          <t>陈子凡</t>
        </is>
      </c>
      <c r="B9" s="7" t="inlineStr">
        <is>
          <t>ALIAS-SMC</t>
        </is>
      </c>
      <c r="C9" s="7" t="inlineStr">
        <is>
          <t>菲律宾生力集团</t>
        </is>
      </c>
      <c r="D9" s="7" t="n">
        <v>4</v>
      </c>
      <c r="E9" s="7" t="n">
        <v>26</v>
      </c>
      <c r="F9" s="7" t="inlineStr">
        <is>
          <t>Manila 01｜陈子凡｜粮食｜SMC SHIPPING 平方仓项目｜方案V1</t>
        </is>
      </c>
      <c r="G9" s="7" t="inlineStr">
        <is>
          <t>已结项-丢单</t>
        </is>
      </c>
    </row>
    <row r="10" ht="22" customHeight="1">
      <c r="A10" s="7" t="inlineStr">
        <is>
          <t>陈子凡</t>
        </is>
      </c>
      <c r="B10" s="7" t="inlineStr">
        <is>
          <t>ALIAS-SMC</t>
        </is>
      </c>
      <c r="C10" s="7" t="inlineStr">
        <is>
          <t>菲律宾生力集团</t>
        </is>
      </c>
      <c r="D10" s="7" t="n">
        <v>4</v>
      </c>
      <c r="E10" s="7" t="n">
        <v>29</v>
      </c>
      <c r="F10" s="7" t="inlineStr">
        <is>
          <t>20260304 菲律宾生力集团 取料机报价</t>
        </is>
      </c>
      <c r="G10" s="7" t="inlineStr">
        <is>
          <t>进行中</t>
        </is>
      </c>
    </row>
    <row r="11" ht="22" customHeight="1">
      <c r="A11" s="7" t="inlineStr">
        <is>
          <t>陈子凡</t>
        </is>
      </c>
      <c r="B11" s="7" t="inlineStr">
        <is>
          <t>ALIAS-SMC</t>
        </is>
      </c>
      <c r="C11" s="7" t="inlineStr">
        <is>
          <t>菲律宾生力集团</t>
        </is>
      </c>
      <c r="D11" s="7" t="n">
        <v>4</v>
      </c>
      <c r="E11" s="7" t="n">
        <v>33</v>
      </c>
      <c r="F11" s="7" t="inlineStr">
        <is>
          <t>Manila01｜陈子凡｜粮食｜菲律宾4x2000吨锥底仓｜清单V1 | 报价清单</t>
        </is>
      </c>
      <c r="G11" s="7" t="inlineStr">
        <is>
          <t>进行中</t>
        </is>
      </c>
    </row>
    <row r="12" ht="22" customHeight="1">
      <c r="A12" s="7" t="inlineStr">
        <is>
          <t>陈子凡</t>
        </is>
      </c>
      <c r="B12" s="7" t="inlineStr">
        <is>
          <t>C00007247</t>
        </is>
      </c>
      <c r="C12" s="7" t="inlineStr">
        <is>
          <t>蒙古MAK</t>
        </is>
      </c>
      <c r="D12" s="7" t="n">
        <v>2</v>
      </c>
      <c r="E12" s="7" t="n">
        <v>22</v>
      </c>
      <c r="F12" s="7" t="inlineStr">
        <is>
          <t>C00007247｜陈子凡｜工业｜MAK砖厂现有气力输送系统更新项目 ｜方案V1 | 重点项目</t>
        </is>
      </c>
      <c r="G12" s="7" t="inlineStr">
        <is>
          <t>进行中</t>
        </is>
      </c>
    </row>
    <row r="13" ht="22" customHeight="1">
      <c r="A13" s="7" t="inlineStr">
        <is>
          <t>陈子凡</t>
        </is>
      </c>
      <c r="B13" s="7" t="inlineStr">
        <is>
          <t>C00007247</t>
        </is>
      </c>
      <c r="C13" s="7" t="inlineStr">
        <is>
          <t>蒙古MAK</t>
        </is>
      </c>
      <c r="D13" s="7" t="n">
        <v>2</v>
      </c>
      <c r="E13" s="7" t="n">
        <v>30</v>
      </c>
      <c r="F13" s="7" t="inlineStr">
        <is>
          <t>20260302 C00007247 MAK 陈子凡 2x150吨小仓方案 报价</t>
        </is>
      </c>
      <c r="G13" s="7" t="inlineStr">
        <is>
          <t>已结项-签约</t>
        </is>
      </c>
    </row>
    <row r="14" ht="22" customHeight="1">
      <c r="A14" s="7" t="inlineStr">
        <is>
          <t>崔阳</t>
        </is>
      </c>
      <c r="B14" s="7" t="inlineStr">
        <is>
          <t>C00006570</t>
        </is>
      </c>
      <c r="C14" s="7" t="inlineStr">
        <is>
          <t>C00006570</t>
        </is>
      </c>
      <c r="D14" s="7" t="n">
        <v>7</v>
      </c>
      <c r="E14" s="7" t="n">
        <v>35</v>
      </c>
      <c r="F14" s="7" t="inlineStr">
        <is>
          <t>C00006570|崔阳|工业|Powerz螺旋输送机采购|方案V1</t>
        </is>
      </c>
      <c r="G14" s="7" t="inlineStr">
        <is>
          <t>进行中</t>
        </is>
      </c>
    </row>
    <row r="15" ht="22" customHeight="1">
      <c r="A15" s="7" t="inlineStr">
        <is>
          <t>崔阳</t>
        </is>
      </c>
      <c r="B15" s="7" t="inlineStr">
        <is>
          <t>C00006570</t>
        </is>
      </c>
      <c r="C15" s="7" t="inlineStr">
        <is>
          <t>C00006570</t>
        </is>
      </c>
      <c r="D15" s="7" t="n">
        <v>7</v>
      </c>
      <c r="E15" s="7" t="n">
        <v>52</v>
      </c>
      <c r="F15" s="7" t="inlineStr">
        <is>
          <t>C00006570|崔阳|工业|POWERZ0508设备采购|方案V1</t>
        </is>
      </c>
      <c r="G15" s="7" t="inlineStr">
        <is>
          <t>已结项-丢单</t>
        </is>
      </c>
    </row>
    <row r="16" ht="22" customHeight="1">
      <c r="A16" s="7" t="inlineStr">
        <is>
          <t>崔阳</t>
        </is>
      </c>
      <c r="B16" s="7" t="inlineStr">
        <is>
          <t>C00006570</t>
        </is>
      </c>
      <c r="C16" s="7" t="inlineStr">
        <is>
          <t>C00006570</t>
        </is>
      </c>
      <c r="D16" s="7" t="n">
        <v>7</v>
      </c>
      <c r="E16" s="7" t="n">
        <v>61</v>
      </c>
      <c r="F16" s="7" t="inlineStr">
        <is>
          <t>C00006570|崔阳|工业|灰渣气力输送项目|方案V1</t>
        </is>
      </c>
      <c r="G16" s="7" t="inlineStr">
        <is>
          <t>已结项-丢单</t>
        </is>
      </c>
    </row>
    <row r="17" ht="22" customHeight="1">
      <c r="A17" s="7" t="inlineStr">
        <is>
          <t>崔阳</t>
        </is>
      </c>
      <c r="B17" s="7" t="inlineStr">
        <is>
          <t>C00006570</t>
        </is>
      </c>
      <c r="C17" s="7" t="inlineStr">
        <is>
          <t>C00006570</t>
        </is>
      </c>
      <c r="D17" s="7" t="n">
        <v>7</v>
      </c>
      <c r="E17" s="7" t="n">
        <v>62</v>
      </c>
      <c r="F17" s="7" t="inlineStr">
        <is>
          <t>C00006570 Powerz 崔阳 工业 底渣输送机 方案V1</t>
        </is>
      </c>
      <c r="G17" s="7" t="inlineStr">
        <is>
          <t>进行中</t>
        </is>
      </c>
    </row>
    <row r="18" ht="22" customHeight="1">
      <c r="A18" s="7" t="inlineStr">
        <is>
          <t>崔阳</t>
        </is>
      </c>
      <c r="B18" s="7" t="inlineStr">
        <is>
          <t>C00006570</t>
        </is>
      </c>
      <c r="C18" s="7" t="inlineStr">
        <is>
          <t>C00006570</t>
        </is>
      </c>
      <c r="D18" s="7" t="n">
        <v>7</v>
      </c>
      <c r="E18" s="7" t="n">
        <v>64</v>
      </c>
      <c r="F18" s="7" t="inlineStr">
        <is>
          <t>C00006570 Powerz 崔阳 工业 旋转给料系统 方案V1</t>
        </is>
      </c>
      <c r="G18" s="7" t="inlineStr">
        <is>
          <t>已结项-丢单</t>
        </is>
      </c>
    </row>
    <row r="19" ht="22" customHeight="1">
      <c r="A19" s="7" t="inlineStr">
        <is>
          <t>崔阳</t>
        </is>
      </c>
      <c r="B19" s="7" t="inlineStr">
        <is>
          <t>C00006570</t>
        </is>
      </c>
      <c r="C19" s="7" t="inlineStr">
        <is>
          <t>C00006570</t>
        </is>
      </c>
      <c r="D19" s="7" t="n">
        <v>7</v>
      </c>
      <c r="E19" s="7" t="n">
        <v>66</v>
      </c>
      <c r="F19" s="7" t="inlineStr">
        <is>
          <t>C00006570 Powerz 崔阳  20260214 旋转阀</t>
        </is>
      </c>
      <c r="G19" s="7" t="inlineStr">
        <is>
          <t>已结项-丢单</t>
        </is>
      </c>
    </row>
    <row r="20" ht="22" customHeight="1">
      <c r="A20" s="7" t="inlineStr">
        <is>
          <t>崔阳</t>
        </is>
      </c>
      <c r="B20" s="7" t="inlineStr">
        <is>
          <t>C00006570</t>
        </is>
      </c>
      <c r="C20" s="7" t="inlineStr">
        <is>
          <t>C00006570</t>
        </is>
      </c>
      <c r="D20" s="7" t="n">
        <v>7</v>
      </c>
      <c r="E20" s="7" t="n">
        <v>71</v>
      </c>
      <c r="F20" s="7" t="inlineStr">
        <is>
          <t>C00006570|崔阳|工业|Powerz输送机采购|方案V1</t>
        </is>
      </c>
      <c r="G20" s="7" t="inlineStr">
        <is>
          <t>已结项-丢单</t>
        </is>
      </c>
    </row>
    <row r="21" ht="22" customHeight="1">
      <c r="A21" s="7" t="inlineStr">
        <is>
          <t>崔阳</t>
        </is>
      </c>
      <c r="B21" s="7" t="inlineStr">
        <is>
          <t>C00007843</t>
        </is>
      </c>
      <c r="C21" s="7" t="inlineStr">
        <is>
          <t>C00007843</t>
        </is>
      </c>
      <c r="D21" s="7" t="n">
        <v>5</v>
      </c>
      <c r="E21" s="7" t="n">
        <v>41</v>
      </c>
      <c r="F21" s="7" t="inlineStr">
        <is>
          <t>C00007843|崔阳|工业|Эннова散装机|方案V1</t>
        </is>
      </c>
      <c r="G21" s="7" t="inlineStr">
        <is>
          <t>进行中</t>
        </is>
      </c>
    </row>
    <row r="22" ht="22" customHeight="1">
      <c r="A22" s="7" t="inlineStr">
        <is>
          <t>崔阳</t>
        </is>
      </c>
      <c r="B22" s="7" t="inlineStr">
        <is>
          <t>C00007843</t>
        </is>
      </c>
      <c r="C22" s="7" t="inlineStr">
        <is>
          <t>C00007843</t>
        </is>
      </c>
      <c r="D22" s="7" t="n">
        <v>5</v>
      </c>
      <c r="E22" s="7" t="n">
        <v>51</v>
      </c>
      <c r="F22" s="7" t="inlineStr">
        <is>
          <t>C00007843|崔阳|工业|Эннова新库兹涅兹克电厂烟气净化与脱硫系统项目|方案V1</t>
        </is>
      </c>
      <c r="G22" s="7" t="inlineStr">
        <is>
          <t>进行中</t>
        </is>
      </c>
    </row>
    <row r="23" ht="22" customHeight="1">
      <c r="A23" s="7" t="inlineStr">
        <is>
          <t>崔阳</t>
        </is>
      </c>
      <c r="B23" s="7" t="inlineStr">
        <is>
          <t>C00007843</t>
        </is>
      </c>
      <c r="C23" s="7" t="inlineStr">
        <is>
          <t>C00007843</t>
        </is>
      </c>
      <c r="D23" s="7" t="n">
        <v>5</v>
      </c>
      <c r="E23" s="7" t="n">
        <v>55</v>
      </c>
      <c r="F23" s="7" t="inlineStr">
        <is>
          <t>C00007843|崔阳|工业|石灰料仓及气力输送设备|方案V1</t>
        </is>
      </c>
      <c r="G23" s="7" t="inlineStr">
        <is>
          <t>已结项-丢单</t>
        </is>
      </c>
    </row>
    <row r="24" ht="22" customHeight="1">
      <c r="A24" s="7" t="inlineStr">
        <is>
          <t>崔阳</t>
        </is>
      </c>
      <c r="B24" s="7" t="inlineStr">
        <is>
          <t>C00007843</t>
        </is>
      </c>
      <c r="C24" s="7" t="inlineStr">
        <is>
          <t>C00007843</t>
        </is>
      </c>
      <c r="D24" s="7" t="n">
        <v>5</v>
      </c>
      <c r="E24" s="7" t="n">
        <v>65</v>
      </c>
      <c r="F24" s="7" t="inlineStr">
        <is>
          <t>C00007843 | 崔阳 | 工业 | 哈萨克热列兹肯特热电站10号机组烟气净化（脱硫，除尘）项目 | 方案V1</t>
        </is>
      </c>
      <c r="G24" s="7" t="inlineStr">
        <is>
          <t>进行中</t>
        </is>
      </c>
    </row>
    <row r="25" ht="22" customHeight="1">
      <c r="A25" s="7" t="inlineStr">
        <is>
          <t>崔阳</t>
        </is>
      </c>
      <c r="B25" s="7" t="inlineStr">
        <is>
          <t>C00007843</t>
        </is>
      </c>
      <c r="C25" s="7" t="inlineStr">
        <is>
          <t>C00007843</t>
        </is>
      </c>
      <c r="D25" s="7" t="n">
        <v>5</v>
      </c>
      <c r="E25" s="7" t="n">
        <v>69</v>
      </c>
      <c r="F25" s="7" t="inlineStr">
        <is>
          <t>C00007843 | 崔阳 | 工业 | 外贝加尔发电厂项目 | 方案</t>
        </is>
      </c>
      <c r="G25" s="7" t="inlineStr">
        <is>
          <t>进行中</t>
        </is>
      </c>
    </row>
    <row r="26" ht="22" customHeight="1">
      <c r="A26" s="7" t="inlineStr">
        <is>
          <t>崔阳</t>
        </is>
      </c>
      <c r="B26" s="7" t="inlineStr">
        <is>
          <t>C00006514</t>
        </is>
      </c>
      <c r="C26" s="7" t="inlineStr">
        <is>
          <t>C00006514</t>
        </is>
      </c>
      <c r="D26" s="7" t="n">
        <v>4</v>
      </c>
      <c r="E26" s="7" t="n">
        <v>39</v>
      </c>
      <c r="F26" s="7" t="inlineStr">
        <is>
          <t>C00006514|崔阳|工业|cotes哈萨克斯坦4个矿石仓项目|方案V1</t>
        </is>
      </c>
      <c r="G26" s="7" t="inlineStr">
        <is>
          <t>进行中</t>
        </is>
      </c>
    </row>
    <row r="27" ht="22" customHeight="1">
      <c r="A27" s="7" t="inlineStr">
        <is>
          <t>崔阳</t>
        </is>
      </c>
      <c r="B27" s="7" t="inlineStr">
        <is>
          <t>C00006514</t>
        </is>
      </c>
      <c r="C27" s="7" t="inlineStr">
        <is>
          <t>C00006514</t>
        </is>
      </c>
      <c r="D27" s="7" t="n">
        <v>4</v>
      </c>
      <c r="E27" s="7" t="n">
        <v>46</v>
      </c>
      <c r="F27" s="7" t="inlineStr">
        <is>
          <t>C00006514|崔阳|工业|cotes烧碱和硫酸钠化工仓|方案V1</t>
        </is>
      </c>
      <c r="G27" s="7" t="inlineStr">
        <is>
          <t>进行中</t>
        </is>
      </c>
    </row>
    <row r="28" ht="22" customHeight="1">
      <c r="A28" s="7" t="inlineStr">
        <is>
          <t>崔阳</t>
        </is>
      </c>
      <c r="B28" s="7" t="inlineStr">
        <is>
          <t>C00006514</t>
        </is>
      </c>
      <c r="C28" s="7" t="inlineStr">
        <is>
          <t>C00006514</t>
        </is>
      </c>
      <c r="D28" s="7" t="n">
        <v>4</v>
      </c>
      <c r="E28" s="7" t="n">
        <v>53</v>
      </c>
      <c r="F28" s="7" t="inlineStr">
        <is>
          <t>C00006514|崔阳|工业|cotes电厂粉煤灰|方案V2</t>
        </is>
      </c>
      <c r="G28" s="7" t="inlineStr">
        <is>
          <t>进行中</t>
        </is>
      </c>
    </row>
    <row r="29" ht="22" customHeight="1">
      <c r="A29" s="7" t="inlineStr">
        <is>
          <t>崔阳</t>
        </is>
      </c>
      <c r="B29" s="7" t="inlineStr">
        <is>
          <t>C00006514</t>
        </is>
      </c>
      <c r="C29" s="7" t="inlineStr">
        <is>
          <t>C00006514</t>
        </is>
      </c>
      <c r="D29" s="7" t="n">
        <v>4</v>
      </c>
      <c r="E29" s="7" t="n">
        <v>67</v>
      </c>
      <c r="F29" s="7" t="inlineStr">
        <is>
          <t>C00006514 KOTEC 崔阳 工业 装配仓 方案V2</t>
        </is>
      </c>
      <c r="G29" s="7" t="inlineStr">
        <is>
          <t>已结项-丢单</t>
        </is>
      </c>
    </row>
    <row r="30" ht="22" customHeight="1">
      <c r="A30" s="7" t="inlineStr">
        <is>
          <t>崔阳</t>
        </is>
      </c>
      <c r="B30" s="7" t="inlineStr">
        <is>
          <t>C00001534</t>
        </is>
      </c>
      <c r="C30" s="7" t="inlineStr">
        <is>
          <t>C00001534</t>
        </is>
      </c>
      <c r="D30" s="7" t="n">
        <v>2</v>
      </c>
      <c r="E30" s="7" t="n">
        <v>48</v>
      </c>
      <c r="F30" s="7" t="inlineStr">
        <is>
          <t>C00001534|崔阳|粮食| 30000吨 SILOS KZ 粮储综合体项目|方案V1</t>
        </is>
      </c>
      <c r="G30" s="7" t="inlineStr">
        <is>
          <t>已结项-丢单</t>
        </is>
      </c>
    </row>
    <row r="31" ht="22" customHeight="1">
      <c r="A31" s="7" t="inlineStr">
        <is>
          <t>崔阳</t>
        </is>
      </c>
      <c r="B31" s="7" t="inlineStr">
        <is>
          <t>C00001534</t>
        </is>
      </c>
      <c r="C31" s="7" t="inlineStr">
        <is>
          <t>C00001534</t>
        </is>
      </c>
      <c r="D31" s="7" t="n">
        <v>2</v>
      </c>
      <c r="E31" s="7" t="n">
        <v>49</v>
      </c>
      <c r="F31" s="7" t="inlineStr">
        <is>
          <t>C00001534|崔阳|粮食| 1000吨小麦仓SILOS KZ 粮仓项目|方案V1</t>
        </is>
      </c>
      <c r="G31" s="7" t="inlineStr">
        <is>
          <t>已结项-丢单</t>
        </is>
      </c>
    </row>
    <row r="32" ht="22" customHeight="1">
      <c r="A32" s="7" t="inlineStr">
        <is>
          <t>崔阳</t>
        </is>
      </c>
      <c r="B32" s="7" t="inlineStr">
        <is>
          <t>C00009055</t>
        </is>
      </c>
      <c r="C32" s="7" t="inlineStr">
        <is>
          <t>C00009055</t>
        </is>
      </c>
      <c r="D32" s="7" t="n">
        <v>2</v>
      </c>
      <c r="E32" s="7" t="n">
        <v>38</v>
      </c>
      <c r="F32" s="7" t="inlineStr">
        <is>
          <t>C00009055 崔阳|工业|CC7 Europe 化工回收项目 |方案V1</t>
        </is>
      </c>
      <c r="G32" s="7" t="inlineStr">
        <is>
          <t>进行中</t>
        </is>
      </c>
    </row>
    <row r="33" ht="22" customHeight="1">
      <c r="A33" s="7" t="inlineStr">
        <is>
          <t>崔阳</t>
        </is>
      </c>
      <c r="B33" s="7" t="inlineStr">
        <is>
          <t>C00009055</t>
        </is>
      </c>
      <c r="C33" s="7" t="inlineStr">
        <is>
          <t>C00009055</t>
        </is>
      </c>
      <c r="D33" s="7" t="n">
        <v>2</v>
      </c>
      <c r="E33" s="7" t="n">
        <v>44</v>
      </c>
      <c r="F33" s="7" t="inlineStr">
        <is>
          <t>C00009055 崔阳|工业|CC7 Europe 石灰给料包项目 |方案V1</t>
        </is>
      </c>
      <c r="G33" s="7" t="inlineStr">
        <is>
          <t>进行中</t>
        </is>
      </c>
    </row>
    <row r="34" ht="22" customHeight="1">
      <c r="A34" s="7" t="inlineStr">
        <is>
          <t>崔阳</t>
        </is>
      </c>
      <c r="B34" s="7" t="inlineStr">
        <is>
          <t>C00009506</t>
        </is>
      </c>
      <c r="C34" s="7" t="inlineStr">
        <is>
          <t>C00009506</t>
        </is>
      </c>
      <c r="D34" s="7" t="n">
        <v>2</v>
      </c>
      <c r="E34" s="7" t="n">
        <v>42</v>
      </c>
      <c r="F34" s="7" t="inlineStr">
        <is>
          <t>C00009506  |崔阳|粮食| RUSAGRO农作物种子加工厂项目|方案V1</t>
        </is>
      </c>
      <c r="G34" s="7" t="inlineStr">
        <is>
          <t>进行中</t>
        </is>
      </c>
    </row>
    <row r="35" ht="22" customHeight="1">
      <c r="A35" s="7" t="inlineStr">
        <is>
          <t>崔阳</t>
        </is>
      </c>
      <c r="B35" s="7" t="inlineStr">
        <is>
          <t>C00009506</t>
        </is>
      </c>
      <c r="C35" s="7" t="inlineStr">
        <is>
          <t>C00009506</t>
        </is>
      </c>
      <c r="D35" s="7" t="n">
        <v>2</v>
      </c>
      <c r="E35" s="7" t="n">
        <v>70</v>
      </c>
      <c r="F35" s="7" t="inlineStr">
        <is>
          <t>C00009506|崔阳|粮食| RUSAGRO大豆深度加工综合生产线|方案V1</t>
        </is>
      </c>
      <c r="G35" s="7" t="inlineStr">
        <is>
          <t>进行中</t>
        </is>
      </c>
    </row>
    <row r="36" ht="22" customHeight="1">
      <c r="A36" s="7" t="inlineStr">
        <is>
          <t>冯乐</t>
        </is>
      </c>
      <c r="B36" s="7" t="inlineStr">
        <is>
          <t>C00009344</t>
        </is>
      </c>
      <c r="C36" s="7" t="inlineStr">
        <is>
          <t>C00009344</t>
        </is>
      </c>
      <c r="D36" s="7" t="n">
        <v>2</v>
      </c>
      <c r="E36" s="7" t="n">
        <v>75</v>
      </c>
      <c r="F36" s="7" t="inlineStr">
        <is>
          <t>C00009344｜冯乐｜工业｜土库曼斯坦火车装载料斗项目｜方案V1</t>
        </is>
      </c>
      <c r="G36" s="7" t="inlineStr">
        <is>
          <t>进行中</t>
        </is>
      </c>
    </row>
    <row r="37" ht="22" customHeight="1">
      <c r="A37" s="7" t="inlineStr">
        <is>
          <t>冯乐</t>
        </is>
      </c>
      <c r="B37" s="7" t="inlineStr">
        <is>
          <t>C00009344</t>
        </is>
      </c>
      <c r="C37" s="7" t="inlineStr">
        <is>
          <t>C00009344</t>
        </is>
      </c>
      <c r="D37" s="7" t="n">
        <v>2</v>
      </c>
      <c r="E37" s="7" t="n">
        <v>77</v>
      </c>
      <c r="F37" s="7" t="inlineStr">
        <is>
          <t>C00009344｜冯乐｜新疆｜PP掺混料仓×10+PE掺混料仓×10项目｜方案V1</t>
        </is>
      </c>
      <c r="G37" s="7" t="inlineStr">
        <is>
          <t>进行中</t>
        </is>
      </c>
    </row>
    <row r="38" ht="22" customHeight="1">
      <c r="A38" s="7" t="inlineStr">
        <is>
          <t>韩鸿彪</t>
        </is>
      </c>
      <c r="B38" s="7" t="inlineStr">
        <is>
          <t>C00008036</t>
        </is>
      </c>
      <c r="C38" s="7" t="inlineStr">
        <is>
          <t>C00008036</t>
        </is>
      </c>
      <c r="D38" s="7" t="n">
        <v>4</v>
      </c>
      <c r="E38" s="7" t="n">
        <v>84</v>
      </c>
      <c r="F38" s="7" t="inlineStr">
        <is>
          <t>C00008036/韩鸿彪/越南QNC料场项目/方案V2</t>
        </is>
      </c>
      <c r="G38" s="7" t="inlineStr">
        <is>
          <t>暂停</t>
        </is>
      </c>
    </row>
    <row r="39" ht="22" customHeight="1">
      <c r="A39" s="7" t="inlineStr">
        <is>
          <t>韩鸿彪</t>
        </is>
      </c>
      <c r="B39" s="7" t="inlineStr">
        <is>
          <t>C00008036</t>
        </is>
      </c>
      <c r="C39" s="7" t="inlineStr">
        <is>
          <t>C00008036</t>
        </is>
      </c>
      <c r="D39" s="7" t="n">
        <v>4</v>
      </c>
      <c r="E39" s="7" t="n">
        <v>86</v>
      </c>
      <c r="F39" s="7" t="inlineStr">
        <is>
          <t>C00008036|韩鸿彪|工业|越南QNC-Halong2x1500T水泥仓方案V2</t>
        </is>
      </c>
      <c r="G39" s="7" t="inlineStr">
        <is>
          <t>进行中</t>
        </is>
      </c>
    </row>
    <row r="40" ht="22" customHeight="1">
      <c r="A40" s="7" t="inlineStr">
        <is>
          <t>韩鸿彪</t>
        </is>
      </c>
      <c r="B40" s="7" t="inlineStr">
        <is>
          <t>C00008036</t>
        </is>
      </c>
      <c r="C40" s="7" t="inlineStr">
        <is>
          <t>C00008036</t>
        </is>
      </c>
      <c r="D40" s="7" t="n">
        <v>4</v>
      </c>
      <c r="E40" s="7" t="n">
        <v>89</v>
      </c>
      <c r="F40" s="7" t="inlineStr">
        <is>
          <t>C00008036 韩鸿彪 越南 4x6000T筒仓系统配套输送设备方案 V5</t>
        </is>
      </c>
      <c r="G40" s="7" t="inlineStr">
        <is>
          <t>进行中</t>
        </is>
      </c>
    </row>
    <row r="41" ht="22" customHeight="1">
      <c r="A41" s="7" t="inlineStr">
        <is>
          <t>韩鸿彪</t>
        </is>
      </c>
      <c r="B41" s="7" t="inlineStr">
        <is>
          <t>C00008036</t>
        </is>
      </c>
      <c r="C41" s="7" t="inlineStr">
        <is>
          <t>C00008036</t>
        </is>
      </c>
      <c r="D41" s="7" t="n">
        <v>4</v>
      </c>
      <c r="E41" s="7" t="n">
        <v>92</v>
      </c>
      <c r="F41" s="7" t="inlineStr">
        <is>
          <t>C00008036|韩鸿彪|工业|越南QNC船对船水泥输送系统|方案V1</t>
        </is>
      </c>
      <c r="G41" s="7" t="inlineStr">
        <is>
          <t>暂停</t>
        </is>
      </c>
    </row>
    <row r="42" ht="22" customHeight="1">
      <c r="A42" s="7" t="inlineStr">
        <is>
          <t>司斌</t>
        </is>
      </c>
      <c r="B42" s="7" t="inlineStr">
        <is>
          <t>C00008345</t>
        </is>
      </c>
      <c r="C42" s="7" t="inlineStr">
        <is>
          <t>C00008345</t>
        </is>
      </c>
      <c r="D42" s="7" t="n">
        <v>3</v>
      </c>
      <c r="E42" s="7" t="n">
        <v>125</v>
      </c>
      <c r="F42" s="7" t="inlineStr">
        <is>
          <t>C00008345｜司斌｜粮食｜咖啡仓方仓 |方案V1</t>
        </is>
      </c>
      <c r="G42" s="7" t="inlineStr">
        <is>
          <t>进行中</t>
        </is>
      </c>
    </row>
    <row r="43" ht="22" customHeight="1">
      <c r="A43" s="7" t="inlineStr">
        <is>
          <t>司斌</t>
        </is>
      </c>
      <c r="B43" s="7" t="inlineStr">
        <is>
          <t>C00008345</t>
        </is>
      </c>
      <c r="C43" s="7" t="inlineStr">
        <is>
          <t>C00008345</t>
        </is>
      </c>
      <c r="D43" s="7" t="n">
        <v>3</v>
      </c>
      <c r="E43" s="7" t="n">
        <v>127</v>
      </c>
      <c r="F43" s="7" t="inlineStr">
        <is>
          <t>C00008345｜司斌｜粮食｜咖啡缓冲斗｜方案V1</t>
        </is>
      </c>
      <c r="G43" s="7" t="inlineStr">
        <is>
          <t>进行中</t>
        </is>
      </c>
    </row>
    <row r="44" ht="22" customHeight="1">
      <c r="A44" s="7" t="inlineStr">
        <is>
          <t>司斌</t>
        </is>
      </c>
      <c r="B44" s="7" t="inlineStr">
        <is>
          <t>C00008345</t>
        </is>
      </c>
      <c r="C44" s="7" t="inlineStr">
        <is>
          <t>C00008345</t>
        </is>
      </c>
      <c r="D44" s="7" t="n">
        <v>3</v>
      </c>
      <c r="E44" s="7" t="n">
        <v>136</v>
      </c>
      <c r="F44" s="7" t="inlineStr">
        <is>
          <t>C00008345｜司斌｜粮食｜Probat国内咖啡仓方仓 |方案V1</t>
        </is>
      </c>
      <c r="G44" s="7" t="inlineStr">
        <is>
          <t>进行中</t>
        </is>
      </c>
    </row>
    <row r="45" ht="22" customHeight="1">
      <c r="A45" s="7" t="inlineStr">
        <is>
          <t>尹韬越</t>
        </is>
      </c>
      <c r="B45" s="7" t="inlineStr">
        <is>
          <t>C00008577</t>
        </is>
      </c>
      <c r="C45" s="7" t="inlineStr">
        <is>
          <t>C00008577</t>
        </is>
      </c>
      <c r="D45" s="7" t="n">
        <v>2</v>
      </c>
      <c r="E45" s="7" t="n">
        <v>156</v>
      </c>
      <c r="F45" s="7" t="inlineStr">
        <is>
          <t>C00008577｜尹韬越｜粮食｜哈萨克斯坦4×3500吨粮食项目｜方案V2</t>
        </is>
      </c>
      <c r="G45" s="7" t="inlineStr">
        <is>
          <t>进行中</t>
        </is>
      </c>
    </row>
    <row r="46" ht="22" customHeight="1">
      <c r="A46" s="7" t="inlineStr">
        <is>
          <t>尹韬越</t>
        </is>
      </c>
      <c r="B46" s="7" t="inlineStr">
        <is>
          <t>C00008577</t>
        </is>
      </c>
      <c r="C46" s="7" t="inlineStr">
        <is>
          <t>C00008577</t>
        </is>
      </c>
      <c r="D46" s="7" t="n">
        <v>2</v>
      </c>
      <c r="E46" s="7" t="n">
        <v>158</v>
      </c>
      <c r="F46" s="7" t="inlineStr">
        <is>
          <t>C00008577 尹韬越哈萨克斯坦4×3500吨粮食项目 方案1</t>
        </is>
      </c>
      <c r="G46" s="7" t="inlineStr">
        <is>
          <t>进行中</t>
        </is>
      </c>
    </row>
  </sheetData>
  <autoFilter ref="A1:G4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0" customWidth="1" min="5" max="5"/>
    <col width="14" customWidth="1" min="6" max="6"/>
  </cols>
  <sheetData>
    <row r="1" ht="32" customHeight="1">
      <c r="A1" s="54" t="inlineStr">
        <is>
          <t>排名</t>
        </is>
      </c>
      <c r="B1" s="54" t="inlineStr">
        <is>
          <t>业务员</t>
        </is>
      </c>
      <c r="C1" s="54" t="inlineStr">
        <is>
          <t>条/客</t>
        </is>
      </c>
      <c r="D1" s="54" t="inlineStr">
        <is>
          <t>提报任务数</t>
        </is>
      </c>
      <c r="E1" s="54" t="inlineStr">
        <is>
          <t>客户数</t>
        </is>
      </c>
      <c r="F1" s="54" t="inlineStr">
        <is>
          <t>类型</t>
        </is>
      </c>
    </row>
    <row r="2" ht="22" customHeight="1">
      <c r="A2" t="n">
        <v>1</v>
      </c>
      <c r="B2" t="inlineStr">
        <is>
          <t>崔阳</t>
        </is>
      </c>
      <c r="C2" t="n">
        <v>1.73</v>
      </c>
      <c r="D2" t="n">
        <v>38</v>
      </c>
      <c r="E2" t="n">
        <v>22</v>
      </c>
      <c r="F2" t="inlineStr">
        <is>
          <t>拆单注水</t>
        </is>
      </c>
    </row>
    <row r="3" ht="22" customHeight="1">
      <c r="A3" t="n">
        <v>2</v>
      </c>
      <c r="B3" t="inlineStr">
        <is>
          <t>韩鸿彪</t>
        </is>
      </c>
      <c r="C3" t="n">
        <v>1.38</v>
      </c>
      <c r="D3" t="n">
        <v>11</v>
      </c>
      <c r="E3" t="n">
        <v>8</v>
      </c>
      <c r="F3" t="inlineStr">
        <is>
          <t>基本盘深挖</t>
        </is>
      </c>
    </row>
    <row r="4" ht="22" customHeight="1">
      <c r="A4" t="n">
        <v>3</v>
      </c>
      <c r="B4" t="inlineStr">
        <is>
          <t>陈子凡</t>
        </is>
      </c>
      <c r="C4" t="n">
        <v>1.33</v>
      </c>
      <c r="D4" t="n">
        <v>16</v>
      </c>
      <c r="E4" t="n">
        <v>12</v>
      </c>
      <c r="F4" t="inlineStr">
        <is>
          <t>基本盘深挖</t>
        </is>
      </c>
    </row>
    <row r="5" ht="22" customHeight="1">
      <c r="A5" t="n">
        <v>4</v>
      </c>
      <c r="B5" t="inlineStr">
        <is>
          <t>陈辉</t>
        </is>
      </c>
      <c r="C5" t="n">
        <v>1.31</v>
      </c>
      <c r="D5" t="n">
        <v>17</v>
      </c>
      <c r="E5" t="n">
        <v>13</v>
      </c>
      <c r="F5" t="inlineStr">
        <is>
          <t>渠道多询</t>
        </is>
      </c>
    </row>
    <row r="6" ht="22" customHeight="1">
      <c r="A6" t="n">
        <v>5</v>
      </c>
      <c r="B6" t="inlineStr">
        <is>
          <t>冯乐</t>
        </is>
      </c>
      <c r="C6" t="n">
        <v>1.2</v>
      </c>
      <c r="D6" t="n">
        <v>6</v>
      </c>
      <c r="E6" t="n">
        <v>5</v>
      </c>
      <c r="F6" t="inlineStr">
        <is>
          <t>样本小</t>
        </is>
      </c>
    </row>
    <row r="7" ht="22" customHeight="1">
      <c r="A7" t="n">
        <v>6</v>
      </c>
      <c r="B7" t="inlineStr">
        <is>
          <t>司斌</t>
        </is>
      </c>
      <c r="C7" t="n">
        <v>1.13</v>
      </c>
      <c r="D7" t="n">
        <v>17</v>
      </c>
      <c r="E7" t="n">
        <v>15</v>
      </c>
      <c r="F7" t="inlineStr">
        <is>
          <t>局部拆单</t>
        </is>
      </c>
    </row>
    <row r="8" ht="22" customHeight="1">
      <c r="A8" t="n">
        <v>7</v>
      </c>
      <c r="B8" t="inlineStr">
        <is>
          <t>尹韬越</t>
        </is>
      </c>
      <c r="C8" t="n">
        <v>1.08</v>
      </c>
      <c r="D8" t="n">
        <v>13</v>
      </c>
      <c r="E8" t="n">
        <v>12</v>
      </c>
      <c r="F8" t="inlineStr">
        <is>
          <t>接近一人一客</t>
        </is>
      </c>
    </row>
    <row r="9" ht="22" customHeight="1">
      <c r="A9" t="n">
        <v>8</v>
      </c>
      <c r="B9" t="inlineStr">
        <is>
          <t>苗恒</t>
        </is>
      </c>
      <c r="C9" t="n">
        <v>1</v>
      </c>
      <c r="D9" t="n">
        <v>18</v>
      </c>
      <c r="E9" t="n">
        <v>18</v>
      </c>
      <c r="F9" t="inlineStr">
        <is>
          <t>广撒网</t>
        </is>
      </c>
    </row>
    <row r="10" ht="22" customHeight="1">
      <c r="A10" t="n">
        <v>9</v>
      </c>
      <c r="B10" t="inlineStr">
        <is>
          <t>马鹏飞</t>
        </is>
      </c>
      <c r="C10" t="n">
        <v>1</v>
      </c>
      <c r="D10" t="n">
        <v>11</v>
      </c>
      <c r="E10" t="n">
        <v>11</v>
      </c>
      <c r="F10" t="inlineStr">
        <is>
          <t>广撒网</t>
        </is>
      </c>
    </row>
    <row r="11" ht="22" customHeight="1">
      <c r="A11" t="n">
        <v>10</v>
      </c>
      <c r="B11" t="inlineStr">
        <is>
          <t>王伟乐</t>
        </is>
      </c>
      <c r="C11" t="n">
        <v>1</v>
      </c>
      <c r="D11" t="n">
        <v>8</v>
      </c>
      <c r="E11" t="n">
        <v>8</v>
      </c>
      <c r="F11" t="inlineStr">
        <is>
          <t>广撒网</t>
        </is>
      </c>
    </row>
    <row r="12" ht="22" customHeight="1">
      <c r="A12" t="n">
        <v>11</v>
      </c>
      <c r="B12" t="inlineStr">
        <is>
          <t>张硕</t>
        </is>
      </c>
      <c r="C12" t="n">
        <v>1</v>
      </c>
      <c r="D12" t="n">
        <v>5</v>
      </c>
      <c r="E12" t="n">
        <v>5</v>
      </c>
      <c r="F12" t="inlineStr">
        <is>
          <t>广撒网</t>
        </is>
      </c>
    </row>
    <row r="13" ht="22" customHeight="1">
      <c r="A13" t="n">
        <v>11</v>
      </c>
      <c r="B13" t="inlineStr">
        <is>
          <t>王伟超</t>
        </is>
      </c>
      <c r="C13" t="n">
        <v>1</v>
      </c>
      <c r="D13" t="n">
        <v>5</v>
      </c>
      <c r="E13" t="n">
        <v>5</v>
      </c>
      <c r="F13" t="inlineStr">
        <is>
          <t>广撒网</t>
        </is>
      </c>
    </row>
    <row r="14">
      <c r="A14" t="inlineStr"/>
      <c r="B14" t="inlineStr">
        <is>
          <t>合计</t>
        </is>
      </c>
      <c r="C14" t="n">
        <v>1.23</v>
      </c>
      <c r="D14" t="n">
        <v>165</v>
      </c>
      <c r="E14" t="n">
        <v>134</v>
      </c>
      <c r="F1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2" customHeight="1">
      <c r="A1" s="6" t="inlineStr">
        <is>
          <t>业务员</t>
        </is>
      </c>
      <c r="B1" s="6" t="inlineStr">
        <is>
          <t>提报</t>
        </is>
      </c>
      <c r="C1" s="6" t="inlineStr">
        <is>
          <t>客户</t>
        </is>
      </c>
      <c r="D1" s="6" t="inlineStr">
        <is>
          <t>签约</t>
        </is>
      </c>
      <c r="E1" s="6" t="inlineStr">
        <is>
          <t>有效在手</t>
        </is>
      </c>
      <c r="F1" s="6" t="inlineStr">
        <is>
          <t>有效项目</t>
        </is>
      </c>
      <c r="G1" s="6" t="inlineStr">
        <is>
          <t>有效项目率</t>
        </is>
      </c>
      <c r="H1" s="6" t="inlineStr">
        <is>
          <t>每客户有效项目</t>
        </is>
      </c>
      <c r="I1" s="6" t="inlineStr">
        <is>
          <t>进行中跟住率</t>
        </is>
      </c>
      <c r="J1" s="6" t="inlineStr">
        <is>
          <t>注水条数</t>
        </is>
      </c>
      <c r="K1" s="6" t="inlineStr">
        <is>
          <t>注水率</t>
        </is>
      </c>
      <c r="L1" s="6" t="inlineStr">
        <is>
          <t>重点</t>
        </is>
      </c>
      <c r="M1" s="6" t="inlineStr">
        <is>
          <t>重点有效</t>
        </is>
      </c>
      <c r="N1" s="6" t="inlineStr">
        <is>
          <t>样本不足</t>
        </is>
      </c>
      <c r="O1" s="6" t="inlineStr">
        <is>
          <t>成色榜</t>
        </is>
      </c>
      <c r="P1" s="6" t="inlineStr">
        <is>
          <t>火力榜</t>
        </is>
      </c>
      <c r="Q1" s="6" t="inlineStr">
        <is>
          <t>客户产出榜</t>
        </is>
      </c>
      <c r="R1" s="6" t="inlineStr">
        <is>
          <t>注水榜（越高越差）</t>
        </is>
      </c>
    </row>
    <row r="2" ht="22" customHeight="1">
      <c r="A2" s="31" t="inlineStr">
        <is>
          <t>崔阳</t>
        </is>
      </c>
      <c r="B2" s="31" t="n">
        <v>38</v>
      </c>
      <c r="C2" s="31" t="n">
        <v>22</v>
      </c>
      <c r="D2" s="31" t="n">
        <v>0</v>
      </c>
      <c r="E2" s="31" t="n">
        <v>5</v>
      </c>
      <c r="F2" s="31" t="n">
        <v>5</v>
      </c>
      <c r="G2" s="32" t="n">
        <v>0.131578947368421</v>
      </c>
      <c r="H2" s="33" t="n">
        <v>0.2272727272727273</v>
      </c>
      <c r="I2" s="32" t="n">
        <v>0.2631578947368421</v>
      </c>
      <c r="J2" s="31" t="n">
        <v>6</v>
      </c>
      <c r="K2" s="32" t="n">
        <v>0.1578947368421053</v>
      </c>
      <c r="L2" s="31" t="n">
        <v>1</v>
      </c>
      <c r="M2" s="31" t="n">
        <v>0</v>
      </c>
      <c r="N2" s="31" t="inlineStr"/>
      <c r="O2" s="31" t="n">
        <v>5</v>
      </c>
      <c r="P2" s="31" t="n">
        <v>2</v>
      </c>
      <c r="Q2" s="31" t="n">
        <v>5</v>
      </c>
      <c r="R2" s="31" t="n">
        <v>6</v>
      </c>
    </row>
    <row r="3" ht="22" customHeight="1">
      <c r="A3" s="31" t="inlineStr">
        <is>
          <t>苗恒</t>
        </is>
      </c>
      <c r="B3" s="31" t="n">
        <v>18</v>
      </c>
      <c r="C3" s="31" t="n">
        <v>18</v>
      </c>
      <c r="D3" s="31" t="n">
        <v>0</v>
      </c>
      <c r="E3" s="31" t="n">
        <v>5</v>
      </c>
      <c r="F3" s="31" t="n">
        <v>5</v>
      </c>
      <c r="G3" s="32" t="n">
        <v>0.2777777777777778</v>
      </c>
      <c r="H3" s="33" t="n">
        <v>0.2777777777777778</v>
      </c>
      <c r="I3" s="32" t="n">
        <v>0.7142857142857143</v>
      </c>
      <c r="J3" s="31" t="n">
        <v>2</v>
      </c>
      <c r="K3" s="32" t="n">
        <v>0.1111111111111111</v>
      </c>
      <c r="L3" s="31" t="n">
        <v>2</v>
      </c>
      <c r="M3" s="31" t="n">
        <v>1</v>
      </c>
      <c r="N3" s="31" t="inlineStr"/>
      <c r="O3" s="31" t="n">
        <v>2</v>
      </c>
      <c r="P3" s="31" t="n">
        <v>1</v>
      </c>
      <c r="Q3" s="31" t="n">
        <v>3</v>
      </c>
      <c r="R3" s="31" t="n">
        <v>7</v>
      </c>
    </row>
    <row r="4" ht="22" customHeight="1">
      <c r="A4" s="31" t="inlineStr">
        <is>
          <t>司斌</t>
        </is>
      </c>
      <c r="B4" s="31" t="n">
        <v>17</v>
      </c>
      <c r="C4" s="31" t="n">
        <v>15</v>
      </c>
      <c r="D4" s="31" t="n">
        <v>0</v>
      </c>
      <c r="E4" s="31" t="n">
        <v>1</v>
      </c>
      <c r="F4" s="31" t="n">
        <v>1</v>
      </c>
      <c r="G4" s="32" t="n">
        <v>0.05882352941176471</v>
      </c>
      <c r="H4" s="33" t="n">
        <v>0.06666666666666667</v>
      </c>
      <c r="I4" s="32" t="n">
        <v>0.09090909090909091</v>
      </c>
      <c r="J4" s="31" t="n">
        <v>10</v>
      </c>
      <c r="K4" s="32" t="n">
        <v>0.5882352941176471</v>
      </c>
      <c r="L4" s="31" t="n">
        <v>1</v>
      </c>
      <c r="M4" s="31" t="n">
        <v>1</v>
      </c>
      <c r="N4" s="31" t="inlineStr"/>
      <c r="O4" s="31" t="n">
        <v>9</v>
      </c>
      <c r="P4" s="31" t="n">
        <v>9</v>
      </c>
      <c r="Q4" s="31" t="n">
        <v>9</v>
      </c>
      <c r="R4" s="31" t="n">
        <v>1</v>
      </c>
    </row>
    <row r="5" ht="22" customHeight="1">
      <c r="A5" s="31" t="inlineStr">
        <is>
          <t>陈辉</t>
        </is>
      </c>
      <c r="B5" s="31" t="n">
        <v>17</v>
      </c>
      <c r="C5" s="31" t="n">
        <v>13</v>
      </c>
      <c r="D5" s="31" t="n">
        <v>0</v>
      </c>
      <c r="E5" s="31" t="n">
        <v>3</v>
      </c>
      <c r="F5" s="31" t="n">
        <v>3</v>
      </c>
      <c r="G5" s="32" t="n">
        <v>0.1764705882352941</v>
      </c>
      <c r="H5" s="33" t="n">
        <v>0.2307692307692308</v>
      </c>
      <c r="I5" s="32" t="n">
        <v>0.25</v>
      </c>
      <c r="J5" s="31" t="n">
        <v>7</v>
      </c>
      <c r="K5" s="32" t="n">
        <v>0.4117647058823529</v>
      </c>
      <c r="L5" s="31" t="n">
        <v>3</v>
      </c>
      <c r="M5" s="31" t="n">
        <v>2</v>
      </c>
      <c r="N5" s="31" t="inlineStr"/>
      <c r="O5" s="31" t="n">
        <v>4</v>
      </c>
      <c r="P5" s="31" t="n">
        <v>5</v>
      </c>
      <c r="Q5" s="31" t="n">
        <v>4</v>
      </c>
      <c r="R5" s="31" t="n">
        <v>2</v>
      </c>
    </row>
    <row r="6" ht="22" customHeight="1">
      <c r="A6" s="31" t="inlineStr">
        <is>
          <t>陈子凡</t>
        </is>
      </c>
      <c r="B6" s="31" t="n">
        <v>16</v>
      </c>
      <c r="C6" s="31" t="n">
        <v>12</v>
      </c>
      <c r="D6" s="31" t="n">
        <v>1</v>
      </c>
      <c r="E6" s="31" t="n">
        <v>3</v>
      </c>
      <c r="F6" s="31" t="n">
        <v>4</v>
      </c>
      <c r="G6" s="32" t="n">
        <v>0.25</v>
      </c>
      <c r="H6" s="33" t="n">
        <v>0.3333333333333333</v>
      </c>
      <c r="I6" s="32" t="n">
        <v>0.375</v>
      </c>
      <c r="J6" s="31" t="n">
        <v>3</v>
      </c>
      <c r="K6" s="32" t="n">
        <v>0.1875</v>
      </c>
      <c r="L6" s="31" t="n">
        <v>4</v>
      </c>
      <c r="M6" s="31" t="n">
        <v>4</v>
      </c>
      <c r="N6" s="31" t="inlineStr"/>
      <c r="O6" s="31" t="n">
        <v>3</v>
      </c>
      <c r="P6" s="31" t="n">
        <v>4</v>
      </c>
      <c r="Q6" s="31" t="n">
        <v>2</v>
      </c>
      <c r="R6" s="31" t="n">
        <v>5</v>
      </c>
    </row>
    <row r="7" ht="22" customHeight="1">
      <c r="A7" s="31" t="inlineStr">
        <is>
          <t>尹韬越</t>
        </is>
      </c>
      <c r="B7" s="31" t="n">
        <v>13</v>
      </c>
      <c r="C7" s="31" t="n">
        <v>12</v>
      </c>
      <c r="D7" s="31" t="n">
        <v>0</v>
      </c>
      <c r="E7" s="31" t="n">
        <v>1</v>
      </c>
      <c r="F7" s="31" t="n">
        <v>1</v>
      </c>
      <c r="G7" s="32" t="n">
        <v>0.07692307692307693</v>
      </c>
      <c r="H7" s="33" t="n">
        <v>0.08333333333333333</v>
      </c>
      <c r="I7" s="32" t="n">
        <v>0.25</v>
      </c>
      <c r="J7" s="31" t="n">
        <v>3</v>
      </c>
      <c r="K7" s="32" t="n">
        <v>0.2307692307692308</v>
      </c>
      <c r="L7" s="31" t="n">
        <v>0</v>
      </c>
      <c r="M7" s="31" t="n">
        <v>0</v>
      </c>
      <c r="N7" s="31" t="inlineStr"/>
      <c r="O7" s="31" t="n">
        <v>8</v>
      </c>
      <c r="P7" s="31" t="n">
        <v>8</v>
      </c>
      <c r="Q7" s="31" t="n">
        <v>8</v>
      </c>
      <c r="R7" s="31" t="n">
        <v>4</v>
      </c>
    </row>
    <row r="8" ht="22" customHeight="1">
      <c r="A8" s="31" t="inlineStr">
        <is>
          <t>韩鸿彪</t>
        </is>
      </c>
      <c r="B8" s="31" t="n">
        <v>11</v>
      </c>
      <c r="C8" s="31" t="n">
        <v>8</v>
      </c>
      <c r="D8" s="31" t="n">
        <v>0</v>
      </c>
      <c r="E8" s="31" t="n">
        <v>4</v>
      </c>
      <c r="F8" s="31" t="n">
        <v>4</v>
      </c>
      <c r="G8" s="32" t="n">
        <v>0.3636363636363636</v>
      </c>
      <c r="H8" s="33" t="n">
        <v>0.5</v>
      </c>
      <c r="I8" s="32" t="n">
        <v>0.6666666666666666</v>
      </c>
      <c r="J8" s="31" t="n">
        <v>1</v>
      </c>
      <c r="K8" s="32" t="n">
        <v>0.09090909090909091</v>
      </c>
      <c r="L8" s="31" t="n">
        <v>0</v>
      </c>
      <c r="M8" s="31" t="n">
        <v>0</v>
      </c>
      <c r="N8" s="31" t="inlineStr"/>
      <c r="O8" s="31" t="n">
        <v>1</v>
      </c>
      <c r="P8" s="31" t="n">
        <v>3</v>
      </c>
      <c r="Q8" s="31" t="n">
        <v>1</v>
      </c>
      <c r="R8" s="31" t="n">
        <v>8</v>
      </c>
    </row>
    <row r="9" ht="22" customHeight="1">
      <c r="A9" s="31" t="inlineStr">
        <is>
          <t>马鹏飞</t>
        </is>
      </c>
      <c r="B9" s="31" t="n">
        <v>11</v>
      </c>
      <c r="C9" s="31" t="n">
        <v>11</v>
      </c>
      <c r="D9" s="31" t="n">
        <v>0</v>
      </c>
      <c r="E9" s="31" t="n">
        <v>1</v>
      </c>
      <c r="F9" s="31" t="n">
        <v>1</v>
      </c>
      <c r="G9" s="32" t="n">
        <v>0.09090909090909091</v>
      </c>
      <c r="H9" s="33" t="n">
        <v>0.09090909090909091</v>
      </c>
      <c r="I9" s="32" t="n">
        <v>0.25</v>
      </c>
      <c r="J9" s="31" t="n">
        <v>0</v>
      </c>
      <c r="K9" s="32" t="n">
        <v>0</v>
      </c>
      <c r="L9" s="31" t="n">
        <v>0</v>
      </c>
      <c r="M9" s="31" t="n">
        <v>0</v>
      </c>
      <c r="N9" s="31" t="inlineStr"/>
      <c r="O9" s="31" t="n">
        <v>7</v>
      </c>
      <c r="P9" s="31" t="n">
        <v>7</v>
      </c>
      <c r="Q9" s="31" t="n">
        <v>7</v>
      </c>
      <c r="R9" s="31" t="n">
        <v>9</v>
      </c>
    </row>
    <row r="10" ht="22" customHeight="1">
      <c r="A10" s="31" t="inlineStr">
        <is>
          <t>王伟乐</t>
        </is>
      </c>
      <c r="B10" s="31" t="n">
        <v>8</v>
      </c>
      <c r="C10" s="31" t="n">
        <v>8</v>
      </c>
      <c r="D10" s="31" t="n">
        <v>0</v>
      </c>
      <c r="E10" s="31" t="n">
        <v>1</v>
      </c>
      <c r="F10" s="31" t="n">
        <v>1</v>
      </c>
      <c r="G10" s="32" t="n">
        <v>0.125</v>
      </c>
      <c r="H10" s="33" t="n">
        <v>0.125</v>
      </c>
      <c r="I10" s="32" t="n">
        <v>0.25</v>
      </c>
      <c r="J10" s="31" t="n">
        <v>2</v>
      </c>
      <c r="K10" s="32" t="n">
        <v>0.25</v>
      </c>
      <c r="L10" s="31" t="n">
        <v>2</v>
      </c>
      <c r="M10" s="31" t="n">
        <v>1</v>
      </c>
      <c r="N10" s="31" t="inlineStr"/>
      <c r="O10" s="31" t="n">
        <v>6</v>
      </c>
      <c r="P10" s="31" t="n">
        <v>6</v>
      </c>
      <c r="Q10" s="31" t="n">
        <v>6</v>
      </c>
      <c r="R10" s="31" t="n">
        <v>3</v>
      </c>
    </row>
    <row r="11" ht="22" customHeight="1">
      <c r="A11" s="31" t="inlineStr">
        <is>
          <t>冯乐</t>
        </is>
      </c>
      <c r="B11" s="31" t="n">
        <v>6</v>
      </c>
      <c r="C11" s="31" t="n">
        <v>5</v>
      </c>
      <c r="D11" s="31" t="n">
        <v>0</v>
      </c>
      <c r="E11" s="31" t="n">
        <v>2</v>
      </c>
      <c r="F11" s="31" t="n">
        <v>2</v>
      </c>
      <c r="G11" s="32" t="n">
        <v>0.3333333333333333</v>
      </c>
      <c r="H11" s="33" t="n">
        <v>0.4</v>
      </c>
      <c r="I11" s="32" t="n">
        <v>0.3333333333333333</v>
      </c>
      <c r="J11" s="31" t="n">
        <v>2</v>
      </c>
      <c r="K11" s="32" t="n">
        <v>0.3333333333333333</v>
      </c>
      <c r="L11" s="31" t="n">
        <v>1</v>
      </c>
      <c r="M11" s="31" t="n">
        <v>1</v>
      </c>
      <c r="N11" s="31" t="inlineStr">
        <is>
          <t>是</t>
        </is>
      </c>
      <c r="O11" s="31" t="inlineStr">
        <is>
          <t>—</t>
        </is>
      </c>
      <c r="P11" s="31" t="inlineStr">
        <is>
          <t>—</t>
        </is>
      </c>
      <c r="Q11" s="31" t="inlineStr">
        <is>
          <t>—</t>
        </is>
      </c>
      <c r="R11" s="31" t="inlineStr">
        <is>
          <t>—</t>
        </is>
      </c>
    </row>
    <row r="12" ht="22" customHeight="1">
      <c r="A12" s="31" t="inlineStr">
        <is>
          <t>张硕</t>
        </is>
      </c>
      <c r="B12" s="31" t="n">
        <v>5</v>
      </c>
      <c r="C12" s="31" t="n">
        <v>5</v>
      </c>
      <c r="D12" s="31" t="n">
        <v>0</v>
      </c>
      <c r="E12" s="31" t="n">
        <v>1</v>
      </c>
      <c r="F12" s="31" t="n">
        <v>1</v>
      </c>
      <c r="G12" s="32" t="n">
        <v>0.2</v>
      </c>
      <c r="H12" s="33" t="n">
        <v>0.2</v>
      </c>
      <c r="I12" s="32" t="n">
        <v>0.3333333333333333</v>
      </c>
      <c r="J12" s="31" t="n">
        <v>2</v>
      </c>
      <c r="K12" s="32" t="n">
        <v>0.4</v>
      </c>
      <c r="L12" s="31" t="n">
        <v>0</v>
      </c>
      <c r="M12" s="31" t="n">
        <v>0</v>
      </c>
      <c r="N12" s="31" t="inlineStr">
        <is>
          <t>是</t>
        </is>
      </c>
      <c r="O12" s="31" t="inlineStr">
        <is>
          <t>—</t>
        </is>
      </c>
      <c r="P12" s="31" t="inlineStr">
        <is>
          <t>—</t>
        </is>
      </c>
      <c r="Q12" s="31" t="inlineStr">
        <is>
          <t>—</t>
        </is>
      </c>
      <c r="R12" s="31" t="inlineStr">
        <is>
          <t>—</t>
        </is>
      </c>
    </row>
    <row r="13" ht="22" customHeight="1">
      <c r="A13" s="31" t="inlineStr">
        <is>
          <t>王伟超</t>
        </is>
      </c>
      <c r="B13" s="31" t="n">
        <v>5</v>
      </c>
      <c r="C13" s="31" t="n">
        <v>5</v>
      </c>
      <c r="D13" s="31" t="n">
        <v>0</v>
      </c>
      <c r="E13" s="31" t="n">
        <v>1</v>
      </c>
      <c r="F13" s="31" t="n">
        <v>1</v>
      </c>
      <c r="G13" s="32" t="n">
        <v>0.2</v>
      </c>
      <c r="H13" s="33" t="n">
        <v>0.2</v>
      </c>
      <c r="I13" s="32" t="n">
        <v>0.3333333333333333</v>
      </c>
      <c r="J13" s="31" t="n">
        <v>1</v>
      </c>
      <c r="K13" s="32" t="n">
        <v>0.2</v>
      </c>
      <c r="L13" s="31" t="n">
        <v>1</v>
      </c>
      <c r="M13" s="31" t="n">
        <v>1</v>
      </c>
      <c r="N13" s="31" t="inlineStr">
        <is>
          <t>是</t>
        </is>
      </c>
      <c r="O13" s="31" t="inlineStr">
        <is>
          <t>—</t>
        </is>
      </c>
      <c r="P13" s="31" t="inlineStr">
        <is>
          <t>—</t>
        </is>
      </c>
      <c r="Q13" s="31" t="inlineStr">
        <is>
          <t>—</t>
        </is>
      </c>
      <c r="R13" s="31" t="inlineStr">
        <is>
          <t>—</t>
        </is>
      </c>
    </row>
    <row r="16">
      <c r="A16" s="14" t="inlineStr">
        <is>
          <t>口径：有效项目=签约+有效在手；注水=前期调研+该结未结+重复开单；排名仅对提报≥8的人。冯乐/张硕/王伟超样本不足，不进主排名。</t>
        </is>
      </c>
    </row>
  </sheetData>
  <autoFilter ref="A1:R13"/>
  <mergeCells count="1">
    <mergeCell ref="A16:R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4" customWidth="1" min="5" max="5"/>
    <col width="62" customWidth="1" min="6" max="6"/>
  </cols>
  <sheetData>
    <row r="1" ht="28" customHeight="1">
      <c r="A1" s="34" t="inlineStr">
        <is>
          <t>排名</t>
        </is>
      </c>
      <c r="B1" s="34" t="inlineStr">
        <is>
          <t>业务员</t>
        </is>
      </c>
      <c r="C1" s="34" t="inlineStr">
        <is>
          <t>提报</t>
        </is>
      </c>
      <c r="D1" s="34" t="inlineStr">
        <is>
          <t>丢单条数</t>
        </is>
      </c>
      <c r="E1" s="34" t="inlineStr">
        <is>
          <t>丢单占提报</t>
        </is>
      </c>
      <c r="F1" s="34" t="inlineStr">
        <is>
          <t>主因（按条数）</t>
        </is>
      </c>
    </row>
    <row r="2" ht="28" customHeight="1">
      <c r="A2" s="7" t="n">
        <v>1</v>
      </c>
      <c r="B2" s="7" t="inlineStr">
        <is>
          <t>崔阳</t>
        </is>
      </c>
      <c r="C2" s="7" t="n">
        <v>38</v>
      </c>
      <c r="D2" s="7" t="n">
        <v>19</v>
      </c>
      <c r="E2" s="29" t="n">
        <v>0.5</v>
      </c>
      <c r="F2" s="7" t="inlineStr">
        <is>
          <t>选其他/当地供应商6条；价格5条；未立项/取消/我方不做7条；失联1条</t>
        </is>
      </c>
    </row>
    <row r="3" ht="28" customHeight="1">
      <c r="A3" s="7" t="n">
        <v>2</v>
      </c>
      <c r="B3" s="7" t="inlineStr">
        <is>
          <t>苗恒</t>
        </is>
      </c>
      <c r="C3" s="7" t="n">
        <v>18</v>
      </c>
      <c r="D3" s="7" t="n">
        <v>8</v>
      </c>
      <c r="E3" s="29" t="n">
        <v>0.4444444444444444</v>
      </c>
      <c r="F3" s="7" t="inlineStr">
        <is>
          <t>客户失联5条；需求不实2条；业主选混凝土仓1条</t>
        </is>
      </c>
    </row>
    <row r="4" ht="28" customHeight="1">
      <c r="A4" s="7" t="n">
        <v>3</v>
      </c>
      <c r="B4" s="7" t="inlineStr">
        <is>
          <t>马鹏飞</t>
        </is>
      </c>
      <c r="C4" s="7" t="n">
        <v>11</v>
      </c>
      <c r="D4" s="7" t="n">
        <v>7</v>
      </c>
      <c r="E4" s="29" t="n">
        <v>0.6363636363636364</v>
      </c>
      <c r="F4" s="7" t="inlineStr">
        <is>
          <t>澄清未回后失联4条；做不了/风险过大主动停2条；交期1条</t>
        </is>
      </c>
    </row>
    <row r="5" ht="28" customHeight="1">
      <c r="A5" s="7" t="n">
        <v>4</v>
      </c>
      <c r="B5" s="7" t="inlineStr">
        <is>
          <t>陈子凡</t>
        </is>
      </c>
      <c r="C5" s="7" t="n">
        <v>16</v>
      </c>
      <c r="D5" s="7" t="n">
        <v>6</v>
      </c>
      <c r="E5" s="29" t="n">
        <v>0.375</v>
      </c>
      <c r="F5" s="7" t="inlineStr">
        <is>
          <t>体量小主动放弃2条；钢构价格1条；益海砍预算1条；生力临建土建占比高未参与1条；中间商真实性存疑1条</t>
        </is>
      </c>
    </row>
    <row r="6" ht="28" customHeight="1">
      <c r="A6" s="7" t="n">
        <v>5</v>
      </c>
      <c r="B6" s="7" t="inlineStr">
        <is>
          <t>尹韬越</t>
        </is>
      </c>
      <c r="C6" s="7" t="n">
        <v>13</v>
      </c>
      <c r="D6" s="7" t="n">
        <v>5</v>
      </c>
      <c r="E6" s="29" t="n">
        <v>0.3846153846153846</v>
      </c>
      <c r="F6" s="7" t="inlineStr">
        <is>
          <t>价格3条；客户失联1条；报后无回复就结了1条</t>
        </is>
      </c>
    </row>
    <row r="7" ht="28" customHeight="1">
      <c r="A7" s="7" t="n">
        <v>6</v>
      </c>
      <c r="B7" s="7" t="inlineStr">
        <is>
          <t>王伟乐</t>
        </is>
      </c>
      <c r="C7" s="7" t="n">
        <v>8</v>
      </c>
      <c r="D7" s="7" t="n">
        <v>4</v>
      </c>
      <c r="E7" s="29" t="n">
        <v>0.5</v>
      </c>
      <c r="F7" s="7" t="inlineStr">
        <is>
          <t>客户未反馈3条；客户失联1条</t>
        </is>
      </c>
    </row>
    <row r="8" ht="28" customHeight="1">
      <c r="A8" s="7" t="n">
        <v>7</v>
      </c>
      <c r="B8" s="7" t="inlineStr">
        <is>
          <t>司斌</t>
        </is>
      </c>
      <c r="C8" s="7" t="n">
        <v>17</v>
      </c>
      <c r="D8" s="7" t="n">
        <v>4</v>
      </c>
      <c r="E8" s="29" t="n">
        <v>0.2352941176470588</v>
      </c>
      <c r="F8" s="7" t="inlineStr">
        <is>
          <t>报价后失联3条；工艺做不了1条</t>
        </is>
      </c>
    </row>
    <row r="9" ht="28" customHeight="1">
      <c r="A9" s="7" t="n">
        <v>8</v>
      </c>
      <c r="B9" s="7" t="inlineStr">
        <is>
          <t>陈辉</t>
        </is>
      </c>
      <c r="C9" s="7" t="n">
        <v>17</v>
      </c>
      <c r="D9" s="7" t="n">
        <v>3</v>
      </c>
      <c r="E9" s="29" t="n">
        <v>0.1764705882352941</v>
      </c>
      <c r="F9" s="7" t="inlineStr">
        <is>
          <t>客户改计划2条；价格不及当地供应商1条</t>
        </is>
      </c>
    </row>
    <row r="10" ht="28" customHeight="1">
      <c r="A10" s="7" t="n">
        <v>9</v>
      </c>
      <c r="B10" s="7" t="inlineStr">
        <is>
          <t>张硕</t>
        </is>
      </c>
      <c r="C10" s="7" t="n">
        <v>5</v>
      </c>
      <c r="D10" s="7" t="n">
        <v>2</v>
      </c>
      <c r="E10" s="29" t="n">
        <v>0.4</v>
      </c>
      <c r="F10" s="7" t="inlineStr">
        <is>
          <t>客户失联2条</t>
        </is>
      </c>
    </row>
    <row r="11" ht="28" customHeight="1">
      <c r="A11" s="7" t="n">
        <v>10</v>
      </c>
      <c r="B11" s="7" t="inlineStr">
        <is>
          <t>王伟超</t>
        </is>
      </c>
      <c r="C11" s="7" t="n">
        <v>5</v>
      </c>
      <c r="D11" s="7" t="n">
        <v>1</v>
      </c>
      <c r="E11" s="29" t="n">
        <v>0.2</v>
      </c>
      <c r="F11" s="7" t="inlineStr">
        <is>
          <t>价格超预算1条</t>
        </is>
      </c>
    </row>
    <row r="12" ht="28" customHeight="1">
      <c r="A12" s="7" t="n">
        <v>11</v>
      </c>
      <c r="B12" s="7" t="inlineStr">
        <is>
          <t>韩鸿彪</t>
        </is>
      </c>
      <c r="C12" s="7" t="n">
        <v>11</v>
      </c>
      <c r="D12" s="7" t="n">
        <v>1</v>
      </c>
      <c r="E12" s="29" t="n">
        <v>0.09090909090909091</v>
      </c>
      <c r="F12" s="7" t="inlineStr">
        <is>
          <t>非终端业主、信息不全后失联1条</t>
        </is>
      </c>
    </row>
    <row r="13" ht="28" customHeight="1">
      <c r="A13" s="7" t="n">
        <v>12</v>
      </c>
      <c r="B13" s="7" t="inlineStr">
        <is>
          <t>冯乐</t>
        </is>
      </c>
      <c r="C13" s="7" t="n">
        <v>6</v>
      </c>
      <c r="D13" s="7" t="n">
        <v>0</v>
      </c>
      <c r="E13" s="29" t="n">
        <v>0</v>
      </c>
      <c r="F13" s="7" t="inlineStr">
        <is>
          <t>无（6条全进行中，尚未关账）</t>
        </is>
      </c>
    </row>
    <row r="16">
      <c r="A16" s="14" t="inlineStr">
        <is>
          <t>口径：状态为已结项-丢单 / 已结项 的 60 条。不含暂停。国际业务部，已剔郭朝伟。</t>
        </is>
      </c>
    </row>
  </sheetData>
  <mergeCells count="1">
    <mergeCell ref="A16:F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3" max="3"/>
    <col width="42" customWidth="1" min="4" max="4"/>
  </cols>
  <sheetData>
    <row r="1" ht="20" customHeight="1">
      <c r="A1" s="35" t="inlineStr">
        <is>
          <t>业务员</t>
        </is>
      </c>
      <c r="B1" s="35" t="inlineStr">
        <is>
          <t>序号</t>
        </is>
      </c>
      <c r="C1" s="35" t="inlineStr">
        <is>
          <t>归并原因</t>
        </is>
      </c>
      <c r="D1" s="35" t="inlineStr">
        <is>
          <t>一句话</t>
        </is>
      </c>
    </row>
    <row r="2" ht="20" customHeight="1">
      <c r="A2" s="7" t="inlineStr">
        <is>
          <t>崔阳</t>
        </is>
      </c>
      <c r="B2" s="7" t="n">
        <v>52</v>
      </c>
      <c r="C2" s="7" t="inlineStr">
        <is>
          <t>选其他供应商</t>
        </is>
      </c>
      <c r="D2" s="7" t="inlineStr">
        <is>
          <t>Powerz 设备采购，业主选其他家</t>
        </is>
      </c>
    </row>
    <row r="3" ht="20" customHeight="1">
      <c r="A3" s="7" t="inlineStr">
        <is>
          <t>崔阳</t>
        </is>
      </c>
      <c r="B3" s="7" t="n">
        <v>61</v>
      </c>
      <c r="C3" s="7" t="inlineStr">
        <is>
          <t>选当地供应商</t>
        </is>
      </c>
      <c r="D3" s="7" t="inlineStr">
        <is>
          <t>Powerz 灰渣气力</t>
        </is>
      </c>
    </row>
    <row r="4" ht="20" customHeight="1">
      <c r="A4" s="7" t="inlineStr">
        <is>
          <t>崔阳</t>
        </is>
      </c>
      <c r="B4" s="7" t="n">
        <v>64</v>
      </c>
      <c r="C4" s="7" t="inlineStr">
        <is>
          <t>选其他供应商</t>
        </is>
      </c>
      <c r="D4" s="7" t="inlineStr">
        <is>
          <t>Powerz 旋转给料</t>
        </is>
      </c>
    </row>
    <row r="5" ht="20" customHeight="1">
      <c r="A5" s="7" t="inlineStr">
        <is>
          <t>崔阳</t>
        </is>
      </c>
      <c r="B5" s="7" t="n">
        <v>71</v>
      </c>
      <c r="C5" s="7" t="inlineStr">
        <is>
          <t>选其他供应商</t>
        </is>
      </c>
      <c r="D5" s="7" t="inlineStr">
        <is>
          <t>Powerz 输送机</t>
        </is>
      </c>
    </row>
    <row r="6" ht="20" customHeight="1">
      <c r="A6" s="7" t="inlineStr">
        <is>
          <t>崔阳</t>
        </is>
      </c>
      <c r="B6" s="7" t="n">
        <v>59</v>
      </c>
      <c r="C6" s="7" t="inlineStr">
        <is>
          <t>选当地供应商</t>
        </is>
      </c>
      <c r="D6" s="7" t="inlineStr">
        <is>
          <t>75 吨熟石灰仓</t>
        </is>
      </c>
    </row>
    <row r="7" ht="20" customHeight="1">
      <c r="A7" s="7" t="inlineStr">
        <is>
          <t>崔阳</t>
        </is>
      </c>
      <c r="B7" s="7" t="n">
        <v>63</v>
      </c>
      <c r="C7" s="7" t="inlineStr">
        <is>
          <t>选其他供应商</t>
        </is>
      </c>
      <c r="D7" s="7" t="inlineStr">
        <is>
          <t>Астон 葵花籽仓</t>
        </is>
      </c>
    </row>
    <row r="8" ht="20" customHeight="1">
      <c r="A8" s="7" t="inlineStr">
        <is>
          <t>崔阳</t>
        </is>
      </c>
      <c r="B8" s="7" t="n">
        <v>43</v>
      </c>
      <c r="C8" s="7" t="inlineStr">
        <is>
          <t>价格过高</t>
        </is>
      </c>
      <c r="D8" s="7" t="inlineStr">
        <is>
          <t>UZMET 铁合金石灰仓储，业主不继续</t>
        </is>
      </c>
    </row>
    <row r="9" ht="20" customHeight="1">
      <c r="A9" s="7" t="inlineStr">
        <is>
          <t>崔阳</t>
        </is>
      </c>
      <c r="B9" s="7" t="n">
        <v>48</v>
      </c>
      <c r="C9" s="7" t="inlineStr">
        <is>
          <t>价格+资料不完整</t>
        </is>
      </c>
      <c r="D9" s="7" t="inlineStr">
        <is>
          <t>SILOS KZ 30000 吨投标</t>
        </is>
      </c>
    </row>
    <row r="10" ht="20" customHeight="1">
      <c r="A10" s="7" t="inlineStr">
        <is>
          <t>崔阳</t>
        </is>
      </c>
      <c r="B10" s="7" t="n">
        <v>49</v>
      </c>
      <c r="C10" s="7" t="inlineStr">
        <is>
          <t>价格+资料不完整</t>
        </is>
      </c>
      <c r="D10" s="7" t="inlineStr">
        <is>
          <t>SILOS KZ 1000 吨，与 48 同一客户</t>
        </is>
      </c>
    </row>
    <row r="11" ht="20" customHeight="1">
      <c r="A11" s="7" t="inlineStr">
        <is>
          <t>崔阳</t>
        </is>
      </c>
      <c r="B11" s="7" t="n">
        <v>50</v>
      </c>
      <c r="C11" s="7" t="inlineStr">
        <is>
          <t>价格过高</t>
        </is>
      </c>
      <c r="D11" s="7" t="inlineStr">
        <is>
          <t>ELFORS 谷物码头，选其他家</t>
        </is>
      </c>
    </row>
    <row r="12" ht="20" customHeight="1">
      <c r="A12" s="7" t="inlineStr">
        <is>
          <t>崔阳</t>
        </is>
      </c>
      <c r="B12" s="7" t="n">
        <v>57</v>
      </c>
      <c r="C12" s="7" t="inlineStr">
        <is>
          <t>价格敏感</t>
        </is>
      </c>
      <c r="D12" s="7" t="inlineStr">
        <is>
          <t>粮食储运，选其他家</t>
        </is>
      </c>
    </row>
    <row r="13" ht="20" customHeight="1">
      <c r="A13" s="7" t="inlineStr">
        <is>
          <t>崔阳</t>
        </is>
      </c>
      <c r="B13" s="7" t="n">
        <v>45</v>
      </c>
      <c r="C13" s="7" t="inlineStr">
        <is>
          <t>技术方案不满足</t>
        </is>
      </c>
      <c r="D13" s="7" t="inlineStr">
        <is>
          <t>Бункер-Порт 氧化铝，未进报价</t>
        </is>
      </c>
    </row>
    <row r="14" ht="20" customHeight="1">
      <c r="A14" s="7" t="inlineStr">
        <is>
          <t>崔阳</t>
        </is>
      </c>
      <c r="B14" s="7" t="n">
        <v>54</v>
      </c>
      <c r="C14" s="7" t="inlineStr">
        <is>
          <t>报后一直说在考虑</t>
        </is>
      </c>
      <c r="D14" s="7" t="inlineStr">
        <is>
          <t>Anush 饲料仓，已结</t>
        </is>
      </c>
    </row>
    <row r="15" ht="20" customHeight="1">
      <c r="A15" s="7" t="inlineStr">
        <is>
          <t>崔阳</t>
        </is>
      </c>
      <c r="B15" s="7" t="n">
        <v>55</v>
      </c>
      <c r="C15" s="7" t="inlineStr">
        <is>
          <t>产能存疑后取消</t>
        </is>
      </c>
      <c r="D15" s="7" t="inlineStr">
        <is>
          <t>Эннова 石灰仓</t>
        </is>
      </c>
    </row>
    <row r="16" ht="20" customHeight="1">
      <c r="A16" s="7" t="inlineStr">
        <is>
          <t>崔阳</t>
        </is>
      </c>
      <c r="B16" s="7" t="n">
        <v>56</v>
      </c>
      <c r="C16" s="7" t="inlineStr">
        <is>
          <t>改选其他工艺</t>
        </is>
      </c>
      <c r="D16" s="7" t="inlineStr">
        <is>
          <t>麻类深加工</t>
        </is>
      </c>
    </row>
    <row r="17" ht="20" customHeight="1">
      <c r="A17" s="7" t="inlineStr">
        <is>
          <t>崔阳</t>
        </is>
      </c>
      <c r="B17" s="7" t="n">
        <v>66</v>
      </c>
      <c r="C17" s="7" t="inlineStr">
        <is>
          <t>我方主动拒绝</t>
        </is>
      </c>
      <c r="D17" s="7" t="inlineStr">
        <is>
          <t>Powerz 旋转阀，未报价</t>
        </is>
      </c>
    </row>
    <row r="18" ht="20" customHeight="1">
      <c r="A18" s="7" t="inlineStr">
        <is>
          <t>崔阳</t>
        </is>
      </c>
      <c r="B18" s="7" t="n">
        <v>67</v>
      </c>
      <c r="C18" s="7" t="inlineStr">
        <is>
          <t>客户结束询价</t>
        </is>
      </c>
      <c r="D18" s="7" t="inlineStr">
        <is>
          <t>cotes/KOTEC 装配仓</t>
        </is>
      </c>
    </row>
    <row r="19" ht="20" customHeight="1">
      <c r="A19" s="7" t="inlineStr">
        <is>
          <t>崔阳</t>
        </is>
      </c>
      <c r="B19" s="7" t="n">
        <v>68</v>
      </c>
      <c r="C19" s="7" t="inlineStr">
        <is>
          <t>业主未立项</t>
        </is>
      </c>
      <c r="D19" s="7" t="inlineStr">
        <is>
          <t>ROSATOM 氧化铝仓</t>
        </is>
      </c>
    </row>
    <row r="20" ht="20" customHeight="1">
      <c r="A20" s="7" t="inlineStr">
        <is>
          <t>崔阳</t>
        </is>
      </c>
      <c r="B20" s="7" t="n">
        <v>60</v>
      </c>
      <c r="C20" s="7" t="inlineStr">
        <is>
          <t>报价后失联</t>
        </is>
      </c>
      <c r="D20" s="7" t="inlineStr">
        <is>
          <t>500 吨水泥仓</t>
        </is>
      </c>
    </row>
    <row r="21" ht="20" customHeight="1">
      <c r="A21" s="7" t="inlineStr">
        <is>
          <t>苗恒</t>
        </is>
      </c>
      <c r="B21" s="7" t="n">
        <v>107</v>
      </c>
      <c r="C21" s="7" t="inlineStr">
        <is>
          <t>客户失联</t>
        </is>
      </c>
      <c r="D21" s="7" t="inlineStr">
        <is>
          <t>印尼 1×5000 玉米仓</t>
        </is>
      </c>
    </row>
    <row r="22" ht="20" customHeight="1">
      <c r="A22" s="7" t="inlineStr">
        <is>
          <t>苗恒</t>
        </is>
      </c>
      <c r="B22" s="7" t="n">
        <v>108</v>
      </c>
      <c r="C22" s="7" t="inlineStr">
        <is>
          <t>客户失联</t>
        </is>
      </c>
      <c r="D22" s="7" t="inlineStr">
        <is>
          <t>阿联酋玻璃瓶厂</t>
        </is>
      </c>
    </row>
    <row r="23" ht="20" customHeight="1">
      <c r="A23" s="7" t="inlineStr">
        <is>
          <t>苗恒</t>
        </is>
      </c>
      <c r="B23" s="7" t="n">
        <v>110</v>
      </c>
      <c r="C23" s="7" t="inlineStr">
        <is>
          <t>客户失联</t>
        </is>
      </c>
      <c r="D23" s="7" t="inlineStr">
        <is>
          <t>也门麸皮仓，更新后无答复</t>
        </is>
      </c>
    </row>
    <row r="24" ht="20" customHeight="1">
      <c r="A24" s="7" t="inlineStr">
        <is>
          <t>苗恒</t>
        </is>
      </c>
      <c r="B24" s="7" t="n">
        <v>111</v>
      </c>
      <c r="C24" s="7" t="inlineStr">
        <is>
          <t>客户失联</t>
        </is>
      </c>
      <c r="D24" s="7" t="inlineStr">
        <is>
          <t>德国水泥仓+打包机</t>
        </is>
      </c>
    </row>
    <row r="25" ht="20" customHeight="1">
      <c r="A25" s="7" t="inlineStr">
        <is>
          <t>苗恒</t>
        </is>
      </c>
      <c r="B25" s="7" t="n">
        <v>115</v>
      </c>
      <c r="C25" s="7" t="inlineStr">
        <is>
          <t>客户失联</t>
        </is>
      </c>
      <c r="D25" s="7" t="inlineStr">
        <is>
          <t>马拉维大豆仓</t>
        </is>
      </c>
    </row>
    <row r="26" ht="20" customHeight="1">
      <c r="A26" s="7" t="inlineStr">
        <is>
          <t>苗恒</t>
        </is>
      </c>
      <c r="B26" s="7" t="n">
        <v>112</v>
      </c>
      <c r="C26" s="7" t="inlineStr">
        <is>
          <t>需求不实</t>
        </is>
      </c>
      <c r="D26" s="7" t="inlineStr">
        <is>
          <t>孟加拉 4×18000 玉米仓</t>
        </is>
      </c>
    </row>
    <row r="27" ht="20" customHeight="1">
      <c r="A27" s="7" t="inlineStr">
        <is>
          <t>苗恒</t>
        </is>
      </c>
      <c r="B27" s="7" t="n">
        <v>119</v>
      </c>
      <c r="C27" s="7" t="inlineStr">
        <is>
          <t>需求不实</t>
        </is>
      </c>
      <c r="D27" s="7" t="inlineStr">
        <is>
          <t>土耳其石灰石粉末仓</t>
        </is>
      </c>
    </row>
    <row r="28" ht="20" customHeight="1">
      <c r="A28" s="7" t="inlineStr">
        <is>
          <t>苗恒</t>
        </is>
      </c>
      <c r="B28" s="7" t="n">
        <v>116</v>
      </c>
      <c r="C28" s="7" t="inlineStr">
        <is>
          <t>选混凝土仓</t>
        </is>
      </c>
      <c r="D28" s="7" t="inlineStr">
        <is>
          <t>印度 45000 吨氧化铝港口</t>
        </is>
      </c>
    </row>
    <row r="29" ht="20" customHeight="1">
      <c r="A29" s="7" t="inlineStr">
        <is>
          <t>马鹏飞</t>
        </is>
      </c>
      <c r="B29" s="7" t="n">
        <v>94</v>
      </c>
      <c r="C29" s="7" t="inlineStr">
        <is>
          <t>澄清未回/兴趣不大</t>
        </is>
      </c>
      <c r="D29" s="7" t="inlineStr">
        <is>
          <t>保加利亚 DPM 50 吨消石灰仓</t>
        </is>
      </c>
    </row>
    <row r="30" ht="20" customHeight="1">
      <c r="A30" s="7" t="inlineStr">
        <is>
          <t>马鹏飞</t>
        </is>
      </c>
      <c r="B30" s="7" t="n">
        <v>95</v>
      </c>
      <c r="C30" s="7" t="inlineStr">
        <is>
          <t>澄清未回后失联</t>
        </is>
      </c>
      <c r="D30" s="7" t="inlineStr">
        <is>
          <t>澳洲维多利亚农场仓</t>
        </is>
      </c>
    </row>
    <row r="31" ht="20" customHeight="1">
      <c r="A31" s="7" t="inlineStr">
        <is>
          <t>马鹏飞</t>
        </is>
      </c>
      <c r="B31" s="7" t="n">
        <v>96</v>
      </c>
      <c r="C31" s="7" t="inlineStr">
        <is>
          <t>图纸错误澄清未回后失联</t>
        </is>
      </c>
      <c r="D31" s="7" t="inlineStr">
        <is>
          <t>智利麦麸料斗</t>
        </is>
      </c>
    </row>
    <row r="32" ht="20" customHeight="1">
      <c r="A32" s="7" t="inlineStr">
        <is>
          <t>马鹏飞</t>
        </is>
      </c>
      <c r="B32" s="7" t="n">
        <v>101</v>
      </c>
      <c r="C32" s="7" t="inlineStr">
        <is>
          <t>报价后失联</t>
        </is>
      </c>
      <c r="D32" s="7" t="inlineStr">
        <is>
          <t>阿尔及利亚 6×5000 干燥</t>
        </is>
      </c>
    </row>
    <row r="33" ht="20" customHeight="1">
      <c r="A33" s="7" t="inlineStr">
        <is>
          <t>马鹏飞</t>
        </is>
      </c>
      <c r="B33" s="7" t="n">
        <v>97</v>
      </c>
      <c r="C33" s="7" t="inlineStr">
        <is>
          <t>风险过大主动停</t>
        </is>
      </c>
      <c r="D33" s="7" t="inlineStr">
        <is>
          <t>科特迪瓦可可豆，改与电建合作</t>
        </is>
      </c>
    </row>
    <row r="34" ht="20" customHeight="1">
      <c r="A34" s="7" t="inlineStr">
        <is>
          <t>马鹏飞</t>
        </is>
      </c>
      <c r="B34" s="7" t="n">
        <v>98</v>
      </c>
      <c r="C34" s="7" t="inlineStr">
        <is>
          <t>做不了</t>
        </is>
      </c>
      <c r="D34" s="7" t="inlineStr">
        <is>
          <t>污泥刮板机无法做</t>
        </is>
      </c>
    </row>
    <row r="35" ht="20" customHeight="1">
      <c r="A35" s="7" t="inlineStr">
        <is>
          <t>马鹏飞</t>
        </is>
      </c>
      <c r="B35" s="7" t="n">
        <v>100</v>
      </c>
      <c r="C35" s="7" t="inlineStr">
        <is>
          <t>交期不满足</t>
        </is>
      </c>
      <c r="D35" s="7" t="inlineStr">
        <is>
          <t>科特迪瓦航油罐，选土耳其钢板</t>
        </is>
      </c>
    </row>
    <row r="36" ht="20" customHeight="1">
      <c r="A36" s="7" t="inlineStr">
        <is>
          <t>陈子凡</t>
        </is>
      </c>
      <c r="B36" s="7" t="n">
        <v>27</v>
      </c>
      <c r="C36" s="7" t="inlineStr">
        <is>
          <t>体量小主动放弃</t>
        </is>
      </c>
      <c r="D36" s="7" t="inlineStr">
        <is>
          <t>毛里求斯塑料圆仓</t>
        </is>
      </c>
    </row>
    <row r="37" ht="20" customHeight="1">
      <c r="A37" s="7" t="inlineStr">
        <is>
          <t>陈子凡</t>
        </is>
      </c>
      <c r="B37" s="7" t="n">
        <v>28</v>
      </c>
      <c r="C37" s="7" t="inlineStr">
        <is>
          <t>体量小主动放弃</t>
        </is>
      </c>
      <c r="D37" s="7" t="inlineStr">
        <is>
          <t>印尼碳酸钙仓</t>
        </is>
      </c>
    </row>
    <row r="38" ht="20" customHeight="1">
      <c r="A38" s="7" t="inlineStr">
        <is>
          <t>陈子凡</t>
        </is>
      </c>
      <c r="B38" s="7" t="n">
        <v>26</v>
      </c>
      <c r="C38" s="7" t="inlineStr">
        <is>
          <t>钢构价格无竞争力</t>
        </is>
      </c>
      <c r="D38" s="7" t="inlineStr">
        <is>
          <t>生力 SMC 平方仓</t>
        </is>
      </c>
    </row>
    <row r="39" ht="20" customHeight="1">
      <c r="A39" s="7" t="inlineStr">
        <is>
          <t>陈子凡</t>
        </is>
      </c>
      <c r="B39" s="7" t="n">
        <v>23</v>
      </c>
      <c r="C39" s="7" t="inlineStr">
        <is>
          <t>工厂砍预算</t>
        </is>
      </c>
      <c r="D39" s="7" t="inlineStr">
        <is>
          <t>益海大豆仓，改修旧仓</t>
        </is>
      </c>
    </row>
    <row r="40" ht="20" customHeight="1">
      <c r="A40" s="7" t="inlineStr">
        <is>
          <t>陈子凡</t>
        </is>
      </c>
      <c r="B40" s="7" t="n">
        <v>25</v>
      </c>
      <c r="C40" s="7" t="inlineStr">
        <is>
          <t>土建占比高未参与</t>
        </is>
      </c>
      <c r="D40" s="7" t="inlineStr">
        <is>
          <t>生力机场临建 EPC</t>
        </is>
      </c>
    </row>
    <row r="41" ht="20" customHeight="1">
      <c r="A41" s="7" t="inlineStr">
        <is>
          <t>陈子凡</t>
        </is>
      </c>
      <c r="B41" s="7" t="n">
        <v>31</v>
      </c>
      <c r="C41" s="7" t="inlineStr">
        <is>
          <t>中间商真实性存疑</t>
        </is>
      </c>
      <c r="D41" s="7" t="inlineStr">
        <is>
          <t>南美水泥仓，北京中间商</t>
        </is>
      </c>
    </row>
    <row r="42" ht="20" customHeight="1">
      <c r="A42" s="7" t="inlineStr">
        <is>
          <t>尹韬越</t>
        </is>
      </c>
      <c r="B42" s="7" t="n">
        <v>157</v>
      </c>
      <c r="C42" s="7" t="inlineStr">
        <is>
          <t>价格</t>
        </is>
      </c>
      <c r="D42" s="7" t="inlineStr">
        <is>
          <t>哈萨克 4×3000 粮食</t>
        </is>
      </c>
    </row>
    <row r="43" ht="20" customHeight="1">
      <c r="A43" s="7" t="inlineStr">
        <is>
          <t>尹韬越</t>
        </is>
      </c>
      <c r="B43" s="7" t="n">
        <v>159</v>
      </c>
      <c r="C43" s="7" t="inlineStr">
        <is>
          <t>价格</t>
        </is>
      </c>
      <c r="D43" s="7" t="inlineStr">
        <is>
          <t>哈萨克 1×5000 粮仓</t>
        </is>
      </c>
    </row>
    <row r="44" ht="20" customHeight="1">
      <c r="A44" s="7" t="inlineStr">
        <is>
          <t>尹韬越</t>
        </is>
      </c>
      <c r="B44" s="7" t="n">
        <v>160</v>
      </c>
      <c r="C44" s="7" t="inlineStr">
        <is>
          <t>价格</t>
        </is>
      </c>
      <c r="D44" s="7" t="inlineStr">
        <is>
          <t>哈萨克 70000 吨筒仓</t>
        </is>
      </c>
    </row>
    <row r="45" ht="20" customHeight="1">
      <c r="A45" s="7" t="inlineStr">
        <is>
          <t>尹韬越</t>
        </is>
      </c>
      <c r="B45" s="7" t="n">
        <v>155</v>
      </c>
      <c r="C45" s="7" t="inlineStr">
        <is>
          <t>客户失联</t>
        </is>
      </c>
      <c r="D45" s="7" t="inlineStr">
        <is>
          <t>乌拉尔斯克转运站</t>
        </is>
      </c>
    </row>
    <row r="46" ht="20" customHeight="1">
      <c r="A46" s="7" t="inlineStr">
        <is>
          <t>尹韬越</t>
        </is>
      </c>
      <c r="B46" s="7" t="n">
        <v>152</v>
      </c>
      <c r="C46" s="7" t="inlineStr">
        <is>
          <t>报后无回复就结了</t>
        </is>
      </c>
      <c r="D46" s="7" t="inlineStr">
        <is>
          <t>苏亚克磷矿石磨制</t>
        </is>
      </c>
    </row>
    <row r="47" ht="20" customHeight="1">
      <c r="A47" s="7" t="inlineStr">
        <is>
          <t>王伟乐</t>
        </is>
      </c>
      <c r="B47" s="7" t="n">
        <v>147</v>
      </c>
      <c r="C47" s="7" t="inlineStr">
        <is>
          <t>报价未反馈</t>
        </is>
      </c>
      <c r="D47" s="7" t="inlineStr">
        <is>
          <t>德方仓和钢构</t>
        </is>
      </c>
    </row>
    <row r="48" ht="20" customHeight="1">
      <c r="A48" s="7" t="inlineStr">
        <is>
          <t>王伟乐</t>
        </is>
      </c>
      <c r="B48" s="7" t="n">
        <v>148</v>
      </c>
      <c r="C48" s="7" t="inlineStr">
        <is>
          <t>报给当地华人后不反馈</t>
        </is>
      </c>
      <c r="D48" s="7" t="inlineStr">
        <is>
          <t>菲律宾 3×1000 玉米仓</t>
        </is>
      </c>
    </row>
    <row r="49" ht="20" customHeight="1">
      <c r="A49" s="7" t="inlineStr">
        <is>
          <t>王伟乐</t>
        </is>
      </c>
      <c r="B49" s="7" t="n">
        <v>150</v>
      </c>
      <c r="C49" s="7" t="inlineStr">
        <is>
          <t>报价无反馈</t>
        </is>
      </c>
      <c r="D49" s="7" t="inlineStr">
        <is>
          <t>沙特 1×2000 水泥仓</t>
        </is>
      </c>
    </row>
    <row r="50" ht="20" customHeight="1">
      <c r="A50" s="7" t="inlineStr">
        <is>
          <t>王伟乐</t>
        </is>
      </c>
      <c r="B50" s="7" t="n">
        <v>149</v>
      </c>
      <c r="C50" s="7" t="inlineStr">
        <is>
          <t>出方案后失联</t>
        </is>
      </c>
      <c r="D50" s="7" t="inlineStr">
        <is>
          <t>塞舌尔水泥码头</t>
        </is>
      </c>
    </row>
    <row r="51" ht="20" customHeight="1">
      <c r="A51" s="7" t="inlineStr">
        <is>
          <t>司斌</t>
        </is>
      </c>
      <c r="B51" s="7" t="n">
        <v>128</v>
      </c>
      <c r="C51" s="7" t="inlineStr">
        <is>
          <t>报价后不再联系</t>
        </is>
      </c>
      <c r="D51" s="7" t="inlineStr">
        <is>
          <t>越南 500 吨粉煤灰</t>
        </is>
      </c>
    </row>
    <row r="52" ht="20" customHeight="1">
      <c r="A52" s="7" t="inlineStr">
        <is>
          <t>司斌</t>
        </is>
      </c>
      <c r="B52" s="7" t="n">
        <v>129</v>
      </c>
      <c r="C52" s="7" t="inlineStr">
        <is>
          <t>工厂未投用/按失联</t>
        </is>
      </c>
      <c r="D52" s="7" t="inlineStr">
        <is>
          <t>马来发放仓</t>
        </is>
      </c>
    </row>
    <row r="53" ht="20" customHeight="1">
      <c r="A53" s="7" t="inlineStr">
        <is>
          <t>司斌</t>
        </is>
      </c>
      <c r="B53" s="7" t="n">
        <v>134</v>
      </c>
      <c r="C53" s="7" t="inlineStr">
        <is>
          <t>收集价格后失联</t>
        </is>
      </c>
      <c r="D53" s="7" t="inlineStr">
        <is>
          <t>苏丹码头小麦仓</t>
        </is>
      </c>
    </row>
    <row r="54" ht="20" customHeight="1">
      <c r="A54" s="7" t="inlineStr">
        <is>
          <t>司斌</t>
        </is>
      </c>
      <c r="B54" s="7" t="n">
        <v>122</v>
      </c>
      <c r="C54" s="7" t="inlineStr">
        <is>
          <t>工艺做不了</t>
        </is>
      </c>
      <c r="D54" s="7" t="inlineStr">
        <is>
          <t>蒙古 60 吨沙仓热能存储</t>
        </is>
      </c>
    </row>
    <row r="55" ht="20" customHeight="1">
      <c r="A55" s="7" t="inlineStr">
        <is>
          <t>陈辉</t>
        </is>
      </c>
      <c r="B55" s="7" t="n">
        <v>3</v>
      </c>
      <c r="C55" s="7" t="inlineStr">
        <is>
          <t>客户改计划</t>
        </is>
      </c>
      <c r="D55" s="7" t="inlineStr">
        <is>
          <t>Kim Jeju 污泥仓</t>
        </is>
      </c>
    </row>
    <row r="56" ht="20" customHeight="1">
      <c r="A56" s="7" t="inlineStr">
        <is>
          <t>陈辉</t>
        </is>
      </c>
      <c r="B56" s="7" t="n">
        <v>4</v>
      </c>
      <c r="C56" s="7" t="inlineStr">
        <is>
          <t>客户改计划</t>
        </is>
      </c>
      <c r="D56" s="7" t="inlineStr">
        <is>
          <t>Kim welcron 污泥仓</t>
        </is>
      </c>
    </row>
    <row r="57" ht="20" customHeight="1">
      <c r="A57" s="7" t="inlineStr">
        <is>
          <t>陈辉</t>
        </is>
      </c>
      <c r="B57" s="7" t="n">
        <v>8</v>
      </c>
      <c r="C57" s="7" t="inlineStr">
        <is>
          <t>价格不及当地</t>
        </is>
      </c>
      <c r="D57" s="7" t="inlineStr">
        <is>
          <t>Kim 石膏粉仓</t>
        </is>
      </c>
    </row>
    <row r="58" ht="20" customHeight="1">
      <c r="A58" s="7" t="inlineStr">
        <is>
          <t>张硕</t>
        </is>
      </c>
      <c r="B58" s="7" t="n">
        <v>165</v>
      </c>
      <c r="C58" s="7" t="inlineStr">
        <is>
          <t>客户失联</t>
        </is>
      </c>
      <c r="D58" s="7" t="inlineStr">
        <is>
          <t>苏里南糙米碾白线</t>
        </is>
      </c>
    </row>
    <row r="59" ht="20" customHeight="1">
      <c r="A59" s="7" t="inlineStr">
        <is>
          <t>张硕</t>
        </is>
      </c>
      <c r="B59" s="7" t="n">
        <v>166</v>
      </c>
      <c r="C59" s="7" t="inlineStr">
        <is>
          <t>客户失联</t>
        </is>
      </c>
      <c r="D59" s="7" t="inlineStr">
        <is>
          <t>Sibelco 法国石英砂</t>
        </is>
      </c>
    </row>
    <row r="60" ht="20" customHeight="1">
      <c r="A60" s="7" t="inlineStr">
        <is>
          <t>王伟超</t>
        </is>
      </c>
      <c r="B60" s="7" t="n">
        <v>140</v>
      </c>
      <c r="C60" s="7" t="inlineStr">
        <is>
          <t>预算远低于报价</t>
        </is>
      </c>
      <c r="D60" s="7" t="inlineStr">
        <is>
          <t>南非 5×5000 玉米仓</t>
        </is>
      </c>
    </row>
    <row r="61" ht="20" customHeight="1">
      <c r="A61" s="7" t="inlineStr">
        <is>
          <t>韩鸿彪</t>
        </is>
      </c>
      <c r="B61" s="7" t="n">
        <v>87</v>
      </c>
      <c r="C61" s="7" t="inlineStr">
        <is>
          <t>非终端业主后失联</t>
        </is>
      </c>
      <c r="D61" s="7" t="inlineStr">
        <is>
          <t>巴拿马粮库改造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0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2" customWidth="1" min="10" max="10"/>
    <col width="56" customWidth="1" min="11" max="11"/>
  </cols>
  <sheetData>
    <row r="1" ht="28" customHeight="1">
      <c r="A1" s="36" t="inlineStr">
        <is>
          <t>排名</t>
        </is>
      </c>
      <c r="B1" s="36" t="inlineStr">
        <is>
          <t>客户</t>
        </is>
      </c>
      <c r="C1" s="36" t="inlineStr">
        <is>
          <t>编码</t>
        </is>
      </c>
      <c r="D1" s="36" t="inlineStr">
        <is>
          <t>业务员</t>
        </is>
      </c>
      <c r="E1" s="36" t="inlineStr">
        <is>
          <t>项目数</t>
        </is>
      </c>
      <c r="F1" s="36" t="inlineStr">
        <is>
          <t>已丢单</t>
        </is>
      </c>
      <c r="G1" s="36" t="inlineStr">
        <is>
          <t>暂停</t>
        </is>
      </c>
      <c r="H1" s="36" t="inlineStr">
        <is>
          <t>进行中</t>
        </is>
      </c>
      <c r="I1" s="36" t="inlineStr">
        <is>
          <t>有效在手</t>
        </is>
      </c>
      <c r="J1" s="36" t="inlineStr">
        <is>
          <t>类型</t>
        </is>
      </c>
      <c r="K1" s="36" t="inlineStr">
        <is>
          <t>一句话</t>
        </is>
      </c>
    </row>
    <row r="2" ht="36" customHeight="1">
      <c r="A2" s="7" t="n">
        <v>1</v>
      </c>
      <c r="B2" s="7" t="inlineStr">
        <is>
          <t>Powerz</t>
        </is>
      </c>
      <c r="C2" s="7" t="inlineStr">
        <is>
          <t>C00006570</t>
        </is>
      </c>
      <c r="D2" s="7" t="inlineStr">
        <is>
          <t>崔阳</t>
        </is>
      </c>
      <c r="E2" s="7" t="n">
        <v>7</v>
      </c>
      <c r="F2" s="7" t="n">
        <v>5</v>
      </c>
      <c r="G2" s="7" t="n">
        <v>0</v>
      </c>
      <c r="H2" s="7" t="n">
        <v>2</v>
      </c>
      <c r="I2" s="7" t="n">
        <v>0</v>
      </c>
      <c r="J2" s="7" t="inlineStr">
        <is>
          <t>拆单注水</t>
        </is>
      </c>
      <c r="K2" s="7" t="inlineStr">
        <is>
          <t>5条已丢给当地/其他供应商；1条底渣机该暂停未停；1条已报价等回复</t>
        </is>
      </c>
    </row>
    <row r="3" ht="36" customHeight="1">
      <c r="A3" s="7" t="n">
        <v>2</v>
      </c>
      <c r="B3" s="7" t="inlineStr">
        <is>
          <t>Эннова</t>
        </is>
      </c>
      <c r="C3" s="7" t="inlineStr">
        <is>
          <t>C00007843</t>
        </is>
      </c>
      <c r="D3" s="7" t="inlineStr">
        <is>
          <t>崔阳</t>
        </is>
      </c>
      <c r="E3" s="7" t="n">
        <v>5</v>
      </c>
      <c r="F3" s="7" t="n">
        <v>1</v>
      </c>
      <c r="G3" s="7" t="n">
        <v>0</v>
      </c>
      <c r="H3" s="7" t="n">
        <v>4</v>
      </c>
      <c r="I3" s="7" t="n">
        <v>0</v>
      </c>
      <c r="J3" s="7" t="inlineStr">
        <is>
          <t>拆单注水</t>
        </is>
      </c>
      <c r="K3" s="7" t="inlineStr">
        <is>
          <t>1条已丢；3条方案未出数月写希望不大仍进行中；1条已报价等评审</t>
        </is>
      </c>
    </row>
    <row r="4" ht="36" customHeight="1">
      <c r="A4" s="7" t="n">
        <v>3</v>
      </c>
      <c r="B4" s="7" t="inlineStr">
        <is>
          <t>菲律宾生力集团</t>
        </is>
      </c>
      <c r="C4" s="7" t="inlineStr">
        <is>
          <t>（无编码，业务确认并户）</t>
        </is>
      </c>
      <c r="D4" s="7" t="inlineStr">
        <is>
          <t>陈子凡</t>
        </is>
      </c>
      <c r="E4" s="7" t="n">
        <v>4</v>
      </c>
      <c r="F4" s="7" t="n">
        <v>2</v>
      </c>
      <c r="G4" s="7" t="n">
        <v>0</v>
      </c>
      <c r="H4" s="7" t="n">
        <v>2</v>
      </c>
      <c r="I4" s="7" t="n">
        <v>1</v>
      </c>
      <c r="J4" s="7" t="inlineStr">
        <is>
          <t>基本盘深挖</t>
        </is>
      </c>
      <c r="K4" s="7" t="inlineStr">
        <is>
          <t>临建、SMC平方仓已丢；取料机等授标；锥底仓已报价</t>
        </is>
      </c>
    </row>
    <row r="5" ht="36" customHeight="1">
      <c r="A5" s="7" t="n">
        <v>3</v>
      </c>
      <c r="B5" s="7" t="inlineStr">
        <is>
          <t>韩国 Kim</t>
        </is>
      </c>
      <c r="C5" s="7" t="inlineStr">
        <is>
          <t>C00001305</t>
        </is>
      </c>
      <c r="D5" s="7" t="inlineStr">
        <is>
          <t>陈辉</t>
        </is>
      </c>
      <c r="E5" s="7" t="n">
        <v>4</v>
      </c>
      <c r="F5" s="7" t="n">
        <v>3</v>
      </c>
      <c r="G5" s="7" t="n">
        <v>1</v>
      </c>
      <c r="H5" s="7" t="n">
        <v>0</v>
      </c>
      <c r="I5" s="7" t="n">
        <v>0</v>
      </c>
      <c r="J5" s="7" t="inlineStr">
        <is>
          <t>渠道多询</t>
        </is>
      </c>
      <c r="K5" s="7" t="inlineStr">
        <is>
          <t>一个渠道四条询价：污泥2条改计划、石膏粉价格不及当地、树脂暂停</t>
        </is>
      </c>
    </row>
    <row r="6" ht="36" customHeight="1">
      <c r="A6" s="7" t="n">
        <v>3</v>
      </c>
      <c r="B6" s="7" t="inlineStr">
        <is>
          <t>cotes</t>
        </is>
      </c>
      <c r="C6" s="7" t="inlineStr">
        <is>
          <t>C00006514</t>
        </is>
      </c>
      <c r="D6" s="7" t="inlineStr">
        <is>
          <t>崔阳</t>
        </is>
      </c>
      <c r="E6" s="7" t="n">
        <v>4</v>
      </c>
      <c r="F6" s="7" t="n">
        <v>1</v>
      </c>
      <c r="G6" s="7" t="n">
        <v>0</v>
      </c>
      <c r="H6" s="7" t="n">
        <v>3</v>
      </c>
      <c r="I6" s="7" t="n">
        <v>2</v>
      </c>
      <c r="J6" s="7" t="inlineStr">
        <is>
          <t>混合</t>
        </is>
      </c>
      <c r="K6" s="7" t="inlineStr">
        <is>
          <t>矿石仓、粉煤灰仍在技术探讨；烧碱仓已报价；装配仓已丢</t>
        </is>
      </c>
    </row>
    <row r="7" ht="36" customHeight="1">
      <c r="A7" s="7" t="n">
        <v>3</v>
      </c>
      <c r="B7" s="7" t="inlineStr">
        <is>
          <t>越南 QNC</t>
        </is>
      </c>
      <c r="C7" s="7" t="inlineStr">
        <is>
          <t>C00008036</t>
        </is>
      </c>
      <c r="D7" s="7" t="inlineStr">
        <is>
          <t>韩鸿彪</t>
        </is>
      </c>
      <c r="E7" s="7" t="n">
        <v>4</v>
      </c>
      <c r="F7" s="7" t="n">
        <v>0</v>
      </c>
      <c r="G7" s="7" t="n">
        <v>2</v>
      </c>
      <c r="H7" s="7" t="n">
        <v>2</v>
      </c>
      <c r="I7" s="7" t="n">
        <v>1</v>
      </c>
      <c r="J7" s="7" t="inlineStr">
        <is>
          <t>基本盘深挖</t>
        </is>
      </c>
      <c r="K7" s="7" t="inlineStr">
        <is>
          <t>料场、船对船已暂停；包装线/输送在跟；广宁雨棚2条无编码未并入</t>
        </is>
      </c>
    </row>
    <row r="8" ht="36" customHeight="1">
      <c r="A8" s="7" t="n">
        <v>7</v>
      </c>
      <c r="B8" s="7" t="inlineStr">
        <is>
          <t>咖啡仓</t>
        </is>
      </c>
      <c r="C8" s="7" t="inlineStr">
        <is>
          <t>C00008345</t>
        </is>
      </c>
      <c r="D8" s="7" t="inlineStr">
        <is>
          <t>司斌</t>
        </is>
      </c>
      <c r="E8" s="7" t="n">
        <v>3</v>
      </c>
      <c r="F8" s="7" t="n">
        <v>0</v>
      </c>
      <c r="G8" s="7" t="n">
        <v>0</v>
      </c>
      <c r="H8" s="7" t="n">
        <v>3</v>
      </c>
      <c r="I8" s="7" t="n">
        <v>0</v>
      </c>
      <c r="J8" s="7" t="inlineStr">
        <is>
          <t>拆单注水</t>
        </is>
      </c>
      <c r="K8" s="7" t="inlineStr">
        <is>
          <t>方仓、缓冲斗、Probat国内方仓三条全挂进行中，该关没关</t>
        </is>
      </c>
    </row>
    <row r="10">
      <c r="A10" s="14" t="inlineStr">
        <is>
          <t>口径：国际业务部；同一客户键项目数&gt;2。陈子凡生力/SMC/Manila01已并户。刚好2条的客户不进本榜。</t>
        </is>
      </c>
    </row>
  </sheetData>
  <mergeCells count="1">
    <mergeCell ref="A10:K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4" max="4"/>
  </cols>
  <sheetData>
    <row r="1" ht="20" customHeight="1">
      <c r="A1" s="37" t="inlineStr">
        <is>
          <t>客户</t>
        </is>
      </c>
      <c r="B1" s="37" t="inlineStr">
        <is>
          <t>业务员</t>
        </is>
      </c>
      <c r="C1" s="37" t="inlineStr">
        <is>
          <t>项目数</t>
        </is>
      </c>
      <c r="D1" s="37" t="inlineStr">
        <is>
          <t>条目</t>
        </is>
      </c>
    </row>
    <row r="2" ht="20" customHeight="1">
      <c r="A2" s="7" t="inlineStr">
        <is>
          <t>Powerz</t>
        </is>
      </c>
      <c r="B2" s="7" t="inlineStr">
        <is>
          <t>崔阳</t>
        </is>
      </c>
      <c r="C2" s="7" t="n">
        <v>7</v>
      </c>
      <c r="D2" s="7" t="inlineStr">
        <is>
          <t>35 进行中 浅层 螺旋输送机</t>
        </is>
      </c>
    </row>
    <row r="3" ht="20" customHeight="1">
      <c r="A3" s="7" t="inlineStr">
        <is>
          <t>Powerz</t>
        </is>
      </c>
      <c r="B3" s="7" t="inlineStr">
        <is>
          <t>崔阳</t>
        </is>
      </c>
      <c r="C3" s="7" t="n">
        <v>7</v>
      </c>
      <c r="D3" s="7" t="inlineStr">
        <is>
          <t>52 丢单 设备采购 POWERZ0508</t>
        </is>
      </c>
    </row>
    <row r="4" ht="20" customHeight="1">
      <c r="A4" s="7" t="inlineStr">
        <is>
          <t>Powerz</t>
        </is>
      </c>
      <c r="B4" s="7" t="inlineStr">
        <is>
          <t>崔阳</t>
        </is>
      </c>
      <c r="C4" s="7" t="n">
        <v>7</v>
      </c>
      <c r="D4" s="7" t="inlineStr">
        <is>
          <t>61 丢单 灰渣气力</t>
        </is>
      </c>
    </row>
    <row r="5" ht="20" customHeight="1">
      <c r="A5" s="7" t="inlineStr">
        <is>
          <t>Powerz</t>
        </is>
      </c>
      <c r="B5" s="7" t="inlineStr">
        <is>
          <t>崔阳</t>
        </is>
      </c>
      <c r="C5" s="7" t="n">
        <v>7</v>
      </c>
      <c r="D5" s="7" t="inlineStr">
        <is>
          <t>62 进行中 该结未结 底渣输送机</t>
        </is>
      </c>
    </row>
    <row r="6" ht="20" customHeight="1">
      <c r="A6" s="7" t="inlineStr">
        <is>
          <t>Powerz</t>
        </is>
      </c>
      <c r="B6" s="7" t="inlineStr">
        <is>
          <t>崔阳</t>
        </is>
      </c>
      <c r="C6" s="7" t="n">
        <v>7</v>
      </c>
      <c r="D6" s="7" t="inlineStr">
        <is>
          <t>64 丢单 旋转给料</t>
        </is>
      </c>
    </row>
    <row r="7" ht="20" customHeight="1">
      <c r="A7" s="7" t="inlineStr">
        <is>
          <t>Powerz</t>
        </is>
      </c>
      <c r="B7" s="7" t="inlineStr">
        <is>
          <t>崔阳</t>
        </is>
      </c>
      <c r="C7" s="7" t="n">
        <v>7</v>
      </c>
      <c r="D7" s="7" t="inlineStr">
        <is>
          <t>66 丢单 旋转阀 我方拒绝</t>
        </is>
      </c>
    </row>
    <row r="8" ht="20" customHeight="1">
      <c r="A8" s="7" t="inlineStr">
        <is>
          <t>Powerz</t>
        </is>
      </c>
      <c r="B8" s="7" t="inlineStr">
        <is>
          <t>崔阳</t>
        </is>
      </c>
      <c r="C8" s="7" t="n">
        <v>7</v>
      </c>
      <c r="D8" s="7" t="inlineStr">
        <is>
          <t>71 丢单 输送机采购</t>
        </is>
      </c>
    </row>
    <row r="9" ht="20" customHeight="1">
      <c r="A9" s="7" t="inlineStr">
        <is>
          <t>Эннова</t>
        </is>
      </c>
      <c r="B9" s="7" t="inlineStr">
        <is>
          <t>崔阳</t>
        </is>
      </c>
      <c r="C9" s="7" t="n">
        <v>5</v>
      </c>
      <c r="D9" s="7" t="inlineStr">
        <is>
          <t>41 进行中 浅层 散装机已报价</t>
        </is>
      </c>
    </row>
    <row r="10" ht="20" customHeight="1">
      <c r="A10" s="7" t="inlineStr">
        <is>
          <t>Эннова</t>
        </is>
      </c>
      <c r="B10" s="7" t="inlineStr">
        <is>
          <t>崔阳</t>
        </is>
      </c>
      <c r="C10" s="7" t="n">
        <v>5</v>
      </c>
      <c r="D10" s="7" t="inlineStr">
        <is>
          <t>51 进行中 该结未结 新库兹涅兹克脱硫 方案未出3个月</t>
        </is>
      </c>
    </row>
    <row r="11" ht="20" customHeight="1">
      <c r="A11" s="7" t="inlineStr">
        <is>
          <t>Эннова</t>
        </is>
      </c>
      <c r="B11" s="7" t="inlineStr">
        <is>
          <t>崔阳</t>
        </is>
      </c>
      <c r="C11" s="7" t="n">
        <v>5</v>
      </c>
      <c r="D11" s="7" t="inlineStr">
        <is>
          <t>55 丢单 石灰仓产能取消</t>
        </is>
      </c>
    </row>
    <row r="12" ht="20" customHeight="1">
      <c r="A12" s="7" t="inlineStr">
        <is>
          <t>Эннова</t>
        </is>
      </c>
      <c r="B12" s="7" t="inlineStr">
        <is>
          <t>崔阳</t>
        </is>
      </c>
      <c r="C12" s="7" t="n">
        <v>5</v>
      </c>
      <c r="D12" s="7" t="inlineStr">
        <is>
          <t>65 进行中 该结未结 哈萨克热电站脱硫 方案未出5个月</t>
        </is>
      </c>
    </row>
    <row r="13" ht="20" customHeight="1">
      <c r="A13" s="7" t="inlineStr">
        <is>
          <t>Эннова</t>
        </is>
      </c>
      <c r="B13" s="7" t="inlineStr">
        <is>
          <t>崔阳</t>
        </is>
      </c>
      <c r="C13" s="7" t="n">
        <v>5</v>
      </c>
      <c r="D13" s="7" t="inlineStr">
        <is>
          <t>69 进行中 该结未结 外贝加尔电厂 方案未出6个月</t>
        </is>
      </c>
    </row>
    <row r="14" ht="20" customHeight="1">
      <c r="A14" s="7" t="inlineStr">
        <is>
          <t>菲律宾生力集团</t>
        </is>
      </c>
      <c r="B14" s="7" t="inlineStr">
        <is>
          <t>陈子凡</t>
        </is>
      </c>
      <c r="C14" s="7" t="n">
        <v>4</v>
      </c>
      <c r="D14" s="7" t="inlineStr">
        <is>
          <t>25 丢单 机场临建 EPC土建占比高未参与</t>
        </is>
      </c>
    </row>
    <row r="15" ht="20" customHeight="1">
      <c r="A15" s="7" t="inlineStr">
        <is>
          <t>菲律宾生力集团</t>
        </is>
      </c>
      <c r="B15" s="7" t="inlineStr">
        <is>
          <t>陈子凡</t>
        </is>
      </c>
      <c r="C15" s="7" t="n">
        <v>4</v>
      </c>
      <c r="D15" s="7" t="inlineStr">
        <is>
          <t>26 丢单 SMC平方仓 钢构价格</t>
        </is>
      </c>
    </row>
    <row r="16" ht="20" customHeight="1">
      <c r="A16" s="7" t="inlineStr">
        <is>
          <t>菲律宾生力集团</t>
        </is>
      </c>
      <c r="B16" s="7" t="inlineStr">
        <is>
          <t>陈子凡</t>
        </is>
      </c>
      <c r="C16" s="7" t="n">
        <v>4</v>
      </c>
      <c r="D16" s="7" t="inlineStr">
        <is>
          <t>29 进行中 有效 取料机等授标</t>
        </is>
      </c>
    </row>
    <row r="17" ht="20" customHeight="1">
      <c r="A17" s="7" t="inlineStr">
        <is>
          <t>菲律宾生力集团</t>
        </is>
      </c>
      <c r="B17" s="7" t="inlineStr">
        <is>
          <t>陈子凡</t>
        </is>
      </c>
      <c r="C17" s="7" t="n">
        <v>4</v>
      </c>
      <c r="D17" s="7" t="inlineStr">
        <is>
          <t>33 进行中 浅层 4×2000锥底仓已报价</t>
        </is>
      </c>
    </row>
    <row r="18" ht="20" customHeight="1">
      <c r="A18" s="7" t="inlineStr">
        <is>
          <t>韩国 Kim</t>
        </is>
      </c>
      <c r="B18" s="7" t="inlineStr">
        <is>
          <t>陈辉</t>
        </is>
      </c>
      <c r="C18" s="7" t="n">
        <v>4</v>
      </c>
      <c r="D18" s="7" t="inlineStr">
        <is>
          <t>3 丢单 Jeju污泥仓 客户改计划</t>
        </is>
      </c>
    </row>
    <row r="19" ht="20" customHeight="1">
      <c r="A19" s="7" t="inlineStr">
        <is>
          <t>韩国 Kim</t>
        </is>
      </c>
      <c r="B19" s="7" t="inlineStr">
        <is>
          <t>陈辉</t>
        </is>
      </c>
      <c r="C19" s="7" t="n">
        <v>4</v>
      </c>
      <c r="D19" s="7" t="inlineStr">
        <is>
          <t>4 丢单 welcron污泥仓 客户改计划</t>
        </is>
      </c>
    </row>
    <row r="20" ht="20" customHeight="1">
      <c r="A20" s="7" t="inlineStr">
        <is>
          <t>韩国 Kim</t>
        </is>
      </c>
      <c r="B20" s="7" t="inlineStr">
        <is>
          <t>陈辉</t>
        </is>
      </c>
      <c r="C20" s="7" t="n">
        <v>4</v>
      </c>
      <c r="D20" s="7" t="inlineStr">
        <is>
          <t>5 暂停 树脂仓 客户决策中</t>
        </is>
      </c>
    </row>
    <row r="21" ht="20" customHeight="1">
      <c r="A21" s="7" t="inlineStr">
        <is>
          <t>韩国 Kim</t>
        </is>
      </c>
      <c r="B21" s="7" t="inlineStr">
        <is>
          <t>陈辉</t>
        </is>
      </c>
      <c r="C21" s="7" t="n">
        <v>4</v>
      </c>
      <c r="D21" s="7" t="inlineStr">
        <is>
          <t>8 丢单 石膏粉仓 价格不及当地</t>
        </is>
      </c>
    </row>
    <row r="22" ht="20" customHeight="1">
      <c r="A22" s="7" t="inlineStr">
        <is>
          <t>cotes</t>
        </is>
      </c>
      <c r="B22" s="7" t="inlineStr">
        <is>
          <t>崔阳</t>
        </is>
      </c>
      <c r="C22" s="7" t="n">
        <v>4</v>
      </c>
      <c r="D22" s="7" t="inlineStr">
        <is>
          <t>39 进行中 有效 哈萨克4个矿石仓 技术探讨</t>
        </is>
      </c>
    </row>
    <row r="23" ht="20" customHeight="1">
      <c r="A23" s="7" t="inlineStr">
        <is>
          <t>cotes</t>
        </is>
      </c>
      <c r="B23" s="7" t="inlineStr">
        <is>
          <t>崔阳</t>
        </is>
      </c>
      <c r="C23" s="7" t="n">
        <v>4</v>
      </c>
      <c r="D23" s="7" t="inlineStr">
        <is>
          <t>46 进行中 浅层 烧碱和硫酸钠化工仓 已报价</t>
        </is>
      </c>
    </row>
    <row r="24" ht="20" customHeight="1">
      <c r="A24" s="7" t="inlineStr">
        <is>
          <t>cotes</t>
        </is>
      </c>
      <c r="B24" s="7" t="inlineStr">
        <is>
          <t>崔阳</t>
        </is>
      </c>
      <c r="C24" s="7" t="n">
        <v>4</v>
      </c>
      <c r="D24" s="7" t="inlineStr">
        <is>
          <t>53 进行中 有效 电厂粉煤灰 技术探讨</t>
        </is>
      </c>
    </row>
    <row r="25" ht="20" customHeight="1">
      <c r="A25" s="7" t="inlineStr">
        <is>
          <t>cotes</t>
        </is>
      </c>
      <c r="B25" s="7" t="inlineStr">
        <is>
          <t>崔阳</t>
        </is>
      </c>
      <c r="C25" s="7" t="n">
        <v>4</v>
      </c>
      <c r="D25" s="7" t="inlineStr">
        <is>
          <t>67 丢单 KOTEC装配仓 客户结束询价</t>
        </is>
      </c>
    </row>
    <row r="26" ht="20" customHeight="1">
      <c r="A26" s="7" t="inlineStr">
        <is>
          <t>越南 QNC</t>
        </is>
      </c>
      <c r="B26" s="7" t="inlineStr">
        <is>
          <t>韩鸿彪</t>
        </is>
      </c>
      <c r="C26" s="7" t="n">
        <v>4</v>
      </c>
      <c r="D26" s="7" t="inlineStr">
        <is>
          <t>84 暂停 料场规划后延</t>
        </is>
      </c>
    </row>
    <row r="27" ht="20" customHeight="1">
      <c r="A27" s="7" t="inlineStr">
        <is>
          <t>越南 QNC</t>
        </is>
      </c>
      <c r="B27" s="7" t="inlineStr">
        <is>
          <t>韩鸿彪</t>
        </is>
      </c>
      <c r="C27" s="7" t="n">
        <v>4</v>
      </c>
      <c r="D27" s="7" t="inlineStr">
        <is>
          <t>86 进行中 浅层 Halong 2×1500水泥仓</t>
        </is>
      </c>
    </row>
    <row r="28" ht="20" customHeight="1">
      <c r="A28" s="7" t="inlineStr">
        <is>
          <t>越南 QNC</t>
        </is>
      </c>
      <c r="B28" s="7" t="inlineStr">
        <is>
          <t>韩鸿彪</t>
        </is>
      </c>
      <c r="C28" s="7" t="n">
        <v>4</v>
      </c>
      <c r="D28" s="7" t="inlineStr">
        <is>
          <t>89 进行中 有效 4×6000筒仓配套输送 V5</t>
        </is>
      </c>
    </row>
    <row r="29" ht="20" customHeight="1">
      <c r="A29" s="7" t="inlineStr">
        <is>
          <t>越南 QNC</t>
        </is>
      </c>
      <c r="B29" s="7" t="inlineStr">
        <is>
          <t>韩鸿彪</t>
        </is>
      </c>
      <c r="C29" s="7" t="n">
        <v>4</v>
      </c>
      <c r="D29" s="7" t="inlineStr">
        <is>
          <t>92 暂停 船对船水泥输送 报价过高</t>
        </is>
      </c>
    </row>
    <row r="30" ht="20" customHeight="1">
      <c r="A30" s="7" t="inlineStr">
        <is>
          <t>咖啡仓</t>
        </is>
      </c>
      <c r="B30" s="7" t="inlineStr">
        <is>
          <t>司斌</t>
        </is>
      </c>
      <c r="C30" s="7" t="n">
        <v>3</v>
      </c>
      <c r="D30" s="7" t="inlineStr">
        <is>
          <t>125 进行中 该结未结 咖啡仓方仓 三次报价无反馈</t>
        </is>
      </c>
    </row>
    <row r="31" ht="20" customHeight="1">
      <c r="A31" s="7" t="inlineStr">
        <is>
          <t>咖啡仓</t>
        </is>
      </c>
      <c r="B31" s="7" t="inlineStr">
        <is>
          <t>司斌</t>
        </is>
      </c>
      <c r="C31" s="7" t="n">
        <v>3</v>
      </c>
      <c r="D31" s="7" t="inlineStr">
        <is>
          <t>127 进行中 重复开单 咖啡缓冲斗</t>
        </is>
      </c>
    </row>
    <row r="32" ht="20" customHeight="1">
      <c r="A32" s="7" t="inlineStr">
        <is>
          <t>咖啡仓</t>
        </is>
      </c>
      <c r="B32" s="7" t="inlineStr">
        <is>
          <t>司斌</t>
        </is>
      </c>
      <c r="C32" s="7" t="n">
        <v>3</v>
      </c>
      <c r="D32" s="7" t="inlineStr">
        <is>
          <t>136 进行中 重复开单 Probat国内咖啡仓方仓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38" t="inlineStr">
        <is>
          <t>业务员</t>
        </is>
      </c>
      <c r="B1" s="38" t="inlineStr">
        <is>
          <t>进行中</t>
        </is>
      </c>
      <c r="C1" s="38" t="inlineStr">
        <is>
          <t>前期调研</t>
        </is>
      </c>
      <c r="D1" s="38" t="inlineStr">
        <is>
          <t>报价后观望</t>
        </is>
      </c>
      <c r="E1" s="38" t="inlineStr">
        <is>
          <t>报价后决策</t>
        </is>
      </c>
      <c r="F1" s="38" t="inlineStr">
        <is>
          <t>其他</t>
        </is>
      </c>
    </row>
    <row r="2" ht="22" customHeight="1">
      <c r="A2" s="39" t="inlineStr">
        <is>
          <t>崔阳</t>
        </is>
      </c>
      <c r="B2" s="39" t="n">
        <v>19</v>
      </c>
      <c r="C2" s="39" t="n">
        <v>3</v>
      </c>
      <c r="D2" s="39" t="n">
        <v>5</v>
      </c>
      <c r="E2" s="39" t="n">
        <v>4</v>
      </c>
      <c r="F2" s="39" t="n">
        <v>7</v>
      </c>
    </row>
    <row r="3" ht="22" customHeight="1">
      <c r="A3" s="39" t="inlineStr">
        <is>
          <t>陈辉</t>
        </is>
      </c>
      <c r="B3" s="39" t="n">
        <v>12</v>
      </c>
      <c r="C3" s="39" t="n">
        <v>7</v>
      </c>
      <c r="D3" s="39" t="n">
        <v>2</v>
      </c>
      <c r="E3" s="39" t="n">
        <v>3</v>
      </c>
      <c r="F3" s="39" t="n">
        <v>0</v>
      </c>
    </row>
    <row r="4" ht="22" customHeight="1">
      <c r="A4" s="39" t="inlineStr">
        <is>
          <t>司斌</t>
        </is>
      </c>
      <c r="B4" s="39" t="n">
        <v>11</v>
      </c>
      <c r="C4" s="39" t="n">
        <v>3</v>
      </c>
      <c r="D4" s="39" t="n">
        <v>0</v>
      </c>
      <c r="E4" s="39" t="n">
        <v>1</v>
      </c>
      <c r="F4" s="39" t="n">
        <v>7</v>
      </c>
    </row>
    <row r="5" ht="22" customHeight="1">
      <c r="A5" s="39" t="inlineStr">
        <is>
          <t>陈子凡</t>
        </is>
      </c>
      <c r="B5" s="39" t="n">
        <v>8</v>
      </c>
      <c r="C5" s="39" t="n">
        <v>2</v>
      </c>
      <c r="D5" s="39" t="n">
        <v>2</v>
      </c>
      <c r="E5" s="39" t="n">
        <v>3</v>
      </c>
      <c r="F5" s="39" t="n">
        <v>1</v>
      </c>
    </row>
    <row r="6" ht="22" customHeight="1">
      <c r="A6" s="39" t="inlineStr">
        <is>
          <t>苗恒</t>
        </is>
      </c>
      <c r="B6" s="39" t="n">
        <v>7</v>
      </c>
      <c r="C6" s="39" t="n">
        <v>0</v>
      </c>
      <c r="D6" s="39" t="n">
        <v>0</v>
      </c>
      <c r="E6" s="39" t="n">
        <v>5</v>
      </c>
      <c r="F6" s="39" t="n">
        <v>2</v>
      </c>
    </row>
    <row r="7" ht="22" customHeight="1">
      <c r="A7" s="39" t="inlineStr">
        <is>
          <t>冯乐</t>
        </is>
      </c>
      <c r="B7" s="39" t="n">
        <v>6</v>
      </c>
      <c r="C7" s="39" t="n">
        <v>2</v>
      </c>
      <c r="D7" s="39" t="n">
        <v>2</v>
      </c>
      <c r="E7" s="39" t="n">
        <v>2</v>
      </c>
      <c r="F7" s="39" t="n">
        <v>0</v>
      </c>
    </row>
    <row r="8" ht="22" customHeight="1">
      <c r="A8" s="39" t="inlineStr">
        <is>
          <t>韩鸿彪</t>
        </is>
      </c>
      <c r="B8" s="39" t="n">
        <v>6</v>
      </c>
      <c r="C8" s="39" t="n">
        <v>0</v>
      </c>
      <c r="D8" s="39" t="n">
        <v>2</v>
      </c>
      <c r="E8" s="39" t="n">
        <v>3</v>
      </c>
      <c r="F8" s="39" t="n">
        <v>1</v>
      </c>
    </row>
    <row r="9" ht="22" customHeight="1">
      <c r="A9" s="39" t="inlineStr">
        <is>
          <t>马鹏飞</t>
        </is>
      </c>
      <c r="B9" s="39" t="n">
        <v>4</v>
      </c>
      <c r="C9" s="39" t="n">
        <v>0</v>
      </c>
      <c r="D9" s="39" t="n">
        <v>3</v>
      </c>
      <c r="E9" s="39" t="n">
        <v>1</v>
      </c>
      <c r="F9" s="39" t="n">
        <v>0</v>
      </c>
    </row>
    <row r="10" ht="22" customHeight="1">
      <c r="A10" s="39" t="inlineStr">
        <is>
          <t>王伟乐</t>
        </is>
      </c>
      <c r="B10" s="39" t="n">
        <v>4</v>
      </c>
      <c r="C10" s="39" t="n">
        <v>1</v>
      </c>
      <c r="D10" s="39" t="n">
        <v>1</v>
      </c>
      <c r="E10" s="39" t="n">
        <v>1</v>
      </c>
      <c r="F10" s="39" t="n">
        <v>1</v>
      </c>
    </row>
    <row r="11" ht="22" customHeight="1">
      <c r="A11" s="39" t="inlineStr">
        <is>
          <t>尹韬越</t>
        </is>
      </c>
      <c r="B11" s="39" t="n">
        <v>4</v>
      </c>
      <c r="C11" s="39" t="n">
        <v>0</v>
      </c>
      <c r="D11" s="39" t="n">
        <v>0</v>
      </c>
      <c r="E11" s="39" t="n">
        <v>1</v>
      </c>
      <c r="F11" s="39" t="n">
        <v>3</v>
      </c>
    </row>
    <row r="12" ht="22" customHeight="1">
      <c r="A12" s="39" t="inlineStr">
        <is>
          <t>王伟超</t>
        </is>
      </c>
      <c r="B12" s="39" t="n">
        <v>3</v>
      </c>
      <c r="C12" s="39" t="n">
        <v>1</v>
      </c>
      <c r="D12" s="39" t="n">
        <v>1</v>
      </c>
      <c r="E12" s="39" t="n">
        <v>1</v>
      </c>
      <c r="F12" s="39" t="n">
        <v>0</v>
      </c>
    </row>
    <row r="13" ht="22" customHeight="1">
      <c r="A13" s="39" t="inlineStr">
        <is>
          <t>张硕</t>
        </is>
      </c>
      <c r="B13" s="39" t="n">
        <v>3</v>
      </c>
      <c r="C13" s="39" t="n">
        <v>1</v>
      </c>
      <c r="D13" s="39" t="n">
        <v>0</v>
      </c>
      <c r="E13" s="39" t="n">
        <v>1</v>
      </c>
      <c r="F13" s="39" t="n">
        <v>1</v>
      </c>
    </row>
    <row r="14" ht="22" customHeight="1">
      <c r="A14" s="40" t="inlineStr">
        <is>
          <t>合计</t>
        </is>
      </c>
      <c r="B14" s="40" t="n">
        <v>87</v>
      </c>
      <c r="C14" s="40" t="n">
        <v>20</v>
      </c>
      <c r="D14" s="40" t="n">
        <v>18</v>
      </c>
      <c r="E14" s="40" t="n">
        <v>26</v>
      </c>
      <c r="F14" s="40" t="n">
        <v>23</v>
      </c>
    </row>
    <row r="16">
      <c r="A16" s="14" t="inlineStr">
        <is>
          <t>口径：只统计状态=进行中。前期=规划/预算/立项/技术探讨未报价；观望=已报价后主要是等；决策=已报价且业主在比选/评审/澄清/授标/见面/征地/决策层；其他=该结未结+重复开单+方案未出数月+进展空。</t>
        </is>
      </c>
    </row>
  </sheetData>
  <mergeCells count="1">
    <mergeCell ref="A16:F1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4" max="4"/>
    <col width="48" customWidth="1" min="5" max="5"/>
    <col width="56" customWidth="1" min="6" max="6"/>
  </cols>
  <sheetData>
    <row r="1" ht="22" customHeight="1">
      <c r="A1" s="41" t="inlineStr">
        <is>
          <t>业务员</t>
        </is>
      </c>
      <c r="B1" s="41" t="inlineStr">
        <is>
          <t>序号</t>
        </is>
      </c>
      <c r="C1" s="41" t="inlineStr">
        <is>
          <t>阶段</t>
        </is>
      </c>
      <c r="D1" s="41" t="inlineStr">
        <is>
          <t>阶段说明</t>
        </is>
      </c>
      <c r="E1" s="41" t="inlineStr">
        <is>
          <t>任务标题</t>
        </is>
      </c>
      <c r="F1" s="41" t="inlineStr">
        <is>
          <t>当前进展</t>
        </is>
      </c>
    </row>
    <row r="2" ht="28" customHeight="1">
      <c r="A2" s="42" t="inlineStr">
        <is>
          <t>崔阳</t>
        </is>
      </c>
      <c r="B2" s="42" t="n">
        <v>34</v>
      </c>
      <c r="C2" s="43" t="inlineStr">
        <is>
          <t>决策</t>
        </is>
      </c>
      <c r="D2" s="42" t="inlineStr">
        <is>
          <t>勘察后出最终方案</t>
        </is>
      </c>
      <c r="E2" s="42" t="inlineStr">
        <is>
          <t>C00005424|崔阳|工业|Sibur塑料颗粒的气力输送项目|方案V1</t>
        </is>
      </c>
      <c r="F2" s="42" t="inlineStr">
        <is>
          <t>项目进行实地勘察后，技术部正在出最终方案</t>
        </is>
      </c>
    </row>
    <row r="3" ht="28" customHeight="1">
      <c r="A3" s="42" t="inlineStr">
        <is>
          <t>崔阳</t>
        </is>
      </c>
      <c r="B3" s="42" t="n">
        <v>35</v>
      </c>
      <c r="C3" s="44" t="inlineStr">
        <is>
          <t>观望</t>
        </is>
      </c>
      <c r="D3" s="42" t="inlineStr">
        <is>
          <t>报价已交最终业主，等回复</t>
        </is>
      </c>
      <c r="E3" s="42" t="inlineStr">
        <is>
          <t>C00006570|崔阳|工业|Powerz螺旋输送机采购|方案V1</t>
        </is>
      </c>
      <c r="F3" s="42" t="inlineStr">
        <is>
          <t>项目报价已提交最终业主</t>
        </is>
      </c>
    </row>
    <row r="4" ht="28" customHeight="1">
      <c r="A4" s="42" t="inlineStr">
        <is>
          <t>崔阳</t>
        </is>
      </c>
      <c r="B4" s="42" t="n">
        <v>36</v>
      </c>
      <c r="C4" s="45" t="inlineStr">
        <is>
          <t>其他</t>
        </is>
      </c>
      <c r="D4" s="42" t="inlineStr">
        <is>
          <t>方案未出，仍在找厂家</t>
        </is>
      </c>
      <c r="E4" s="42" t="inlineStr">
        <is>
          <t>C00006458 崔阳|工业|达涅利 辊道和步进梁项目 |方案V1</t>
        </is>
      </c>
      <c r="F4" s="42" t="inlineStr">
        <is>
          <t>正在寻找相应生产厂家，方案未出</t>
        </is>
      </c>
    </row>
    <row r="5" ht="28" customHeight="1">
      <c r="A5" s="42" t="inlineStr">
        <is>
          <t>崔阳</t>
        </is>
      </c>
      <c r="B5" s="42" t="n">
        <v>37</v>
      </c>
      <c r="C5" s="44" t="inlineStr">
        <is>
          <t>观望</t>
        </is>
      </c>
      <c r="D5" s="42" t="inlineStr">
        <is>
          <t>已报价，业主让等待回复</t>
        </is>
      </c>
      <c r="E5" s="42" t="inlineStr">
        <is>
          <t>C00009596   崔阳|工业|乌克兰AIK-EKO 铜矿石筒仓项目 |方案V1</t>
        </is>
      </c>
      <c r="F5" s="42" t="inlineStr">
        <is>
          <t>报价已报出，业主让等待回复</t>
        </is>
      </c>
    </row>
    <row r="6" ht="28" customHeight="1">
      <c r="A6" s="42" t="inlineStr">
        <is>
          <t>崔阳</t>
        </is>
      </c>
      <c r="B6" s="42" t="n">
        <v>38</v>
      </c>
      <c r="C6" s="43" t="inlineStr">
        <is>
          <t>决策</t>
        </is>
      </c>
      <c r="D6" s="42" t="inlineStr">
        <is>
          <t>资质已交业主审查</t>
        </is>
      </c>
      <c r="E6" s="42" t="inlineStr">
        <is>
          <t>C00009055 崔阳|工业|CC7 Europe 化工回收项目 |方案V1</t>
        </is>
      </c>
      <c r="F6" s="42" t="inlineStr">
        <is>
          <t>已将我方资质提交最终业主，业主进行资质审查</t>
        </is>
      </c>
    </row>
    <row r="7" ht="28" customHeight="1">
      <c r="A7" s="42" t="inlineStr">
        <is>
          <t>崔阳</t>
        </is>
      </c>
      <c r="B7" s="42" t="n">
        <v>39</v>
      </c>
      <c r="C7" s="46" t="inlineStr">
        <is>
          <t>前期</t>
        </is>
      </c>
      <c r="D7" s="42" t="inlineStr">
        <is>
          <t>cotes矿石仓技术探讨，未报价</t>
        </is>
      </c>
      <c r="E7" s="42" t="inlineStr">
        <is>
          <t>C00006514|崔阳|工业|cotes哈萨克斯坦4个矿石仓项目|方案V1</t>
        </is>
      </c>
      <c r="F7" s="42" t="inlineStr">
        <is>
          <t>处于技术探讨阶段 还未报价</t>
        </is>
      </c>
    </row>
    <row r="8" ht="28" customHeight="1">
      <c r="A8" s="42" t="inlineStr">
        <is>
          <t>崔阳</t>
        </is>
      </c>
      <c r="B8" s="42" t="n">
        <v>40</v>
      </c>
      <c r="C8" s="44" t="inlineStr">
        <is>
          <t>观望</t>
        </is>
      </c>
      <c r="D8" s="42" t="inlineStr">
        <is>
          <t>报价给中间人，等业主审核</t>
        </is>
      </c>
      <c r="E8" s="42" t="inlineStr">
        <is>
          <t>C00009720|崔阳|工业|乌兹别克斯坦撒马尔罕3000吨水泥厂项目|方案V1</t>
        </is>
      </c>
      <c r="F8" s="42" t="inlineStr">
        <is>
          <t>报价提供给中间人，中间人让等待业主审核</t>
        </is>
      </c>
    </row>
    <row r="9" ht="28" customHeight="1">
      <c r="A9" s="42" t="inlineStr">
        <is>
          <t>崔阳</t>
        </is>
      </c>
      <c r="B9" s="42" t="n">
        <v>41</v>
      </c>
      <c r="C9" s="43" t="inlineStr">
        <is>
          <t>决策</t>
        </is>
      </c>
      <c r="D9" s="42" t="inlineStr">
        <is>
          <t>已报价，最终业主评审中</t>
        </is>
      </c>
      <c r="E9" s="42" t="inlineStr">
        <is>
          <t>C00007843|崔阳|工业|Эннова散装机|方案V1</t>
        </is>
      </c>
      <c r="F9" s="42" t="inlineStr">
        <is>
          <t>已提供报价 最终业主在评审</t>
        </is>
      </c>
    </row>
    <row r="10" ht="28" customHeight="1">
      <c r="A10" s="42" t="inlineStr">
        <is>
          <t>崔阳</t>
        </is>
      </c>
      <c r="B10" s="42" t="n">
        <v>42</v>
      </c>
      <c r="C10" s="43" t="inlineStr">
        <is>
          <t>决策</t>
        </is>
      </c>
      <c r="D10" s="42" t="inlineStr">
        <is>
          <t>客户提议9月现场考察</t>
        </is>
      </c>
      <c r="E10" s="42" t="inlineStr">
        <is>
          <t>C00009506  |崔阳|粮食| RUSAGRO农作物种子加工厂项目|方案V1</t>
        </is>
      </c>
      <c r="F10" s="42" t="inlineStr">
        <is>
          <t>客户提议九月份进行现场考察</t>
        </is>
      </c>
    </row>
    <row r="11" ht="28" customHeight="1">
      <c r="A11" s="42" t="inlineStr">
        <is>
          <t>崔阳</t>
        </is>
      </c>
      <c r="B11" s="42" t="n">
        <v>44</v>
      </c>
      <c r="C11" s="45" t="inlineStr">
        <is>
          <t>其他</t>
        </is>
      </c>
      <c r="D11" s="42" t="inlineStr">
        <is>
          <t>与38同一CC7项目</t>
        </is>
      </c>
      <c r="E11" s="42" t="inlineStr">
        <is>
          <t>C00009055 崔阳|工业|CC7 Europe 石灰给料包项目 |方案V1</t>
        </is>
      </c>
      <c r="F11" s="42" t="inlineStr">
        <is>
          <t>和38是同一个项目</t>
        </is>
      </c>
    </row>
    <row r="12" ht="28" customHeight="1">
      <c r="A12" s="42" t="inlineStr">
        <is>
          <t>崔阳</t>
        </is>
      </c>
      <c r="B12" s="42" t="n">
        <v>46</v>
      </c>
      <c r="C12" s="44" t="inlineStr">
        <is>
          <t>观望</t>
        </is>
      </c>
      <c r="D12" s="42" t="inlineStr">
        <is>
          <t>已报价cotec，无节点</t>
        </is>
      </c>
      <c r="E12" s="42" t="inlineStr">
        <is>
          <t>C00006514|崔阳|工业|cotes烧碱和硫酸钠化工仓|方案V1</t>
        </is>
      </c>
      <c r="F12" s="42" t="inlineStr">
        <is>
          <t>已报价给cotec 正在继续跟进中</t>
        </is>
      </c>
    </row>
    <row r="13" ht="28" customHeight="1">
      <c r="A13" s="42" t="inlineStr">
        <is>
          <t>崔阳</t>
        </is>
      </c>
      <c r="B13" s="42" t="n">
        <v>47</v>
      </c>
      <c r="C13" s="44" t="inlineStr">
        <is>
          <t>观望</t>
        </is>
      </c>
      <c r="D13" s="42" t="inlineStr">
        <is>
          <t>初步报价，业主评估中</t>
        </is>
      </c>
      <c r="E13" s="42" t="inlineStr">
        <is>
          <t>C00009347 |崔阳|粮食| Ebad Pir Moradian Global Skills 40000吨储粮项目|方案V1</t>
        </is>
      </c>
      <c r="F13" s="42" t="inlineStr">
        <is>
          <t>初步报价已提出，业主需要进行评估，和提交技术部门进行探讨</t>
        </is>
      </c>
    </row>
    <row r="14" ht="28" customHeight="1">
      <c r="A14" s="42" t="inlineStr">
        <is>
          <t>崔阳</t>
        </is>
      </c>
      <c r="B14" s="42" t="n">
        <v>51</v>
      </c>
      <c r="C14" s="45" t="inlineStr">
        <is>
          <t>其他</t>
        </is>
      </c>
      <c r="D14" s="42" t="inlineStr">
        <is>
          <t>方案未出3个月，希望不大</t>
        </is>
      </c>
      <c r="E14" s="42" t="inlineStr">
        <is>
          <t>C00007843|崔阳|工业|Эннова新库兹涅兹克电厂烟气净化与脱硫系统项目|方案V1</t>
        </is>
      </c>
      <c r="F14" s="42" t="inlineStr">
        <is>
          <t>方案未出，时间跨度已经三个月，希望以不大，</t>
        </is>
      </c>
    </row>
    <row r="15" ht="28" customHeight="1">
      <c r="A15" s="42" t="inlineStr">
        <is>
          <t>崔阳</t>
        </is>
      </c>
      <c r="B15" s="42" t="n">
        <v>53</v>
      </c>
      <c r="C15" s="46" t="inlineStr">
        <is>
          <t>前期</t>
        </is>
      </c>
      <c r="D15" s="42" t="inlineStr">
        <is>
          <t>cotes粉煤灰技术探讨，未报价</t>
        </is>
      </c>
      <c r="E15" s="42" t="inlineStr">
        <is>
          <t>C00006514|崔阳|工业|cotes电厂粉煤灰|方案V2</t>
        </is>
      </c>
      <c r="F15" s="42" t="inlineStr">
        <is>
          <t>处于技术探讨阶段 还未报价</t>
        </is>
      </c>
    </row>
    <row r="16" ht="28" customHeight="1">
      <c r="A16" s="42" t="inlineStr">
        <is>
          <t>崔阳</t>
        </is>
      </c>
      <c r="B16" s="42" t="n">
        <v>58</v>
      </c>
      <c r="C16" s="45" t="inlineStr">
        <is>
          <t>其他</t>
        </is>
      </c>
      <c r="D16" s="42" t="inlineStr">
        <is>
          <t>重点只写「进行中 重点任务」</t>
        </is>
      </c>
      <c r="E16" s="42" t="inlineStr">
        <is>
          <t>C00009094|崔阳|粮食|75万吨小麦深加工项目|方案V1|重点项目</t>
        </is>
      </c>
      <c r="F16" s="42" t="inlineStr">
        <is>
          <t>进行中 重点任务</t>
        </is>
      </c>
    </row>
    <row r="17" ht="28" customHeight="1">
      <c r="A17" s="42" t="inlineStr">
        <is>
          <t>崔阳</t>
        </is>
      </c>
      <c r="B17" s="42" t="n">
        <v>62</v>
      </c>
      <c r="C17" s="45" t="inlineStr">
        <is>
          <t>其他</t>
        </is>
      </c>
      <c r="D17" s="42" t="inlineStr">
        <is>
          <t>找不到设备，该停未停</t>
        </is>
      </c>
      <c r="E17" s="42" t="inlineStr">
        <is>
          <t>C00006570 Powerz 崔阳 工业 底渣输送机 方案V1</t>
        </is>
      </c>
      <c r="F17" s="42" t="inlineStr">
        <is>
          <t>方案未出，国内找不到相应适合设备 暂停中</t>
        </is>
      </c>
    </row>
    <row r="18" ht="28" customHeight="1">
      <c r="A18" s="42" t="inlineStr">
        <is>
          <t>崔阳</t>
        </is>
      </c>
      <c r="B18" s="42" t="n">
        <v>65</v>
      </c>
      <c r="C18" s="45" t="inlineStr">
        <is>
          <t>其他</t>
        </is>
      </c>
      <c r="D18" s="42" t="inlineStr">
        <is>
          <t>方案未出5个月，希望不大</t>
        </is>
      </c>
      <c r="E18" s="42" t="inlineStr">
        <is>
          <t>C00007843 | 崔阳 | 工业 | 哈萨克热列兹肯特热电站10号机组烟气净化（脱硫，除尘）项目 | 方案V1</t>
        </is>
      </c>
      <c r="F18" s="42" t="inlineStr">
        <is>
          <t>方案未出，时间跨度已经五个月，希望以不大，</t>
        </is>
      </c>
    </row>
    <row r="19" ht="28" customHeight="1">
      <c r="A19" s="42" t="inlineStr">
        <is>
          <t>崔阳</t>
        </is>
      </c>
      <c r="B19" s="42" t="n">
        <v>69</v>
      </c>
      <c r="C19" s="45" t="inlineStr">
        <is>
          <t>其他</t>
        </is>
      </c>
      <c r="D19" s="42" t="inlineStr">
        <is>
          <t>方案未出6个月，希望不大</t>
        </is>
      </c>
      <c r="E19" s="42" t="inlineStr">
        <is>
          <t>C00007843 | 崔阳 | 工业 | 外贝加尔发电厂项目 | 方案</t>
        </is>
      </c>
      <c r="F19" s="42" t="inlineStr">
        <is>
          <t>方案未出，时间跨度已经六个月，希望以不大，</t>
        </is>
      </c>
    </row>
    <row r="20" ht="28" customHeight="1">
      <c r="A20" s="42" t="inlineStr">
        <is>
          <t>崔阳</t>
        </is>
      </c>
      <c r="B20" s="42" t="n">
        <v>70</v>
      </c>
      <c r="C20" s="46" t="inlineStr">
        <is>
          <t>前期</t>
        </is>
      </c>
      <c r="D20" s="42" t="inlineStr">
        <is>
          <t>立项阶段，自称暂停仍挂着</t>
        </is>
      </c>
      <c r="E20" s="42" t="inlineStr">
        <is>
          <t>C00009506|崔阳|粮食| RUSAGRO大豆深度加工综合生产线|方案V1</t>
        </is>
      </c>
      <c r="F20" s="42" t="inlineStr">
        <is>
          <t>1.项目属于立项阶段，我方技术分析后，认为我们参与部分不是很多，决定暂时暂停任务，观望后再说</t>
        </is>
      </c>
    </row>
    <row r="21" ht="28" customHeight="1">
      <c r="A21" s="42" t="inlineStr">
        <is>
          <t>陈辉</t>
        </is>
      </c>
      <c r="B21" s="42" t="n">
        <v>1</v>
      </c>
      <c r="C21" s="46" t="inlineStr">
        <is>
          <t>前期</t>
        </is>
      </c>
      <c r="D21" s="42" t="inlineStr">
        <is>
          <t>港口规划，已报预算</t>
        </is>
      </c>
      <c r="E21" s="42" t="inlineStr">
        <is>
          <t>C00003352｜陈辉｜工业｜埃及4万吨料场项目｜方案V1（预算）</t>
        </is>
      </c>
      <c r="F21" s="42" t="inlineStr">
        <is>
          <t>TCI预期拿到了埃及一港口的运营权，有计划建散料库，已报预算，还在规划阶段。</t>
        </is>
      </c>
    </row>
    <row r="22" ht="28" customHeight="1">
      <c r="A22" s="42" t="inlineStr">
        <is>
          <t>陈辉</t>
        </is>
      </c>
      <c r="B22" s="42" t="n">
        <v>2</v>
      </c>
      <c r="C22" s="43" t="inlineStr">
        <is>
          <t>决策</t>
        </is>
      </c>
      <c r="D22" s="42" t="inlineStr">
        <is>
          <t>大宇多次报价，双方比仓型</t>
        </is>
      </c>
      <c r="E22" s="42" t="inlineStr">
        <is>
          <t>C00007339｜陈辉｜工业｜韩国大宇3万吨磷矿粉项目｜方案V1 | 重点项目</t>
        </is>
      </c>
      <c r="F22" s="42" t="inlineStr">
        <is>
          <t>大宇在土库曼化肥厂项目，仓型各种变化和多次报价后，目前最后一版是焊接仓的EPC。用户和大宇还在比较仓型。</t>
        </is>
      </c>
    </row>
    <row r="23" ht="28" customHeight="1">
      <c r="A23" s="42" t="inlineStr">
        <is>
          <t>陈辉</t>
        </is>
      </c>
      <c r="B23" s="42" t="n">
        <v>6</v>
      </c>
      <c r="C23" s="46" t="inlineStr">
        <is>
          <t>前期</t>
        </is>
      </c>
      <c r="D23" s="42" t="inlineStr">
        <is>
          <t>塞拉利昂已拜访，缺资金</t>
        </is>
      </c>
      <c r="E23" s="42" t="inlineStr">
        <is>
          <t>C00002715｜陈辉｜工业｜塞拉利昂2个3万吨clinker项目｜方案V1 | 重点项目</t>
        </is>
      </c>
      <c r="F23" s="42" t="inlineStr">
        <is>
          <t>已去拜访客户，客户想法很多，缺资金。</t>
        </is>
      </c>
    </row>
    <row r="24" ht="28" customHeight="1">
      <c r="A24" s="42" t="inlineStr">
        <is>
          <t>陈辉</t>
        </is>
      </c>
      <c r="B24" s="42" t="n">
        <v>7</v>
      </c>
      <c r="C24" s="46" t="inlineStr">
        <is>
          <t>前期</t>
        </is>
      </c>
      <c r="D24" s="42" t="inlineStr">
        <is>
          <t>突尼斯粮仓，还在找钱</t>
        </is>
      </c>
      <c r="E24" s="42" t="inlineStr">
        <is>
          <t>C00009463｜陈辉｜粮食｜突尼斯粮仓6x5,000t+10x8,000t｜方案V1</t>
        </is>
      </c>
      <c r="F24" s="42" t="inlineStr">
        <is>
          <t>突尼斯一家工程公司想建这几个粮仓，没有资金，要靠国外银行给贷款，介绍了TCI给他们。项目还在找钱的阶段。</t>
        </is>
      </c>
    </row>
    <row r="25" ht="28" customHeight="1">
      <c r="A25" s="42" t="inlineStr">
        <is>
          <t>陈辉</t>
        </is>
      </c>
      <c r="B25" s="42" t="n">
        <v>9</v>
      </c>
      <c r="C25" s="43" t="inlineStr">
        <is>
          <t>决策</t>
        </is>
      </c>
      <c r="D25" s="42" t="inlineStr">
        <is>
          <t>大宇卸料，等DY分包结果</t>
        </is>
      </c>
      <c r="E25" s="42" t="inlineStr">
        <is>
          <t>C00009287｜陈辉｜工业｜大宇8套磷矿粉平底仓卸料｜方案V1</t>
        </is>
      </c>
      <c r="F25" s="42" t="inlineStr">
        <is>
          <t>大宇在土库曼化肥厂项目，筒仓的卸料分包给了韩国的一家公司DY，我们给DY报价，仅报一次，技术澄清比较多，DY如果中标大概率优选选我们。</t>
        </is>
      </c>
    </row>
    <row r="26" ht="28" customHeight="1">
      <c r="A26" s="42" t="inlineStr">
        <is>
          <t>陈辉</t>
        </is>
      </c>
      <c r="B26" s="42" t="n">
        <v>10</v>
      </c>
      <c r="C26" s="46" t="inlineStr">
        <is>
          <t>前期</t>
        </is>
      </c>
      <c r="D26" s="42" t="inlineStr">
        <is>
          <t>火车卸料，项目计划评审</t>
        </is>
      </c>
      <c r="E26" s="42" t="inlineStr">
        <is>
          <t>C00009244｜陈辉｜工业｜火车卸料项目｜方案V1</t>
        </is>
      </c>
      <c r="F26" s="42" t="inlineStr">
        <is>
          <t>客户自有仓，让我们报火车卸料后进仓和出仓相关设备。
客户的项目仍在计划评审阶段。</t>
        </is>
      </c>
    </row>
    <row r="27" ht="28" customHeight="1">
      <c r="A27" s="42" t="inlineStr">
        <is>
          <t>陈辉</t>
        </is>
      </c>
      <c r="B27" s="42" t="n">
        <v>12</v>
      </c>
      <c r="C27" s="43" t="inlineStr">
        <is>
          <t>决策</t>
        </is>
      </c>
      <c r="D27" s="42" t="inlineStr">
        <is>
          <t>Lanwa老客户，利润被压着比</t>
        </is>
      </c>
      <c r="E27" s="42" t="inlineStr">
        <is>
          <t>C00008180｜陈辉｜工业｜Lanwa水泥混拌系统｜方案V1 | 重点项目</t>
        </is>
      </c>
      <c r="F27" s="42" t="inlineStr">
        <is>
          <t>老客户，项目含3个仓+混拌（mixer客户从其他供应商订购），客户中国通，对中国钢材加工价格十万分的了解，仅允许报价有合理利润，超出会选其他供应商。</t>
        </is>
      </c>
    </row>
    <row r="28" ht="28" customHeight="1">
      <c r="A28" s="42" t="inlineStr">
        <is>
          <t>陈辉</t>
        </is>
      </c>
      <c r="B28" s="42" t="n">
        <v>13</v>
      </c>
      <c r="C28" s="44" t="inlineStr">
        <is>
          <t>观望</t>
        </is>
      </c>
      <c r="D28" s="42" t="inlineStr">
        <is>
          <t>配合埃及总包投标</t>
        </is>
      </c>
      <c r="E28" s="42" t="inlineStr">
        <is>
          <t>C00006497｜陈辉｜粮食｜埃及面粉项目｜方案V1（仅仓和钢构）</t>
        </is>
      </c>
      <c r="F28" s="42" t="inlineStr">
        <is>
          <t>埃及总包的一个投标项目，我们报价配合其投标。</t>
        </is>
      </c>
    </row>
    <row r="29" ht="28" customHeight="1">
      <c r="A29" s="42" t="inlineStr">
        <is>
          <t>陈辉</t>
        </is>
      </c>
      <c r="B29" s="42" t="n">
        <v>14</v>
      </c>
      <c r="C29" s="44" t="inlineStr">
        <is>
          <t>观望</t>
        </is>
      </c>
      <c r="D29" s="42" t="inlineStr">
        <is>
          <t>埃及建筑公司投铝厂</t>
        </is>
      </c>
      <c r="E29" s="42" t="inlineStr">
        <is>
          <t>C00009849｜陈辉｜工业｜埃及3万吨混凝土仓（存氧化铝）项目｜方案V1</t>
        </is>
      </c>
      <c r="F29" s="42" t="inlineStr">
        <is>
          <t>埃及的建筑公司作为投标人之一，向铝厂投标。</t>
        </is>
      </c>
    </row>
    <row r="30" ht="28" customHeight="1">
      <c r="A30" s="42" t="inlineStr">
        <is>
          <t>陈辉</t>
        </is>
      </c>
      <c r="B30" s="42" t="n">
        <v>15</v>
      </c>
      <c r="C30" s="46" t="inlineStr">
        <is>
          <t>前期</t>
        </is>
      </c>
      <c r="D30" s="42" t="inlineStr">
        <is>
          <t>巴西仓，规划阶段了解价格</t>
        </is>
      </c>
      <c r="E30" s="42" t="inlineStr">
        <is>
          <t>C00009244｜陈辉｜工业｜巴西钢板仓和卸到火车项目｜方案V1</t>
        </is>
      </c>
      <c r="F30" s="42" t="inlineStr">
        <is>
          <t>规划阶段，客户未来可能有两万吨粘土仓的需求，目前只是了解仓型和价格。</t>
        </is>
      </c>
    </row>
    <row r="31" ht="28" customHeight="1">
      <c r="A31" s="42" t="inlineStr">
        <is>
          <t>陈辉</t>
        </is>
      </c>
      <c r="B31" s="42" t="n">
        <v>16</v>
      </c>
      <c r="C31" s="46" t="inlineStr">
        <is>
          <t>前期</t>
        </is>
      </c>
      <c r="D31" s="42" t="inlineStr">
        <is>
          <t>澳洲装配仓，预算评估仓型</t>
        </is>
      </c>
      <c r="E31" s="42" t="inlineStr">
        <is>
          <t>C00009852｜陈辉｜工业｜澳洲8x6000t水泥装配仓｜方案V1（钢构量）</t>
        </is>
      </c>
      <c r="F31" s="42" t="inlineStr">
        <is>
          <t>预算。客户仍在评估是建造混凝土仓or钢板仓。</t>
        </is>
      </c>
    </row>
    <row r="32" ht="28" customHeight="1">
      <c r="A32" s="42" t="inlineStr">
        <is>
          <t>陈辉</t>
        </is>
      </c>
      <c r="B32" s="42" t="n">
        <v>17</v>
      </c>
      <c r="C32" s="46" t="inlineStr">
        <is>
          <t>前期</t>
        </is>
      </c>
      <c r="D32" s="42" t="inlineStr">
        <is>
          <t>莱歇镀锌仓，业主询价比是否分包</t>
        </is>
      </c>
      <c r="E32" s="42" t="inlineStr">
        <is>
          <t>C00003392｜陈辉｜工业｜莱歇6个热镀锌仓项目｜方案V1（钢构量）</t>
        </is>
      </c>
      <c r="F32" s="42" t="inlineStr">
        <is>
          <t>莱歇在台北正在做的磨粉项目，这几个仓是原本是业主范围，现在想拿出来询价，来决定是分包给莱歇去做还是业主自己做。
莱歇要求足够低价。</t>
        </is>
      </c>
    </row>
    <row r="33" ht="28" customHeight="1">
      <c r="A33" s="42" t="inlineStr">
        <is>
          <t>司斌</t>
        </is>
      </c>
      <c r="B33" s="42" t="n">
        <v>123</v>
      </c>
      <c r="C33" s="46" t="inlineStr">
        <is>
          <t>前期</t>
        </is>
      </c>
      <c r="D33" s="42" t="inlineStr">
        <is>
          <t>路易达孚只要预算</t>
        </is>
      </c>
      <c r="E33" s="42" t="inlineStr">
        <is>
          <t>C00009733｜司斌｜粮食｜印度路易达孚4x500咖啡仓 |方案V1</t>
        </is>
      </c>
      <c r="F33" s="42" t="inlineStr">
        <is>
          <t>路易达孚印度公司咖啡公司，项目处于调研阶段，只要了预算，待管理层决定，不一定会上</t>
        </is>
      </c>
    </row>
    <row r="34" ht="28" customHeight="1">
      <c r="A34" s="42" t="inlineStr">
        <is>
          <t>司斌</t>
        </is>
      </c>
      <c r="B34" s="42" t="n">
        <v>124</v>
      </c>
      <c r="C34" s="43" t="inlineStr">
        <is>
          <t>决策</t>
        </is>
      </c>
      <c r="D34" s="42" t="inlineStr">
        <is>
          <t>斯里兰卡稻谷，已到决策期</t>
        </is>
      </c>
      <c r="E34" s="42" t="inlineStr">
        <is>
          <t>C00009649｜司斌｜粮食｜斯里兰卡30*3500T稻谷仓 |方案V1|重点项目</t>
        </is>
      </c>
      <c r="F34" s="42" t="inlineStr">
        <is>
          <t>老板自行决策，目前已到决策期，但是钢结构部分的报价客户告知6200CNY每吨，FOB含螺栓，采购部告知这个价格拿不到。客户对供货商成本把控严格，对国内采购价格深度熟悉，如果没有合适的价格，我们没有任何机会</t>
        </is>
      </c>
    </row>
    <row r="35" ht="28" customHeight="1">
      <c r="A35" s="42" t="inlineStr">
        <is>
          <t>司斌</t>
        </is>
      </c>
      <c r="B35" s="42" t="n">
        <v>125</v>
      </c>
      <c r="C35" s="45" t="inlineStr">
        <is>
          <t>其他</t>
        </is>
      </c>
      <c r="D35" s="42" t="inlineStr">
        <is>
          <t>咖啡仓三次报价无反馈</t>
        </is>
      </c>
      <c r="E35" s="42" t="inlineStr">
        <is>
          <t>C00008345｜司斌｜粮食｜咖啡仓方仓 |方案V1</t>
        </is>
      </c>
      <c r="F35" s="42" t="inlineStr">
        <is>
          <t>客户公司主业咖啡生产线，在全球都有项目，国内与星巴克，瑞幸都有合作。项目处于前期价格咨询。已就此公司进行了三次报价，但均无任何反馈，客户对供货商成本把控严格，对国内采购价格深度熟悉，如果没有合适的价格，我们没有任何机会</t>
        </is>
      </c>
    </row>
    <row r="36" ht="28" customHeight="1">
      <c r="A36" s="42" t="inlineStr">
        <is>
          <t>司斌</t>
        </is>
      </c>
      <c r="B36" s="42" t="n">
        <v>126</v>
      </c>
      <c r="C36" s="45" t="inlineStr">
        <is>
          <t>其他</t>
        </is>
      </c>
      <c r="D36" s="42" t="inlineStr">
        <is>
          <t>越南灰仓，技术无法澄清</t>
        </is>
      </c>
      <c r="E36" s="42" t="inlineStr">
        <is>
          <t>C00009546｜司斌｜工业｜越南6*800+2*450灰仓｜方案V1</t>
        </is>
      </c>
      <c r="F36" s="42" t="inlineStr">
        <is>
          <t>对接公司是工程公司，但是主业与我们行业不相关，此项目为投标项目，对接公司与最终业主有过合作，但技术问题无法澄清，虽然发送了报价，但是在较少的技术澄清下，胜率不高</t>
        </is>
      </c>
    </row>
    <row r="37" ht="28" customHeight="1">
      <c r="A37" s="42" t="inlineStr">
        <is>
          <t>司斌</t>
        </is>
      </c>
      <c r="B37" s="42" t="n">
        <v>127</v>
      </c>
      <c r="C37" s="45" t="inlineStr">
        <is>
          <t>其他</t>
        </is>
      </c>
      <c r="D37" s="42" t="inlineStr">
        <is>
          <t>咖啡缓冲斗，重复开单</t>
        </is>
      </c>
      <c r="E37" s="42" t="inlineStr">
        <is>
          <t>C00008345｜司斌｜粮食｜咖啡缓冲斗｜方案V1</t>
        </is>
      </c>
      <c r="F37" s="42" t="inlineStr">
        <is>
          <t>与123是同一个客户</t>
        </is>
      </c>
    </row>
    <row r="38" ht="28" customHeight="1">
      <c r="A38" s="42" t="inlineStr">
        <is>
          <t>司斌</t>
        </is>
      </c>
      <c r="B38" s="42" t="n">
        <v>130</v>
      </c>
      <c r="C38" s="45" t="inlineStr">
        <is>
          <t>其他</t>
        </is>
      </c>
      <c r="D38" s="42" t="inlineStr">
        <is>
          <t>越南咖啡改造，方案后无回复</t>
        </is>
      </c>
      <c r="E38" s="42" t="inlineStr">
        <is>
          <t>C00001287｜司斌｜粮食｜越南咖啡仓改造项目｜方案V1</t>
        </is>
      </c>
      <c r="F38" s="42" t="inlineStr">
        <is>
          <t>已合作客户，上次拜访客户想要进行一定的改造，但是发送方案后一直没有任何回复，初步判断改造并非需要解决的大问题，可上可不上</t>
        </is>
      </c>
    </row>
    <row r="39" ht="28" customHeight="1">
      <c r="A39" s="42" t="inlineStr">
        <is>
          <t>司斌</t>
        </is>
      </c>
      <c r="B39" s="42" t="n">
        <v>131</v>
      </c>
      <c r="C39" s="45" t="inlineStr">
        <is>
          <t>其他</t>
        </is>
      </c>
      <c r="D39" s="42" t="inlineStr">
        <is>
          <t>多米尼加塑料仓，报价后不再沟通</t>
        </is>
      </c>
      <c r="E39" s="42" t="inlineStr">
        <is>
          <t>C00008398｜司斌｜工业｜多米尼加塑料颗粒筒仓项目｜方案V1</t>
        </is>
      </c>
      <c r="F39" s="42" t="inlineStr">
        <is>
          <t>客户公司是做木屑颗粒生产加工，目前是收集报价阶段，但是价格发送后不再沟通，初步判断价格不具有任何优势</t>
        </is>
      </c>
    </row>
    <row r="40" ht="28" customHeight="1">
      <c r="A40" s="42" t="inlineStr">
        <is>
          <t>司斌</t>
        </is>
      </c>
      <c r="B40" s="42" t="n">
        <v>135</v>
      </c>
      <c r="C40" s="46" t="inlineStr">
        <is>
          <t>前期</t>
        </is>
      </c>
      <c r="D40" s="42" t="inlineStr">
        <is>
          <t>阿联酋饲料，工程公司前期调研</t>
        </is>
      </c>
      <c r="E40" s="42" t="inlineStr">
        <is>
          <t>C00009949｜司斌｜粮食｜阿联酋饲料颗粒，项目在俄罗斯 |方案V1</t>
        </is>
      </c>
      <c r="F40" s="42" t="inlineStr">
        <is>
          <t>对接公司是工程公司，想要对此项目进行投标，但目前项目信息较少，对于客户端属于前期的调研阶段。由于客户要求的时间较短，无法延期。且采购这段时间忙于投标其他项目，因此预估价格晚于客户逾期3天后，由于客户强调一定要再次时间收到预算，所以不利于后续跟进</t>
        </is>
      </c>
    </row>
    <row r="41" ht="28" customHeight="1">
      <c r="A41" s="42" t="inlineStr">
        <is>
          <t>司斌</t>
        </is>
      </c>
      <c r="B41" s="42" t="n">
        <v>136</v>
      </c>
      <c r="C41" s="45" t="inlineStr">
        <is>
          <t>其他</t>
        </is>
      </c>
      <c r="D41" s="42" t="inlineStr">
        <is>
          <t>Probat国内方仓，重复开单</t>
        </is>
      </c>
      <c r="E41" s="42" t="inlineStr">
        <is>
          <t>C00008345｜司斌｜粮食｜Probat国内咖啡仓方仓 |方案V1</t>
        </is>
      </c>
      <c r="F41" s="42" t="inlineStr">
        <is>
          <t>与123是同一个客户</t>
        </is>
      </c>
    </row>
    <row r="42" ht="28" customHeight="1">
      <c r="A42" s="42" t="inlineStr">
        <is>
          <t>司斌</t>
        </is>
      </c>
      <c r="B42" s="42" t="n">
        <v>137</v>
      </c>
      <c r="C42" s="45" t="inlineStr">
        <is>
          <t>其他</t>
        </is>
      </c>
      <c r="D42" s="42" t="inlineStr">
        <is>
          <t>伊朗石灰仓，战争前不可能上</t>
        </is>
      </c>
      <c r="E42" s="42" t="inlineStr">
        <is>
          <t>C00009745｜司斌｜工业｜伊朗水净化项目石灰仓|方案V1</t>
        </is>
      </c>
      <c r="F42" s="42" t="inlineStr">
        <is>
          <t>对接公司是工程公司，项目所处阶段为价格收集，由于霍尔木兹海峡现状，我认为在战争结束前不可能上</t>
        </is>
      </c>
    </row>
    <row r="43" ht="28" customHeight="1">
      <c r="A43" s="42" t="inlineStr">
        <is>
          <t>司斌</t>
        </is>
      </c>
      <c r="B43" s="42" t="n">
        <v>138</v>
      </c>
      <c r="C43" s="46" t="inlineStr">
        <is>
          <t>前期</t>
        </is>
      </c>
      <c r="D43" s="42" t="inlineStr">
        <is>
          <t>马来熟料料场，只要预算</t>
        </is>
      </c>
      <c r="E43" s="42" t="inlineStr">
        <is>
          <t>C00009743｜司斌｜工业｜马来西亚熟料料场|方案V1</t>
        </is>
      </c>
      <c r="F43" s="42" t="inlineStr">
        <is>
          <t>最终业主是马来西亚的三大水泥厂之一，此项目在前期调研，想要知道预算，需要管理层对此进行评估再判断是否上项目</t>
        </is>
      </c>
    </row>
    <row r="44" ht="28" customHeight="1">
      <c r="A44" s="42" t="inlineStr">
        <is>
          <t>陈子凡</t>
        </is>
      </c>
      <c r="B44" s="42" t="n">
        <v>18</v>
      </c>
      <c r="C44" s="46" t="inlineStr">
        <is>
          <t>前期</t>
        </is>
      </c>
      <c r="D44" s="42" t="inlineStr">
        <is>
          <t>TESO，询价或为了解预算</t>
        </is>
      </c>
      <c r="E44" s="42" t="inlineStr">
        <is>
          <t>C00009556｜陈子凡｜工业｜蒙古TESO 4x2500水泥中转站｜方案V1</t>
        </is>
      </c>
      <c r="F44" s="42" t="inlineStr">
        <is>
          <t>给客户发了方案，待更新报价。准备报价中，但客户主业是食品，本次询价可能只是为了解投资预算。 8月份在蒙古期间约客户见面，客户见面意愿不强</t>
        </is>
      </c>
    </row>
    <row r="45" ht="28" customHeight="1">
      <c r="A45" s="42" t="inlineStr">
        <is>
          <t>陈子凡</t>
        </is>
      </c>
      <c r="B45" s="42" t="n">
        <v>19</v>
      </c>
      <c r="C45" s="45" t="inlineStr">
        <is>
          <t>其他</t>
        </is>
      </c>
      <c r="D45" s="42" t="inlineStr">
        <is>
          <t>阿根廷面粉仓，希望不大</t>
        </is>
      </c>
      <c r="E45" s="42" t="inlineStr">
        <is>
          <t>C00009734｜陈子凡｜粮食｜ 阿根廷6个面粉仓+3个润麦仓+1个麸皮仓 单仓｜重量计算+清单</t>
        </is>
      </c>
      <c r="F45" s="42" t="inlineStr">
        <is>
          <t>报过价了，希望不大。客户为工程公司，项目投标中，且对方对中国供应链很了解，价格非常敏感</t>
        </is>
      </c>
    </row>
    <row r="46" ht="28" customHeight="1">
      <c r="A46" s="42" t="inlineStr">
        <is>
          <t>陈子凡</t>
        </is>
      </c>
      <c r="B46" s="42" t="n">
        <v>20</v>
      </c>
      <c r="C46" s="44" t="inlineStr">
        <is>
          <t>观望</t>
        </is>
      </c>
      <c r="D46" s="42" t="inlineStr">
        <is>
          <t>厄瓜多尔方仓，比价等通知</t>
        </is>
      </c>
      <c r="E46" s="42" t="inlineStr">
        <is>
          <t>C00007248｜陈子凡｜工业｜厄瓜多尔塑料方仓项目｜清单</t>
        </is>
      </c>
      <c r="F46" s="42" t="inlineStr">
        <is>
          <t>客户比价中。提交报价后等通知，本次报价相比1期项目有上涨，客户大概率会找新供应商比价</t>
        </is>
      </c>
    </row>
    <row r="47" ht="28" customHeight="1">
      <c r="A47" s="42" t="inlineStr">
        <is>
          <t>陈子凡</t>
        </is>
      </c>
      <c r="B47" s="42" t="n">
        <v>21</v>
      </c>
      <c r="C47" s="46" t="inlineStr">
        <is>
          <t>前期</t>
        </is>
      </c>
      <c r="D47" s="42" t="inlineStr">
        <is>
          <t>北京生物质，较前期</t>
        </is>
      </c>
      <c r="E47" s="42" t="inlineStr">
        <is>
          <t>XXXXX｜陈子凡｜粮食｜北京生物质颗粒装车仓｜方案V1 | 初步方案</t>
        </is>
      </c>
      <c r="F47" s="42" t="inlineStr">
        <is>
          <t>跟进中。项目较前期，联系人在出差，需要过一段时间再联系</t>
        </is>
      </c>
    </row>
    <row r="48" ht="28" customHeight="1">
      <c r="A48" s="42" t="inlineStr">
        <is>
          <t>陈子凡</t>
        </is>
      </c>
      <c r="B48" s="42" t="n">
        <v>22</v>
      </c>
      <c r="C48" s="43" t="inlineStr">
        <is>
          <t>决策</t>
        </is>
      </c>
      <c r="D48" s="42" t="inlineStr">
        <is>
          <t>蒙古MAK气力，近期可成交</t>
        </is>
      </c>
      <c r="E48" s="42" t="inlineStr">
        <is>
          <t>C00007247｜陈子凡｜工业｜MAK砖厂现有气力输送系统更新项目 ｜方案V1 | 重点项目</t>
        </is>
      </c>
      <c r="F48" s="42" t="inlineStr">
        <is>
          <t>报价中</t>
        </is>
      </c>
    </row>
    <row r="49" ht="28" customHeight="1">
      <c r="A49" s="42" t="inlineStr">
        <is>
          <t>陈子凡</t>
        </is>
      </c>
      <c r="B49" s="42" t="n">
        <v>24</v>
      </c>
      <c r="C49" s="43" t="inlineStr">
        <is>
          <t>决策</t>
        </is>
      </c>
      <c r="D49" s="42" t="inlineStr">
        <is>
          <t>MONCEMENT拜访后更新方案</t>
        </is>
      </c>
      <c r="E49" s="42" t="inlineStr">
        <is>
          <t>C00009104｜陈子凡｜工业｜MONCEMENT 3x2000水泥中转站｜方案V2 | 重点项目</t>
        </is>
      </c>
      <c r="F49" s="42" t="inlineStr">
        <is>
          <t>更新方案中。拜访后按要求更新方案，有望近期落地</t>
        </is>
      </c>
    </row>
    <row r="50" ht="28" customHeight="1">
      <c r="A50" s="42" t="inlineStr">
        <is>
          <t>陈子凡</t>
        </is>
      </c>
      <c r="B50" s="42" t="n">
        <v>29</v>
      </c>
      <c r="C50" s="43" t="inlineStr">
        <is>
          <t>决策</t>
        </is>
      </c>
      <c r="D50" s="42" t="inlineStr">
        <is>
          <t>生力取料机，等授标</t>
        </is>
      </c>
      <c r="E50" s="42" t="inlineStr">
        <is>
          <t>20260304 菲律宾生力集团 取料机报价</t>
        </is>
      </c>
      <c r="F50" s="42" t="inlineStr">
        <is>
          <t>等授标通知</t>
        </is>
      </c>
    </row>
    <row r="51" ht="28" customHeight="1">
      <c r="A51" s="42" t="inlineStr">
        <is>
          <t>陈子凡</t>
        </is>
      </c>
      <c r="B51" s="42" t="n">
        <v>33</v>
      </c>
      <c r="C51" s="44" t="inlineStr">
        <is>
          <t>观望</t>
        </is>
      </c>
      <c r="D51" s="42" t="inlineStr">
        <is>
          <t>生力锥底仓，上周报价等反馈</t>
        </is>
      </c>
      <c r="E51" s="42" t="inlineStr">
        <is>
          <t>Manila01｜陈子凡｜粮食｜菲律宾4x2000吨锥底仓｜清单V1 | 报价清单</t>
        </is>
      </c>
      <c r="F51" s="42" t="inlineStr">
        <is>
          <t>已提交报价，等反馈。单仓项目，上周报价，等反馈。</t>
        </is>
      </c>
    </row>
    <row r="52" ht="28" customHeight="1">
      <c r="A52" s="42" t="inlineStr">
        <is>
          <t>苗恒</t>
        </is>
      </c>
      <c r="B52" s="42" t="n">
        <v>104</v>
      </c>
      <c r="C52" s="45" t="inlineStr">
        <is>
          <t>其他</t>
        </is>
      </c>
      <c r="D52" s="42" t="inlineStr">
        <is>
          <t>斯里兰卡稻谷，报价后反馈不积极</t>
        </is>
      </c>
      <c r="E52" s="42" t="inlineStr">
        <is>
          <t>C00009786｜苗恒｜粮食｜斯里兰卡10x2000吨稻谷仓项目｜方案V1</t>
        </is>
      </c>
      <c r="F52" s="42" t="inlineStr">
        <is>
          <t>客户与土耳其ALTINBILEK有合作，上次报价大概率找我们探价和比价，报价后反馈不积极</t>
        </is>
      </c>
    </row>
    <row r="53" ht="28" customHeight="1">
      <c r="A53" s="42" t="inlineStr">
        <is>
          <t>苗恒</t>
        </is>
      </c>
      <c r="B53" s="42" t="n">
        <v>105</v>
      </c>
      <c r="C53" s="43" t="inlineStr">
        <is>
          <t>决策</t>
        </is>
      </c>
      <c r="D53" s="42" t="inlineStr">
        <is>
          <t>新加坡熟石灰，约8月底/9月初反馈</t>
        </is>
      </c>
      <c r="E53" s="42" t="inlineStr">
        <is>
          <t>C00009762｜苗恒｜工业｜新加坡4x200m3熟石灰粉不锈钢仓项目｜方案V1</t>
        </is>
      </c>
      <c r="F53" s="42" t="inlineStr">
        <is>
          <t>跟进中，客户为工程公司，回复8月底或9月初给我们反馈</t>
        </is>
      </c>
    </row>
    <row r="54" ht="28" customHeight="1">
      <c r="A54" s="42" t="inlineStr">
        <is>
          <t>苗恒</t>
        </is>
      </c>
      <c r="B54" s="42" t="n">
        <v>106</v>
      </c>
      <c r="C54" s="43" t="inlineStr">
        <is>
          <t>决策</t>
        </is>
      </c>
      <c r="D54" s="42" t="inlineStr">
        <is>
          <t>阿尔及利亚气力，9月更多现场信息</t>
        </is>
      </c>
      <c r="E54" s="42" t="inlineStr">
        <is>
          <t>C00009353｜苗恒｜工业｜阿尔及利亚6x2500吨水泥仓+200TPH气力输送项目｜方案V1</t>
        </is>
      </c>
      <c r="F54" s="42" t="inlineStr">
        <is>
          <t>跟进中，客户给了港口项目布置图，正在沟通方案布局，9月份客户会给更多项目现场信息</t>
        </is>
      </c>
    </row>
    <row r="55" ht="28" customHeight="1">
      <c r="A55" s="42" t="inlineStr">
        <is>
          <t>苗恒</t>
        </is>
      </c>
      <c r="B55" s="42" t="n">
        <v>109</v>
      </c>
      <c r="C55" s="43" t="inlineStr">
        <is>
          <t>决策</t>
        </is>
      </c>
      <c r="D55" s="42" t="inlineStr">
        <is>
          <t>墨西哥粮仓，确认V4后更报价</t>
        </is>
      </c>
      <c r="E55" s="42" t="inlineStr">
        <is>
          <t>C00008938｜苗恒｜粮食｜墨西哥3x10000+2x5000+4x200+1x150粮仓项目｜方案V1 | 重点项目</t>
        </is>
      </c>
      <c r="F55" s="42" t="inlineStr">
        <is>
          <t>重点项目跟进中，客户反馈比较慢，下步计划确认方案V4后更新报价V2</t>
        </is>
      </c>
    </row>
    <row r="56" ht="28" customHeight="1">
      <c r="A56" s="42" t="inlineStr">
        <is>
          <t>苗恒</t>
        </is>
      </c>
      <c r="B56" s="42" t="n">
        <v>113</v>
      </c>
      <c r="C56" s="43" t="inlineStr">
        <is>
          <t>决策</t>
        </is>
      </c>
      <c r="D56" s="42" t="inlineStr">
        <is>
          <t>斯里兰卡熟料，已联真实业主</t>
        </is>
      </c>
      <c r="E56" s="42" t="inlineStr">
        <is>
          <t>C00009001｜苗恒｜工业｜斯里兰卡1x35000吨熟料仓项目｜方案V2</t>
        </is>
      </c>
      <c r="F56" s="42" t="inlineStr">
        <is>
          <t>重点项目跟进中，客户找了江苏鹏飞做的整厂规划布置，让我们报混凝土仓报价，准备给客户更新第二版</t>
        </is>
      </c>
    </row>
    <row r="57" ht="28" customHeight="1">
      <c r="A57" s="42" t="inlineStr">
        <is>
          <t>苗恒</t>
        </is>
      </c>
      <c r="B57" s="42" t="n">
        <v>120</v>
      </c>
      <c r="C57" s="43" t="inlineStr">
        <is>
          <t>决策</t>
        </is>
      </c>
      <c r="D57" s="42" t="inlineStr">
        <is>
          <t>伊拉克水泥仓，9.2上海见面</t>
        </is>
      </c>
      <c r="E57" s="42" t="inlineStr">
        <is>
          <t>C00009921｜苗恒｜工业｜伊拉克2x10000吨水泥仓项目｜方案V1</t>
        </is>
      </c>
      <c r="F57" s="42" t="inlineStr">
        <is>
          <t>已报价，客户预计9.2到上海，希望可以见一面</t>
        </is>
      </c>
    </row>
    <row r="58" ht="28" customHeight="1">
      <c r="A58" s="42" t="inlineStr">
        <is>
          <t>苗恒</t>
        </is>
      </c>
      <c r="B58" s="42" t="n">
        <v>121</v>
      </c>
      <c r="C58" s="45" t="inlineStr">
        <is>
          <t>其他</t>
        </is>
      </c>
      <c r="D58" s="42" t="inlineStr">
        <is>
          <t>与伊拉克同项目，重复开单</t>
        </is>
      </c>
      <c r="E58" s="42" t="inlineStr">
        <is>
          <t>C00009883｜苗恒｜工业｜德国3x1600吨水泥仓+3个料斗投标项目｜方案V1</t>
        </is>
      </c>
      <c r="F58" s="42" t="inlineStr">
        <is>
          <t>与上面伊拉克2x10000同属一个项目，需要等最终业主确认哪个方案</t>
        </is>
      </c>
    </row>
    <row r="59" ht="28" customHeight="1">
      <c r="A59" s="42" t="inlineStr">
        <is>
          <t>冯乐</t>
        </is>
      </c>
      <c r="B59" s="42" t="n">
        <v>72</v>
      </c>
      <c r="C59" s="43" t="inlineStr">
        <is>
          <t>决策</t>
        </is>
      </c>
      <c r="D59" s="42" t="inlineStr">
        <is>
          <t>坦桑小麦仓，新技术要求已反馈</t>
        </is>
      </c>
      <c r="E59" s="42" t="inlineStr">
        <is>
          <t>C00009678｜冯乐｜坦桑尼亚｜小麦2×4500T装配仓项目｜方案V1 | 重点项目</t>
        </is>
      </c>
      <c r="F59" s="42" t="inlineStr">
        <is>
          <t>客户主营粮食加工，此前已接受我方报价。回国与工程团队商讨后，客户提出了新要求，我方已做技术反馈。目前客户需视其农场情况再作回复。</t>
        </is>
      </c>
    </row>
    <row r="60" ht="28" customHeight="1">
      <c r="A60" s="42" t="inlineStr">
        <is>
          <t>冯乐</t>
        </is>
      </c>
      <c r="B60" s="42" t="n">
        <v>73</v>
      </c>
      <c r="C60" s="46" t="inlineStr">
        <is>
          <t>前期</t>
        </is>
      </c>
      <c r="D60" s="42" t="inlineStr">
        <is>
          <t>尼日利亚，中间商代询比价</t>
        </is>
      </c>
      <c r="E60" s="42" t="inlineStr">
        <is>
          <t>C00009584|冯乐|粮食|尼日利亚-2×1200T玉米仓项目|方案V1</t>
        </is>
      </c>
      <c r="F60" s="42" t="inlineStr">
        <is>
          <t>目前是一位中间贸易商替业主询价，我方已提供方案和报价，多家供应商对比。</t>
        </is>
      </c>
    </row>
    <row r="61" ht="28" customHeight="1">
      <c r="A61" s="42" t="inlineStr">
        <is>
          <t>冯乐</t>
        </is>
      </c>
      <c r="B61" s="42" t="n">
        <v>74</v>
      </c>
      <c r="C61" s="43" t="inlineStr">
        <is>
          <t>决策</t>
        </is>
      </c>
      <c r="D61" s="42" t="inlineStr">
        <is>
          <t>也门装配仓V3，技术澄清中</t>
        </is>
      </c>
      <c r="E61" s="42" t="inlineStr">
        <is>
          <t>C00009383｜冯乐｜工业｜也门-3×1200m³水泥装配仓项目｜方案V3</t>
        </is>
      </c>
      <c r="F61" s="42" t="inlineStr">
        <is>
          <t>已进行多次报价，客户对价格比较敏感，目前正在和对方团队进行技术澄清。</t>
        </is>
      </c>
    </row>
    <row r="62" ht="28" customHeight="1">
      <c r="A62" s="42" t="inlineStr">
        <is>
          <t>冯乐</t>
        </is>
      </c>
      <c r="B62" s="42" t="n">
        <v>75</v>
      </c>
      <c r="C62" s="44" t="inlineStr">
        <is>
          <t>观望</t>
        </is>
      </c>
      <c r="D62" s="42" t="inlineStr">
        <is>
          <t>土库曼料斗，等总包更新</t>
        </is>
      </c>
      <c r="E62" s="42" t="inlineStr">
        <is>
          <t>C00009344｜冯乐｜工业｜土库曼斯坦火车装载料斗项目｜方案V1</t>
        </is>
      </c>
      <c r="F62" s="42" t="inlineStr">
        <is>
          <t>客户是总承包商，我们是分包，已进行过两次商务报价。整个项目比较大，我们只负责料斗报价，目前等总包更新项目进展。</t>
        </is>
      </c>
    </row>
    <row r="63" ht="28" customHeight="1">
      <c r="A63" s="42" t="inlineStr">
        <is>
          <t>冯乐</t>
        </is>
      </c>
      <c r="B63" s="42" t="n">
        <v>76</v>
      </c>
      <c r="C63" s="46" t="inlineStr">
        <is>
          <t>前期</t>
        </is>
      </c>
      <c r="D63" s="42" t="inlineStr">
        <is>
          <t>阿根廷储存仓，业主规划收集报价</t>
        </is>
      </c>
      <c r="E63" s="42" t="inlineStr">
        <is>
          <t>C00009727｜冯乐｜粮食｜阿根廷2×3000T+6×800T 储存仓项目｜方案V2</t>
        </is>
      </c>
      <c r="F63" s="42" t="inlineStr">
        <is>
          <t>直接业主，是一家从农田到深加工全产业链的农业综合集团，该项目是业主的规划项目。目前处于收集多方供应商的方案和报价，我方已提供商务报价。等待业主回复。</t>
        </is>
      </c>
    </row>
    <row r="64" ht="28" customHeight="1">
      <c r="A64" s="42" t="inlineStr">
        <is>
          <t>冯乐</t>
        </is>
      </c>
      <c r="B64" s="42" t="n">
        <v>77</v>
      </c>
      <c r="C64" s="44" t="inlineStr">
        <is>
          <t>观望</t>
        </is>
      </c>
      <c r="D64" s="42" t="inlineStr">
        <is>
          <t>新疆掺混仓，已提供商务报价</t>
        </is>
      </c>
      <c r="E64" s="42" t="inlineStr">
        <is>
          <t>C00009344｜冯乐｜新疆｜PP掺混料仓×10+PE掺混料仓×10项目｜方案V1</t>
        </is>
      </c>
      <c r="F64" s="42" t="inlineStr">
        <is>
          <t>客户是总承包商，我们是分包，已提供商务方案报价。</t>
        </is>
      </c>
    </row>
    <row r="65" ht="28" customHeight="1">
      <c r="A65" s="42" t="inlineStr">
        <is>
          <t>韩鸿彪</t>
        </is>
      </c>
      <c r="B65" s="42" t="n">
        <v>82</v>
      </c>
      <c r="C65" s="43" t="inlineStr">
        <is>
          <t>决策</t>
        </is>
      </c>
      <c r="D65" s="42" t="inlineStr">
        <is>
          <t>越南码头，土地审批+贷款，10月底更新</t>
        </is>
      </c>
      <c r="E65" s="42" t="inlineStr">
        <is>
          <t>C00009357|韩鸿彪|工业|越南水泥码头+木屑颗粒仓项目|方案V1</t>
        </is>
      </c>
      <c r="F65" s="42" t="inlineStr">
        <is>
          <t>项目土地审批和银行贷款阶段，预计10月底会有进一步更新</t>
        </is>
      </c>
    </row>
    <row r="66" ht="28" customHeight="1">
      <c r="A66" s="42" t="inlineStr">
        <is>
          <t>韩鸿彪</t>
        </is>
      </c>
      <c r="B66" s="42" t="n">
        <v>83</v>
      </c>
      <c r="C66" s="43" t="inlineStr">
        <is>
          <t>决策</t>
        </is>
      </c>
      <c r="D66" s="42" t="inlineStr">
        <is>
          <t>也门扩建V3，业主在对比方案</t>
        </is>
      </c>
      <c r="E66" s="42" t="inlineStr">
        <is>
          <t>C00008493|韩鸿彪|工业|也门2x1600T水泥仓扩建项目方案V2</t>
        </is>
      </c>
      <c r="F66" s="42" t="inlineStr">
        <is>
          <t>更新方案更新报价V3，业主在对比方案和报价，项目计划是27年Q1上</t>
        </is>
      </c>
    </row>
    <row r="67" ht="28" customHeight="1">
      <c r="A67" s="42" t="inlineStr">
        <is>
          <t>韩鸿彪</t>
        </is>
      </c>
      <c r="B67" s="42" t="n">
        <v>86</v>
      </c>
      <c r="C67" s="44" t="inlineStr">
        <is>
          <t>观望</t>
        </is>
      </c>
      <c r="D67" s="42" t="inlineStr">
        <is>
          <t>QNC Halong，配合性等业主反馈</t>
        </is>
      </c>
      <c r="E67" s="42" t="inlineStr">
        <is>
          <t>C00008036|韩鸿彪|工业|越南QNC-Halong2x1500T水泥仓方案V2</t>
        </is>
      </c>
      <c r="F67" s="42" t="inlineStr">
        <is>
          <t>越南4x6000业主的客户，等待业主的跟进反馈，配合性项目不做重点</t>
        </is>
      </c>
    </row>
    <row r="68" ht="28" customHeight="1">
      <c r="A68" s="42" t="inlineStr">
        <is>
          <t>韩鸿彪</t>
        </is>
      </c>
      <c r="B68" s="42" t="n">
        <v>88</v>
      </c>
      <c r="C68" s="45" t="inlineStr">
        <is>
          <t>其他</t>
        </is>
      </c>
      <c r="D68" s="42" t="inlineStr">
        <is>
          <t>广宁雨棚，报建复杂或将放弃</t>
        </is>
      </c>
      <c r="E68" s="42" t="inlineStr">
        <is>
          <t>20260120 韩鸿彪 越南广宁水泥4*6000T筒仓配套装船钢结构雨棚（河边雨棚）</t>
        </is>
      </c>
      <c r="F68" s="42" t="inlineStr">
        <is>
          <t>土地报批手续中，杰余报建水槽手续复杂和预算原因，可能会放弃该项目建设</t>
        </is>
      </c>
    </row>
    <row r="69" ht="28" customHeight="1">
      <c r="A69" s="42" t="inlineStr">
        <is>
          <t>韩鸿彪</t>
        </is>
      </c>
      <c r="B69" s="42" t="n">
        <v>89</v>
      </c>
      <c r="C69" s="43" t="inlineStr">
        <is>
          <t>决策</t>
        </is>
      </c>
      <c r="D69" s="42" t="inlineStr">
        <is>
          <t>QNC包装线，更新报价等决策</t>
        </is>
      </c>
      <c r="E69" s="42" t="inlineStr">
        <is>
          <t>C00008036 韩鸿彪 越南 4x6000T筒仓系统配套输送设备方案 V5</t>
        </is>
      </c>
      <c r="F69" s="42" t="inlineStr">
        <is>
          <t>更新方案，更新报价，等待决策。业主计划先上一条（6台）包装线，第一个筒仓完工后先运行起来</t>
        </is>
      </c>
    </row>
    <row r="70" ht="28" customHeight="1">
      <c r="A70" s="42" t="inlineStr">
        <is>
          <t>韩鸿彪</t>
        </is>
      </c>
      <c r="B70" s="42" t="n">
        <v>91</v>
      </c>
      <c r="C70" s="44" t="inlineStr">
        <is>
          <t>观望</t>
        </is>
      </c>
      <c r="D70" s="42" t="inlineStr">
        <is>
          <t>卢旺达面粉厂，第一版报价阶段</t>
        </is>
      </c>
      <c r="E70" s="42" t="inlineStr">
        <is>
          <t>C00009474|韩鸿彪|粮食|卢旺达面粉厂3x2500T小麦仓项目|方案V1</t>
        </is>
      </c>
      <c r="F70" s="42" t="inlineStr">
        <is>
          <t>面粉厂扩建项目，规模不大，但项目真实，第一版报价阶段</t>
        </is>
      </c>
    </row>
    <row r="71" ht="28" customHeight="1">
      <c r="A71" s="42" t="inlineStr">
        <is>
          <t>马鹏飞</t>
        </is>
      </c>
      <c r="B71" s="42" t="n">
        <v>93</v>
      </c>
      <c r="C71" s="44" t="inlineStr">
        <is>
          <t>观望</t>
        </is>
      </c>
      <c r="D71" s="42" t="inlineStr">
        <is>
          <t>新加坡储水罐，延标到年底</t>
        </is>
      </c>
      <c r="E71" s="42" t="inlineStr">
        <is>
          <t>C00009797  | 马鹏飞 | 工业 | 新加坡波纹钢板储水罐 | 方案V1 |</t>
        </is>
      </c>
      <c r="F71" s="42" t="inlineStr">
        <is>
          <t>业主仍在投标，目前项目延标，预计2026年底投标</t>
        </is>
      </c>
    </row>
    <row r="72" ht="28" customHeight="1">
      <c r="A72" s="42" t="inlineStr">
        <is>
          <t>马鹏飞</t>
        </is>
      </c>
      <c r="B72" s="42" t="n">
        <v>99</v>
      </c>
      <c r="C72" s="43" t="inlineStr">
        <is>
          <t>决策</t>
        </is>
      </c>
      <c r="D72" s="42" t="inlineStr">
        <is>
          <t>生力冷却站，待决策层批复</t>
        </is>
      </c>
      <c r="E72" s="42" t="inlineStr">
        <is>
          <t>C00001420 | 马鹏飞 | 工业 |生力集团100TPH水泥冷却站项目需画电气单线图及理清范围 | 方案V4 |</t>
        </is>
      </c>
      <c r="F72" s="42" t="inlineStr">
        <is>
          <t>已完成单线图提供，生力水泥冷却站项目，已提交所有所需资料，待生力决策层批复，目前尚未有更新情况</t>
        </is>
      </c>
    </row>
    <row r="73" ht="28" customHeight="1">
      <c r="A73" s="42" t="inlineStr">
        <is>
          <t>马鹏飞</t>
        </is>
      </c>
      <c r="B73" s="42" t="n">
        <v>102</v>
      </c>
      <c r="C73" s="44" t="inlineStr">
        <is>
          <t>观望</t>
        </is>
      </c>
      <c r="D73" s="42" t="inlineStr">
        <is>
          <t>Intercem法国单仓，投标长期无更新</t>
        </is>
      </c>
      <c r="E73" s="42" t="inlineStr">
        <is>
          <t>C00004564 | 马鹏飞 | 德国Intercem公司法国水泥厂项目单仓询价 | 方案 V3 |</t>
        </is>
      </c>
      <c r="F73" s="42" t="inlineStr">
        <is>
          <t>已做方案，及报价，目前此业主也是投标，目前并无更新的投标情况</t>
        </is>
      </c>
    </row>
    <row r="74" ht="28" customHeight="1">
      <c r="A74" s="42" t="inlineStr">
        <is>
          <t>马鹏飞</t>
        </is>
      </c>
      <c r="B74" s="42" t="n">
        <v>103</v>
      </c>
      <c r="C74" s="44" t="inlineStr">
        <is>
          <t>观望</t>
        </is>
      </c>
      <c r="D74" s="42" t="inlineStr">
        <is>
          <t>拉法基墨西哥，刚报价尚无反馈</t>
        </is>
      </c>
      <c r="E74" s="42" t="inlineStr">
        <is>
          <t>C00001611| 马鹏飞 | 工业 | 墨西哥拉法基1*500吨水泥仓项目 | 方案V1 |</t>
        </is>
      </c>
      <c r="F74" s="42" t="inlineStr">
        <is>
          <t>已做方案，及报价，刚发出报价，尚无业主对价格的反馈意见。</t>
        </is>
      </c>
    </row>
    <row r="75" ht="28" customHeight="1">
      <c r="A75" s="42" t="inlineStr">
        <is>
          <t>王伟乐</t>
        </is>
      </c>
      <c r="B75" s="42" t="n">
        <v>144</v>
      </c>
      <c r="C75" s="46" t="inlineStr">
        <is>
          <t>前期</t>
        </is>
      </c>
      <c r="D75" s="42" t="inlineStr">
        <is>
          <t>苏丹农行，还在做预算报价</t>
        </is>
      </c>
      <c r="E75" s="42" t="inlineStr">
        <is>
          <t>C00006335 | 王伟乐 | 粮食|  苏丹农业银行粮储项目 | 方案 V1|</t>
        </is>
      </c>
      <c r="F75" s="42" t="inlineStr">
        <is>
          <t>还在进行预算的报价，土建的报价需要预估</t>
        </is>
      </c>
    </row>
    <row r="76" ht="28" customHeight="1">
      <c r="A76" s="42" t="inlineStr">
        <is>
          <t>王伟乐</t>
        </is>
      </c>
      <c r="B76" s="42" t="n">
        <v>145</v>
      </c>
      <c r="C76" s="45" t="inlineStr">
        <is>
          <t>其他</t>
        </is>
      </c>
      <c r="D76" s="42" t="inlineStr">
        <is>
          <t>埃及螺旋仓，已报价未反馈</t>
        </is>
      </c>
      <c r="E76" s="42" t="inlineStr">
        <is>
          <t>C00006274| 王伟乐|工业|2026.6.15 |埃及 4*3000t 螺旋咬口仓项目| 方案V1</t>
        </is>
      </c>
      <c r="F76" s="42" t="inlineStr">
        <is>
          <t>已报价，客户未反馈报价的情况，后期可以继续跟进</t>
        </is>
      </c>
    </row>
    <row r="77" ht="28" customHeight="1">
      <c r="A77" s="42" t="inlineStr">
        <is>
          <t>王伟乐</t>
        </is>
      </c>
      <c r="B77" s="42" t="n">
        <v>146</v>
      </c>
      <c r="C77" s="43" t="inlineStr">
        <is>
          <t>决策</t>
        </is>
      </c>
      <c r="D77" s="42" t="inlineStr">
        <is>
          <t>裕廊港，最新价澄清中</t>
        </is>
      </c>
      <c r="E77" s="42" t="inlineStr">
        <is>
          <t>C00008344 |王伟乐|工业| 新加披裕廊港12*10000t水泥钢板仓项目|方案V1|重点项目</t>
        </is>
      </c>
      <c r="F77" s="42" t="inlineStr">
        <is>
          <t>在更新方案和报价给咨询公司做前期招投标准备，目前报了一版最新的价格，还在澄清</t>
        </is>
      </c>
    </row>
    <row r="78" ht="28" customHeight="1">
      <c r="A78" s="42" t="inlineStr">
        <is>
          <t>王伟乐</t>
        </is>
      </c>
      <c r="B78" s="42" t="n">
        <v>151</v>
      </c>
      <c r="C78" s="44" t="inlineStr">
        <is>
          <t>观望</t>
        </is>
      </c>
      <c r="D78" s="42" t="inlineStr">
        <is>
          <t>CIMAF，已报价库龄偏长</t>
        </is>
      </c>
      <c r="E78" s="42" t="inlineStr">
        <is>
          <t>C00007413|王伟乐|工业|摩洛哥CIMAF 1*700t 水泥装配仓项目|方案V7|重点项目</t>
        </is>
      </c>
      <c r="F78" s="42" t="inlineStr">
        <is>
          <t>已报价，还在继续跟进，属于毛里塔尼亚老客户总部的项目</t>
        </is>
      </c>
    </row>
    <row r="79" ht="28" customHeight="1">
      <c r="A79" s="42" t="inlineStr">
        <is>
          <t>尹韬越</t>
        </is>
      </c>
      <c r="B79" s="42" t="n">
        <v>153</v>
      </c>
      <c r="C79" s="45" t="inlineStr">
        <is>
          <t>其他</t>
        </is>
      </c>
      <c r="D79" s="42" t="inlineStr">
        <is>
          <t>仅写已报价，超90天无下一步</t>
        </is>
      </c>
      <c r="E79" s="42" t="inlineStr">
        <is>
          <t>C00009303｜尹韬越｜工业｜乌兹别克斯坦尼什巴什一期储煤场末煤仓项目｜方案V1</t>
        </is>
      </c>
      <c r="F79" s="42" t="inlineStr">
        <is>
          <t>已报价</t>
        </is>
      </c>
    </row>
    <row r="80" ht="28" customHeight="1">
      <c r="A80" s="42" t="inlineStr">
        <is>
          <t>尹韬越</t>
        </is>
      </c>
      <c r="B80" s="42" t="n">
        <v>154</v>
      </c>
      <c r="C80" s="45" t="inlineStr">
        <is>
          <t>其他</t>
        </is>
      </c>
      <c r="D80" s="42" t="inlineStr">
        <is>
          <t>仅写已报方案，无互动</t>
        </is>
      </c>
      <c r="E80" s="42" t="inlineStr">
        <is>
          <t>C00009297｜尹韬越｜粮食｜格鲁吉亚第比利斯3×1000吨玉米仓｜方案V1</t>
        </is>
      </c>
      <c r="F80" s="42" t="inlineStr">
        <is>
          <t>已报方案</t>
        </is>
      </c>
    </row>
    <row r="81" ht="28" customHeight="1">
      <c r="A81" s="42" t="inlineStr">
        <is>
          <t>尹韬越</t>
        </is>
      </c>
      <c r="B81" s="42" t="n">
        <v>156</v>
      </c>
      <c r="C81" s="43" t="inlineStr">
        <is>
          <t>决策</t>
        </is>
      </c>
      <c r="D81" s="42" t="inlineStr">
        <is>
          <t>哈萨克征地，长周期有节点</t>
        </is>
      </c>
      <c r="E81" s="42" t="inlineStr">
        <is>
          <t>C00008577｜尹韬越｜粮食｜哈萨克斯坦4×3500吨粮食项目｜方案V2</t>
        </is>
      </c>
      <c r="F81" s="42" t="inlineStr">
        <is>
          <t>已报方案，目前对方在征地</t>
        </is>
      </c>
    </row>
    <row r="82" ht="28" customHeight="1">
      <c r="A82" s="42" t="inlineStr">
        <is>
          <t>尹韬越</t>
        </is>
      </c>
      <c r="B82" s="42" t="n">
        <v>158</v>
      </c>
      <c r="C82" s="45" t="inlineStr">
        <is>
          <t>其他</t>
        </is>
      </c>
      <c r="D82" s="42" t="inlineStr">
        <is>
          <t>与156同一征地，重复开单</t>
        </is>
      </c>
      <c r="E82" s="42" t="inlineStr">
        <is>
          <t>C00008577 尹韬越哈萨克斯坦4×3500吨粮食项目 方案1</t>
        </is>
      </c>
      <c r="F82" s="42" t="inlineStr">
        <is>
          <t>已报方案，目前对方在征地</t>
        </is>
      </c>
    </row>
    <row r="83" ht="28" customHeight="1">
      <c r="A83" s="42" t="inlineStr">
        <is>
          <t>王伟超</t>
        </is>
      </c>
      <c r="B83" s="42" t="n">
        <v>139</v>
      </c>
      <c r="C83" s="46" t="inlineStr">
        <is>
          <t>前期</t>
        </is>
      </c>
      <c r="D83" s="42" t="inlineStr">
        <is>
          <t>乌干达，非业主了解预算</t>
        </is>
      </c>
      <c r="E83" s="42" t="inlineStr">
        <is>
          <t>C00009593｜王伟超｜粮食｜乌干达生咖啡豆筒仓项目｜方案V1</t>
        </is>
      </c>
      <c r="F83" s="42" t="inlineStr">
        <is>
          <t>已经和客户开过视频会，发了方案和报价，但不是最终业主，而且业主表示目前是在准备阶段，这次询价可能是为了了解大概需要多少预算</t>
        </is>
      </c>
    </row>
    <row r="84" ht="28" customHeight="1">
      <c r="A84" s="42" t="inlineStr">
        <is>
          <t>王伟超</t>
        </is>
      </c>
      <c r="B84" s="42" t="n">
        <v>141</v>
      </c>
      <c r="C84" s="43" t="inlineStr">
        <is>
          <t>决策</t>
        </is>
      </c>
      <c r="D84" s="42" t="inlineStr">
        <is>
          <t>哥斯达黎加，多次改图等回复</t>
        </is>
      </c>
      <c r="E84" s="42" t="inlineStr">
        <is>
          <t>C00009044｜王伟超｜粮食｜哥斯达黎加室外2个175吨，室内32个咖啡豆仓｜方案V5 | 重点项目</t>
        </is>
      </c>
      <c r="F84" s="42" t="inlineStr">
        <is>
          <t>已参观过公司和工厂，已发方案和报价，并且更新过多次方案与报价，正在调整图纸的细节变化，并且需要契合对方厂房中设备的安装位置，等待对方回复</t>
        </is>
      </c>
    </row>
    <row r="85" ht="28" customHeight="1">
      <c r="A85" s="42" t="inlineStr">
        <is>
          <t>王伟超</t>
        </is>
      </c>
      <c r="B85" s="42" t="n">
        <v>143</v>
      </c>
      <c r="C85" s="44" t="inlineStr">
        <is>
          <t>观望</t>
        </is>
      </c>
      <c r="D85" s="42" t="inlineStr">
        <is>
          <t>达沃料场，价格超预期</t>
        </is>
      </c>
      <c r="E85" s="42" t="inlineStr">
        <is>
          <t>C00006712｜王伟超｜工业｜菲律宾达沃料场项目｜方案V1</t>
        </is>
      </c>
      <c r="F85" s="42" t="inlineStr">
        <is>
          <t>与陈总沟通后，最终决定让我继续跟进，已经发送过方案与报价，但是根据料场的跨度过大，结构计算重量偏大，所以价格超过对方的预期，中间商正在与业主了解更多信息</t>
        </is>
      </c>
    </row>
    <row r="86" ht="28" customHeight="1">
      <c r="A86" s="42" t="inlineStr">
        <is>
          <t>张硕</t>
        </is>
      </c>
      <c r="B86" s="42" t="n">
        <v>167</v>
      </c>
      <c r="C86" s="46" t="inlineStr">
        <is>
          <t>前期</t>
        </is>
      </c>
      <c r="D86" s="42" t="inlineStr">
        <is>
          <t>大EPC需投标并设当地分公司，持续跟进</t>
        </is>
      </c>
      <c r="E86" s="42" t="inlineStr">
        <is>
          <t>20260105张硕 哈里发港粮食码头来粮接收及储存项目</t>
        </is>
      </c>
      <c r="F86" s="42" t="inlineStr">
        <is>
          <t>项目为大EPC，需要投标并在当地成立分公司，后续持续跟进</t>
        </is>
      </c>
    </row>
    <row r="87" ht="28" customHeight="1">
      <c r="A87" s="42" t="inlineStr">
        <is>
          <t>张硕</t>
        </is>
      </c>
      <c r="B87" s="42" t="n">
        <v>168</v>
      </c>
      <c r="C87" s="43" t="inlineStr">
        <is>
          <t>决策</t>
        </is>
      </c>
      <c r="D87" s="42" t="inlineStr">
        <is>
          <t>斯里兰卡小麦仓，报价已上呈总裁</t>
        </is>
      </c>
      <c r="E87" s="42" t="inlineStr">
        <is>
          <t>C00009858 | 张硕 | 粮食 | 斯里兰卡汉班托塔Golden Harvest Mill3x1500MT小麦仓扩建项目</t>
        </is>
      </c>
      <c r="F87" s="42" t="inlineStr">
        <is>
          <t>业主收到3座仓的正式报价后没有直接给出评论意见，仅回复说以将报价上呈给公司总裁，判断其从多方供应商处比较报价后再做决定，跟进策略对业主按保持每周频次跟进，不表现急切情绪；另从近期开发的当地代理处侧面了解项目进展</t>
        </is>
      </c>
    </row>
    <row r="88" ht="28" customHeight="1">
      <c r="A88" s="42" t="inlineStr">
        <is>
          <t>张硕</t>
        </is>
      </c>
      <c r="B88" s="42" t="n">
        <v>169</v>
      </c>
      <c r="C88" s="45" t="inlineStr">
        <is>
          <t>其他</t>
        </is>
      </c>
      <c r="D88" s="42" t="inlineStr">
        <is>
          <t>印尼料斗，确认清单时无视邮件</t>
        </is>
      </c>
      <c r="E88" s="42" t="inlineStr">
        <is>
          <t>C00009866 | 张硕｜工业｜印尼工程公司PT REXLINE生物质30m³定量料斗项目｜方案V1</t>
        </is>
      </c>
      <c r="F88" s="42" t="inlineStr">
        <is>
          <t>客户为印尼本地工程公司，在收到我方的方案和设备清单（不含报价），与其沟通对方案图纸和设备清单参数确认时，对方多次无视邮件和Whatsapp信息，初步判定为客户可能已收到合适的报价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48" customWidth="1" min="4" max="4"/>
  </cols>
  <sheetData>
    <row r="1" ht="28" customHeight="1">
      <c r="A1" s="35" t="inlineStr">
        <is>
          <t>原因分类</t>
        </is>
      </c>
      <c r="B1" s="35" t="inlineStr">
        <is>
          <t>条数</t>
        </is>
      </c>
      <c r="C1" s="35" t="inlineStr">
        <is>
          <t>占已关丢单</t>
        </is>
      </c>
      <c r="D1" s="35" t="inlineStr">
        <is>
          <t>主要是谁</t>
        </is>
      </c>
    </row>
    <row r="2" ht="28" customHeight="1">
      <c r="A2" s="7" t="inlineStr">
        <is>
          <t>失联/无反馈</t>
        </is>
      </c>
      <c r="B2" s="7" t="n">
        <v>23</v>
      </c>
      <c r="C2" s="29" t="n">
        <v>0.3833333333333334</v>
      </c>
      <c r="D2" s="7" t="inlineStr">
        <is>
          <t>苗恒 5；马鹏飞 4；王伟乐 4；司斌 3；崔阳 2；尹韬越 2；张硕 2；韩鸿彪 1</t>
        </is>
      </c>
    </row>
    <row r="3" ht="28" customHeight="1">
      <c r="A3" s="7" t="inlineStr">
        <is>
          <t>价格/预算</t>
        </is>
      </c>
      <c r="B3" s="7" t="n">
        <v>12</v>
      </c>
      <c r="C3" s="29" t="n">
        <v>0.2</v>
      </c>
      <c r="D3" s="7" t="inlineStr">
        <is>
          <t>崔阳 5；尹韬越 3；陈子凡 2；陈辉 1；王伟超 1</t>
        </is>
      </c>
    </row>
    <row r="4" ht="28" customHeight="1">
      <c r="A4" s="7" t="inlineStr">
        <is>
          <t>我方做不了/主动放弃</t>
        </is>
      </c>
      <c r="B4" s="7" t="n">
        <v>9</v>
      </c>
      <c r="C4" s="29" t="n">
        <v>0.15</v>
      </c>
      <c r="D4" s="7" t="inlineStr">
        <is>
          <t>陈子凡 3；马鹏飞 3；崔阳 2；司斌 1</t>
        </is>
      </c>
    </row>
    <row r="5" ht="28" customHeight="1">
      <c r="A5" s="7" t="inlineStr">
        <is>
          <t>选其他供应商/工艺</t>
        </is>
      </c>
      <c r="B5" s="7" t="n">
        <v>8</v>
      </c>
      <c r="C5" s="29" t="n">
        <v>0.1333333333333333</v>
      </c>
      <c r="D5" s="7" t="inlineStr">
        <is>
          <t>崔阳 7；苗恒 1</t>
        </is>
      </c>
    </row>
    <row r="6" ht="28" customHeight="1">
      <c r="A6" s="7" t="inlineStr">
        <is>
          <t>需求不实/未立项/改计划</t>
        </is>
      </c>
      <c r="B6" s="7" t="n">
        <v>8</v>
      </c>
      <c r="C6" s="29" t="n">
        <v>0.1333333333333333</v>
      </c>
      <c r="D6" s="7" t="inlineStr">
        <is>
          <t>崔阳 3；苗恒 2；陈辉 2；陈子凡 1</t>
        </is>
      </c>
    </row>
    <row r="7" ht="28" customHeight="1">
      <c r="A7" s="47" t="inlineStr">
        <is>
          <t>合计</t>
        </is>
      </c>
      <c r="B7" s="47" t="n">
        <v>60</v>
      </c>
      <c r="C7" s="48" t="n">
        <v>1</v>
      </c>
      <c r="D7" s="47" t="inlineStr">
        <is>
          <t>已结项-丢单/已结项；不含暂停17条</t>
        </is>
      </c>
    </row>
    <row r="9">
      <c r="A9" s="14" t="inlineStr">
        <is>
          <t>口径：国际部已关掉、判定丢掉的60条。暂停17条多数未填原因，不进本表。尹韬越另有4条暂停也是失联。</t>
        </is>
      </c>
    </row>
  </sheetData>
  <mergeCells count="1">
    <mergeCell ref="A9:D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4" max="4"/>
  </cols>
  <sheetData>
    <row r="1" ht="22" customHeight="1">
      <c r="A1" s="49" t="inlineStr">
        <is>
          <t>原因分类</t>
        </is>
      </c>
      <c r="B1" s="49" t="inlineStr">
        <is>
          <t>序号</t>
        </is>
      </c>
      <c r="C1" s="49" t="inlineStr">
        <is>
          <t>业务员</t>
        </is>
      </c>
      <c r="D1" s="49" t="inlineStr">
        <is>
          <t>一句话</t>
        </is>
      </c>
    </row>
    <row r="2" ht="22" customHeight="1">
      <c r="A2" s="42" t="inlineStr">
        <is>
          <t>失联/无反馈</t>
        </is>
      </c>
      <c r="B2" s="42" t="n">
        <v>54</v>
      </c>
      <c r="C2" s="42" t="inlineStr">
        <is>
          <t>崔阳</t>
        </is>
      </c>
      <c r="D2" s="42" t="inlineStr">
        <is>
          <t>Anush饲料仓，报后一直说在考虑</t>
        </is>
      </c>
    </row>
    <row r="3" ht="22" customHeight="1">
      <c r="A3" s="42" t="inlineStr">
        <is>
          <t>失联/无反馈</t>
        </is>
      </c>
      <c r="B3" s="42" t="n">
        <v>60</v>
      </c>
      <c r="C3" s="42" t="inlineStr">
        <is>
          <t>崔阳</t>
        </is>
      </c>
      <c r="D3" s="42" t="inlineStr">
        <is>
          <t>500吨水泥仓，报价后失联</t>
        </is>
      </c>
    </row>
    <row r="4" ht="22" customHeight="1">
      <c r="A4" s="42" t="inlineStr">
        <is>
          <t>失联/无反馈</t>
        </is>
      </c>
      <c r="B4" s="42" t="n">
        <v>87</v>
      </c>
      <c r="C4" s="42" t="inlineStr">
        <is>
          <t>韩鸿彪</t>
        </is>
      </c>
      <c r="D4" s="42" t="inlineStr">
        <is>
          <t>巴拿马粮库，非终端业主后失联</t>
        </is>
      </c>
    </row>
    <row r="5" ht="22" customHeight="1">
      <c r="A5" s="42" t="inlineStr">
        <is>
          <t>失联/无反馈</t>
        </is>
      </c>
      <c r="B5" s="42" t="n">
        <v>94</v>
      </c>
      <c r="C5" s="42" t="inlineStr">
        <is>
          <t>马鹏飞</t>
        </is>
      </c>
      <c r="D5" s="42" t="inlineStr">
        <is>
          <t>保加利亚消石灰仓，澄清未回</t>
        </is>
      </c>
    </row>
    <row r="6" ht="22" customHeight="1">
      <c r="A6" s="42" t="inlineStr">
        <is>
          <t>失联/无反馈</t>
        </is>
      </c>
      <c r="B6" s="42" t="n">
        <v>95</v>
      </c>
      <c r="C6" s="42" t="inlineStr">
        <is>
          <t>马鹏飞</t>
        </is>
      </c>
      <c r="D6" s="42" t="inlineStr">
        <is>
          <t>澳洲农场仓，澄清未回后失联</t>
        </is>
      </c>
    </row>
    <row r="7" ht="22" customHeight="1">
      <c r="A7" s="42" t="inlineStr">
        <is>
          <t>失联/无反馈</t>
        </is>
      </c>
      <c r="B7" s="42" t="n">
        <v>96</v>
      </c>
      <c r="C7" s="42" t="inlineStr">
        <is>
          <t>马鹏飞</t>
        </is>
      </c>
      <c r="D7" s="42" t="inlineStr">
        <is>
          <t>智利麦麸料斗，澄清未回后失联</t>
        </is>
      </c>
    </row>
    <row r="8" ht="22" customHeight="1">
      <c r="A8" s="42" t="inlineStr">
        <is>
          <t>失联/无反馈</t>
        </is>
      </c>
      <c r="B8" s="42" t="n">
        <v>101</v>
      </c>
      <c r="C8" s="42" t="inlineStr">
        <is>
          <t>马鹏飞</t>
        </is>
      </c>
      <c r="D8" s="42" t="inlineStr">
        <is>
          <t>阿尔及利亚干燥，报价后失联</t>
        </is>
      </c>
    </row>
    <row r="9" ht="22" customHeight="1">
      <c r="A9" s="42" t="inlineStr">
        <is>
          <t>失联/无反馈</t>
        </is>
      </c>
      <c r="B9" s="42" t="n">
        <v>107</v>
      </c>
      <c r="C9" s="42" t="inlineStr">
        <is>
          <t>苗恒</t>
        </is>
      </c>
      <c r="D9" s="42" t="inlineStr">
        <is>
          <t>印尼玉米仓</t>
        </is>
      </c>
    </row>
    <row r="10" ht="22" customHeight="1">
      <c r="A10" s="42" t="inlineStr">
        <is>
          <t>失联/无反馈</t>
        </is>
      </c>
      <c r="B10" s="42" t="n">
        <v>108</v>
      </c>
      <c r="C10" s="42" t="inlineStr">
        <is>
          <t>苗恒</t>
        </is>
      </c>
      <c r="D10" s="42" t="inlineStr">
        <is>
          <t>阿联酋玻璃瓶厂</t>
        </is>
      </c>
    </row>
    <row r="11" ht="22" customHeight="1">
      <c r="A11" s="42" t="inlineStr">
        <is>
          <t>失联/无反馈</t>
        </is>
      </c>
      <c r="B11" s="42" t="n">
        <v>110</v>
      </c>
      <c r="C11" s="42" t="inlineStr">
        <is>
          <t>苗恒</t>
        </is>
      </c>
      <c r="D11" s="42" t="inlineStr">
        <is>
          <t>也门麸皮仓，更新后无答复</t>
        </is>
      </c>
    </row>
    <row r="12" ht="22" customHeight="1">
      <c r="A12" s="42" t="inlineStr">
        <is>
          <t>失联/无反馈</t>
        </is>
      </c>
      <c r="B12" s="42" t="n">
        <v>111</v>
      </c>
      <c r="C12" s="42" t="inlineStr">
        <is>
          <t>苗恒</t>
        </is>
      </c>
      <c r="D12" s="42" t="inlineStr">
        <is>
          <t>德国水泥仓</t>
        </is>
      </c>
    </row>
    <row r="13" ht="22" customHeight="1">
      <c r="A13" s="42" t="inlineStr">
        <is>
          <t>失联/无反馈</t>
        </is>
      </c>
      <c r="B13" s="42" t="n">
        <v>115</v>
      </c>
      <c r="C13" s="42" t="inlineStr">
        <is>
          <t>苗恒</t>
        </is>
      </c>
      <c r="D13" s="42" t="inlineStr">
        <is>
          <t>马拉维大豆仓</t>
        </is>
      </c>
    </row>
    <row r="14" ht="22" customHeight="1">
      <c r="A14" s="42" t="inlineStr">
        <is>
          <t>失联/无反馈</t>
        </is>
      </c>
      <c r="B14" s="42" t="n">
        <v>128</v>
      </c>
      <c r="C14" s="42" t="inlineStr">
        <is>
          <t>司斌</t>
        </is>
      </c>
      <c r="D14" s="42" t="inlineStr">
        <is>
          <t>越南粉煤灰，报价后不再联系</t>
        </is>
      </c>
    </row>
    <row r="15" ht="22" customHeight="1">
      <c r="A15" s="42" t="inlineStr">
        <is>
          <t>失联/无反馈</t>
        </is>
      </c>
      <c r="B15" s="42" t="n">
        <v>129</v>
      </c>
      <c r="C15" s="42" t="inlineStr">
        <is>
          <t>司斌</t>
        </is>
      </c>
      <c r="D15" s="42" t="inlineStr">
        <is>
          <t>马来发放仓，按失联</t>
        </is>
      </c>
    </row>
    <row r="16" ht="22" customHeight="1">
      <c r="A16" s="42" t="inlineStr">
        <is>
          <t>失联/无反馈</t>
        </is>
      </c>
      <c r="B16" s="42" t="n">
        <v>134</v>
      </c>
      <c r="C16" s="42" t="inlineStr">
        <is>
          <t>司斌</t>
        </is>
      </c>
      <c r="D16" s="42" t="inlineStr">
        <is>
          <t>苏丹小麦仓，收集价格后失联</t>
        </is>
      </c>
    </row>
    <row r="17" ht="22" customHeight="1">
      <c r="A17" s="42" t="inlineStr">
        <is>
          <t>失联/无反馈</t>
        </is>
      </c>
      <c r="B17" s="42" t="n">
        <v>147</v>
      </c>
      <c r="C17" s="42" t="inlineStr">
        <is>
          <t>王伟乐</t>
        </is>
      </c>
      <c r="D17" s="42" t="inlineStr">
        <is>
          <t>德方仓，报价未反馈</t>
        </is>
      </c>
    </row>
    <row r="18" ht="22" customHeight="1">
      <c r="A18" s="42" t="inlineStr">
        <is>
          <t>失联/无反馈</t>
        </is>
      </c>
      <c r="B18" s="42" t="n">
        <v>148</v>
      </c>
      <c r="C18" s="42" t="inlineStr">
        <is>
          <t>王伟乐</t>
        </is>
      </c>
      <c r="D18" s="42" t="inlineStr">
        <is>
          <t>菲律宾玉米仓，不反馈</t>
        </is>
      </c>
    </row>
    <row r="19" ht="22" customHeight="1">
      <c r="A19" s="42" t="inlineStr">
        <is>
          <t>失联/无反馈</t>
        </is>
      </c>
      <c r="B19" s="42" t="n">
        <v>149</v>
      </c>
      <c r="C19" s="42" t="inlineStr">
        <is>
          <t>王伟乐</t>
        </is>
      </c>
      <c r="D19" s="42" t="inlineStr">
        <is>
          <t>塞舌尔水泥码头，出方案后失联</t>
        </is>
      </c>
    </row>
    <row r="20" ht="22" customHeight="1">
      <c r="A20" s="42" t="inlineStr">
        <is>
          <t>失联/无反馈</t>
        </is>
      </c>
      <c r="B20" s="42" t="n">
        <v>150</v>
      </c>
      <c r="C20" s="42" t="inlineStr">
        <is>
          <t>王伟乐</t>
        </is>
      </c>
      <c r="D20" s="42" t="inlineStr">
        <is>
          <t>沙特水泥仓，报价无反馈</t>
        </is>
      </c>
    </row>
    <row r="21" ht="22" customHeight="1">
      <c r="A21" s="42" t="inlineStr">
        <is>
          <t>失联/无反馈</t>
        </is>
      </c>
      <c r="B21" s="42" t="n">
        <v>152</v>
      </c>
      <c r="C21" s="42" t="inlineStr">
        <is>
          <t>尹韬越</t>
        </is>
      </c>
      <c r="D21" s="42" t="inlineStr">
        <is>
          <t>苏亚克磷矿，报后无回复就结</t>
        </is>
      </c>
    </row>
    <row r="22" ht="22" customHeight="1">
      <c r="A22" s="42" t="inlineStr">
        <is>
          <t>失联/无反馈</t>
        </is>
      </c>
      <c r="B22" s="42" t="n">
        <v>155</v>
      </c>
      <c r="C22" s="42" t="inlineStr">
        <is>
          <t>尹韬越</t>
        </is>
      </c>
      <c r="D22" s="42" t="inlineStr">
        <is>
          <t>乌拉尔斯克转运站失联</t>
        </is>
      </c>
    </row>
    <row r="23" ht="22" customHeight="1">
      <c r="A23" s="42" t="inlineStr">
        <is>
          <t>失联/无反馈</t>
        </is>
      </c>
      <c r="B23" s="42" t="n">
        <v>165</v>
      </c>
      <c r="C23" s="42" t="inlineStr">
        <is>
          <t>张硕</t>
        </is>
      </c>
      <c r="D23" s="42" t="inlineStr">
        <is>
          <t>苏里南糙米线失联</t>
        </is>
      </c>
    </row>
    <row r="24" ht="22" customHeight="1">
      <c r="A24" s="42" t="inlineStr">
        <is>
          <t>失联/无反馈</t>
        </is>
      </c>
      <c r="B24" s="42" t="n">
        <v>166</v>
      </c>
      <c r="C24" s="42" t="inlineStr">
        <is>
          <t>张硕</t>
        </is>
      </c>
      <c r="D24" s="42" t="inlineStr">
        <is>
          <t>Sibelco法国失联</t>
        </is>
      </c>
    </row>
    <row r="25" ht="22" customHeight="1">
      <c r="A25" s="42" t="inlineStr">
        <is>
          <t>价格/预算</t>
        </is>
      </c>
      <c r="B25" s="42" t="n">
        <v>8</v>
      </c>
      <c r="C25" s="42" t="inlineStr">
        <is>
          <t>陈辉</t>
        </is>
      </c>
      <c r="D25" s="42" t="inlineStr">
        <is>
          <t>Kim石膏粉仓，价格不及当地</t>
        </is>
      </c>
    </row>
    <row r="26" ht="22" customHeight="1">
      <c r="A26" s="42" t="inlineStr">
        <is>
          <t>价格/预算</t>
        </is>
      </c>
      <c r="B26" s="42" t="n">
        <v>23</v>
      </c>
      <c r="C26" s="42" t="inlineStr">
        <is>
          <t>陈子凡</t>
        </is>
      </c>
      <c r="D26" s="42" t="inlineStr">
        <is>
          <t>益海大豆仓，工厂砍预算</t>
        </is>
      </c>
    </row>
    <row r="27" ht="22" customHeight="1">
      <c r="A27" s="42" t="inlineStr">
        <is>
          <t>价格/预算</t>
        </is>
      </c>
      <c r="B27" s="42" t="n">
        <v>26</v>
      </c>
      <c r="C27" s="42" t="inlineStr">
        <is>
          <t>陈子凡</t>
        </is>
      </c>
      <c r="D27" s="42" t="inlineStr">
        <is>
          <t>生力SMC平方仓，钢构价格</t>
        </is>
      </c>
    </row>
    <row r="28" ht="22" customHeight="1">
      <c r="A28" s="42" t="inlineStr">
        <is>
          <t>价格/预算</t>
        </is>
      </c>
      <c r="B28" s="42" t="n">
        <v>43</v>
      </c>
      <c r="C28" s="42" t="inlineStr">
        <is>
          <t>崔阳</t>
        </is>
      </c>
      <c r="D28" s="42" t="inlineStr">
        <is>
          <t>UZMET石灰仓储，价格过高</t>
        </is>
      </c>
    </row>
    <row r="29" ht="22" customHeight="1">
      <c r="A29" s="42" t="inlineStr">
        <is>
          <t>价格/预算</t>
        </is>
      </c>
      <c r="B29" s="42" t="n">
        <v>48</v>
      </c>
      <c r="C29" s="42" t="inlineStr">
        <is>
          <t>崔阳</t>
        </is>
      </c>
      <c r="D29" s="42" t="inlineStr">
        <is>
          <t>SILOS KZ 30000吨，价格+资料不完整</t>
        </is>
      </c>
    </row>
    <row r="30" ht="22" customHeight="1">
      <c r="A30" s="42" t="inlineStr">
        <is>
          <t>价格/预算</t>
        </is>
      </c>
      <c r="B30" s="42" t="n">
        <v>49</v>
      </c>
      <c r="C30" s="42" t="inlineStr">
        <is>
          <t>崔阳</t>
        </is>
      </c>
      <c r="D30" s="42" t="inlineStr">
        <is>
          <t>SILOS KZ 1000吨，同上</t>
        </is>
      </c>
    </row>
    <row r="31" ht="22" customHeight="1">
      <c r="A31" s="42" t="inlineStr">
        <is>
          <t>价格/预算</t>
        </is>
      </c>
      <c r="B31" s="42" t="n">
        <v>50</v>
      </c>
      <c r="C31" s="42" t="inlineStr">
        <is>
          <t>崔阳</t>
        </is>
      </c>
      <c r="D31" s="42" t="inlineStr">
        <is>
          <t>ELFORS谷物码头，价格过高</t>
        </is>
      </c>
    </row>
    <row r="32" ht="22" customHeight="1">
      <c r="A32" s="42" t="inlineStr">
        <is>
          <t>价格/预算</t>
        </is>
      </c>
      <c r="B32" s="42" t="n">
        <v>57</v>
      </c>
      <c r="C32" s="42" t="inlineStr">
        <is>
          <t>崔阳</t>
        </is>
      </c>
      <c r="D32" s="42" t="inlineStr">
        <is>
          <t>粮食储运，价格敏感选其他家</t>
        </is>
      </c>
    </row>
    <row r="33" ht="22" customHeight="1">
      <c r="A33" s="42" t="inlineStr">
        <is>
          <t>价格/预算</t>
        </is>
      </c>
      <c r="B33" s="42" t="n">
        <v>140</v>
      </c>
      <c r="C33" s="42" t="inlineStr">
        <is>
          <t>王伟超</t>
        </is>
      </c>
      <c r="D33" s="42" t="inlineStr">
        <is>
          <t>南非玉米仓，价格超预算</t>
        </is>
      </c>
    </row>
    <row r="34" ht="22" customHeight="1">
      <c r="A34" s="42" t="inlineStr">
        <is>
          <t>价格/预算</t>
        </is>
      </c>
      <c r="B34" s="42" t="n">
        <v>157</v>
      </c>
      <c r="C34" s="42" t="inlineStr">
        <is>
          <t>尹韬越</t>
        </is>
      </c>
      <c r="D34" s="42" t="inlineStr">
        <is>
          <t>哈萨克4×3000粮食，价格</t>
        </is>
      </c>
    </row>
    <row r="35" ht="22" customHeight="1">
      <c r="A35" s="42" t="inlineStr">
        <is>
          <t>价格/预算</t>
        </is>
      </c>
      <c r="B35" s="42" t="n">
        <v>159</v>
      </c>
      <c r="C35" s="42" t="inlineStr">
        <is>
          <t>尹韬越</t>
        </is>
      </c>
      <c r="D35" s="42" t="inlineStr">
        <is>
          <t>哈萨克1×5000粮仓，价格</t>
        </is>
      </c>
    </row>
    <row r="36" ht="22" customHeight="1">
      <c r="A36" s="42" t="inlineStr">
        <is>
          <t>价格/预算</t>
        </is>
      </c>
      <c r="B36" s="42" t="n">
        <v>160</v>
      </c>
      <c r="C36" s="42" t="inlineStr">
        <is>
          <t>尹韬越</t>
        </is>
      </c>
      <c r="D36" s="42" t="inlineStr">
        <is>
          <t>哈萨克70000吨筒仓，价格</t>
        </is>
      </c>
    </row>
    <row r="37" ht="22" customHeight="1">
      <c r="A37" s="42" t="inlineStr">
        <is>
          <t>我方做不了/主动放弃</t>
        </is>
      </c>
      <c r="B37" s="42" t="n">
        <v>25</v>
      </c>
      <c r="C37" s="42" t="inlineStr">
        <is>
          <t>陈子凡</t>
        </is>
      </c>
      <c r="D37" s="42" t="inlineStr">
        <is>
          <t>生力临建EPC，土建占比高未参与</t>
        </is>
      </c>
    </row>
    <row r="38" ht="22" customHeight="1">
      <c r="A38" s="42" t="inlineStr">
        <is>
          <t>我方做不了/主动放弃</t>
        </is>
      </c>
      <c r="B38" s="42" t="n">
        <v>27</v>
      </c>
      <c r="C38" s="42" t="inlineStr">
        <is>
          <t>陈子凡</t>
        </is>
      </c>
      <c r="D38" s="42" t="inlineStr">
        <is>
          <t>毛里求斯塑料圆仓，体量小放弃</t>
        </is>
      </c>
    </row>
    <row r="39" ht="22" customHeight="1">
      <c r="A39" s="42" t="inlineStr">
        <is>
          <t>我方做不了/主动放弃</t>
        </is>
      </c>
      <c r="B39" s="42" t="n">
        <v>28</v>
      </c>
      <c r="C39" s="42" t="inlineStr">
        <is>
          <t>陈子凡</t>
        </is>
      </c>
      <c r="D39" s="42" t="inlineStr">
        <is>
          <t>印尼碳酸钙仓，体量小放弃</t>
        </is>
      </c>
    </row>
    <row r="40" ht="22" customHeight="1">
      <c r="A40" s="42" t="inlineStr">
        <is>
          <t>我方做不了/主动放弃</t>
        </is>
      </c>
      <c r="B40" s="42" t="n">
        <v>45</v>
      </c>
      <c r="C40" s="42" t="inlineStr">
        <is>
          <t>崔阳</t>
        </is>
      </c>
      <c r="D40" s="42" t="inlineStr">
        <is>
          <t>氧化铝，技术方案不满足</t>
        </is>
      </c>
    </row>
    <row r="41" ht="22" customHeight="1">
      <c r="A41" s="42" t="inlineStr">
        <is>
          <t>我方做不了/主动放弃</t>
        </is>
      </c>
      <c r="B41" s="42" t="n">
        <v>66</v>
      </c>
      <c r="C41" s="42" t="inlineStr">
        <is>
          <t>崔阳</t>
        </is>
      </c>
      <c r="D41" s="42" t="inlineStr">
        <is>
          <t>Powerz旋转阀，我方主动拒绝</t>
        </is>
      </c>
    </row>
    <row r="42" ht="22" customHeight="1">
      <c r="A42" s="42" t="inlineStr">
        <is>
          <t>我方做不了/主动放弃</t>
        </is>
      </c>
      <c r="B42" s="42" t="n">
        <v>97</v>
      </c>
      <c r="C42" s="42" t="inlineStr">
        <is>
          <t>马鹏飞</t>
        </is>
      </c>
      <c r="D42" s="42" t="inlineStr">
        <is>
          <t>科特迪瓦可可豆，风险过大主动停</t>
        </is>
      </c>
    </row>
    <row r="43" ht="22" customHeight="1">
      <c r="A43" s="42" t="inlineStr">
        <is>
          <t>我方做不了/主动放弃</t>
        </is>
      </c>
      <c r="B43" s="42" t="n">
        <v>98</v>
      </c>
      <c r="C43" s="42" t="inlineStr">
        <is>
          <t>马鹏飞</t>
        </is>
      </c>
      <c r="D43" s="42" t="inlineStr">
        <is>
          <t>污泥刮板机做不了</t>
        </is>
      </c>
    </row>
    <row r="44" ht="22" customHeight="1">
      <c r="A44" s="42" t="inlineStr">
        <is>
          <t>我方做不了/主动放弃</t>
        </is>
      </c>
      <c r="B44" s="42" t="n">
        <v>100</v>
      </c>
      <c r="C44" s="42" t="inlineStr">
        <is>
          <t>马鹏飞</t>
        </is>
      </c>
      <c r="D44" s="42" t="inlineStr">
        <is>
          <t>科特迪瓦航油罐，交期不满足</t>
        </is>
      </c>
    </row>
    <row r="45" ht="22" customHeight="1">
      <c r="A45" s="42" t="inlineStr">
        <is>
          <t>我方做不了/主动放弃</t>
        </is>
      </c>
      <c r="B45" s="42" t="n">
        <v>122</v>
      </c>
      <c r="C45" s="42" t="inlineStr">
        <is>
          <t>司斌</t>
        </is>
      </c>
      <c r="D45" s="42" t="inlineStr">
        <is>
          <t>蒙古沙仓热能存储，工艺做不了</t>
        </is>
      </c>
    </row>
    <row r="46" ht="22" customHeight="1">
      <c r="A46" s="42" t="inlineStr">
        <is>
          <t>选其他供应商/工艺</t>
        </is>
      </c>
      <c r="B46" s="42" t="n">
        <v>52</v>
      </c>
      <c r="C46" s="42" t="inlineStr">
        <is>
          <t>崔阳</t>
        </is>
      </c>
      <c r="D46" s="42" t="inlineStr">
        <is>
          <t>Powerz设备采购</t>
        </is>
      </c>
    </row>
    <row r="47" ht="22" customHeight="1">
      <c r="A47" s="42" t="inlineStr">
        <is>
          <t>选其他供应商/工艺</t>
        </is>
      </c>
      <c r="B47" s="42" t="n">
        <v>56</v>
      </c>
      <c r="C47" s="42" t="inlineStr">
        <is>
          <t>崔阳</t>
        </is>
      </c>
      <c r="D47" s="42" t="inlineStr">
        <is>
          <t>麻类深加工，改选其他工艺</t>
        </is>
      </c>
    </row>
    <row r="48" ht="22" customHeight="1">
      <c r="A48" s="42" t="inlineStr">
        <is>
          <t>选其他供应商/工艺</t>
        </is>
      </c>
      <c r="B48" s="42" t="n">
        <v>59</v>
      </c>
      <c r="C48" s="42" t="inlineStr">
        <is>
          <t>崔阳</t>
        </is>
      </c>
      <c r="D48" s="42" t="inlineStr">
        <is>
          <t>75吨熟石灰仓，当地供应商</t>
        </is>
      </c>
    </row>
    <row r="49" ht="22" customHeight="1">
      <c r="A49" s="42" t="inlineStr">
        <is>
          <t>选其他供应商/工艺</t>
        </is>
      </c>
      <c r="B49" s="42" t="n">
        <v>61</v>
      </c>
      <c r="C49" s="42" t="inlineStr">
        <is>
          <t>崔阳</t>
        </is>
      </c>
      <c r="D49" s="42" t="inlineStr">
        <is>
          <t>Powerz灰渣气力，当地供应商</t>
        </is>
      </c>
    </row>
    <row r="50" ht="22" customHeight="1">
      <c r="A50" s="42" t="inlineStr">
        <is>
          <t>选其他供应商/工艺</t>
        </is>
      </c>
      <c r="B50" s="42" t="n">
        <v>63</v>
      </c>
      <c r="C50" s="42" t="inlineStr">
        <is>
          <t>崔阳</t>
        </is>
      </c>
      <c r="D50" s="42" t="inlineStr">
        <is>
          <t>Астон葵花籽仓</t>
        </is>
      </c>
    </row>
    <row r="51" ht="22" customHeight="1">
      <c r="A51" s="42" t="inlineStr">
        <is>
          <t>选其他供应商/工艺</t>
        </is>
      </c>
      <c r="B51" s="42" t="n">
        <v>64</v>
      </c>
      <c r="C51" s="42" t="inlineStr">
        <is>
          <t>崔阳</t>
        </is>
      </c>
      <c r="D51" s="42" t="inlineStr">
        <is>
          <t>Powerz旋转给料</t>
        </is>
      </c>
    </row>
    <row r="52" ht="22" customHeight="1">
      <c r="A52" s="42" t="inlineStr">
        <is>
          <t>选其他供应商/工艺</t>
        </is>
      </c>
      <c r="B52" s="42" t="n">
        <v>71</v>
      </c>
      <c r="C52" s="42" t="inlineStr">
        <is>
          <t>崔阳</t>
        </is>
      </c>
      <c r="D52" s="42" t="inlineStr">
        <is>
          <t>Powerz输送机</t>
        </is>
      </c>
    </row>
    <row r="53" ht="22" customHeight="1">
      <c r="A53" s="42" t="inlineStr">
        <is>
          <t>选其他供应商/工艺</t>
        </is>
      </c>
      <c r="B53" s="42" t="n">
        <v>116</v>
      </c>
      <c r="C53" s="42" t="inlineStr">
        <is>
          <t>苗恒</t>
        </is>
      </c>
      <c r="D53" s="42" t="inlineStr">
        <is>
          <t>印度氧化铝港口，业主选混凝土仓</t>
        </is>
      </c>
    </row>
    <row r="54" ht="22" customHeight="1">
      <c r="A54" s="42" t="inlineStr">
        <is>
          <t>需求不实/未立项/改计划</t>
        </is>
      </c>
      <c r="B54" s="42" t="n">
        <v>3</v>
      </c>
      <c r="C54" s="42" t="inlineStr">
        <is>
          <t>陈辉</t>
        </is>
      </c>
      <c r="D54" s="42" t="inlineStr">
        <is>
          <t>Kim Jeju污泥仓，客户改计划</t>
        </is>
      </c>
    </row>
    <row r="55" ht="22" customHeight="1">
      <c r="A55" s="42" t="inlineStr">
        <is>
          <t>需求不实/未立项/改计划</t>
        </is>
      </c>
      <c r="B55" s="42" t="n">
        <v>4</v>
      </c>
      <c r="C55" s="42" t="inlineStr">
        <is>
          <t>陈辉</t>
        </is>
      </c>
      <c r="D55" s="42" t="inlineStr">
        <is>
          <t>Kim welcron污泥仓，客户改计划</t>
        </is>
      </c>
    </row>
    <row r="56" ht="22" customHeight="1">
      <c r="A56" s="42" t="inlineStr">
        <is>
          <t>需求不实/未立项/改计划</t>
        </is>
      </c>
      <c r="B56" s="42" t="n">
        <v>31</v>
      </c>
      <c r="C56" s="42" t="inlineStr">
        <is>
          <t>陈子凡</t>
        </is>
      </c>
      <c r="D56" s="42" t="inlineStr">
        <is>
          <t>南美水泥仓，中间商真实性存疑</t>
        </is>
      </c>
    </row>
    <row r="57" ht="22" customHeight="1">
      <c r="A57" s="42" t="inlineStr">
        <is>
          <t>需求不实/未立项/改计划</t>
        </is>
      </c>
      <c r="B57" s="42" t="n">
        <v>55</v>
      </c>
      <c r="C57" s="42" t="inlineStr">
        <is>
          <t>崔阳</t>
        </is>
      </c>
      <c r="D57" s="42" t="inlineStr">
        <is>
          <t>Эннова石灰仓，产能存疑后取消</t>
        </is>
      </c>
    </row>
    <row r="58" ht="22" customHeight="1">
      <c r="A58" s="42" t="inlineStr">
        <is>
          <t>需求不实/未立项/改计划</t>
        </is>
      </c>
      <c r="B58" s="42" t="n">
        <v>67</v>
      </c>
      <c r="C58" s="42" t="inlineStr">
        <is>
          <t>崔阳</t>
        </is>
      </c>
      <c r="D58" s="42" t="inlineStr">
        <is>
          <t>cotes装配仓，客户结束询价</t>
        </is>
      </c>
    </row>
    <row r="59" ht="22" customHeight="1">
      <c r="A59" s="42" t="inlineStr">
        <is>
          <t>需求不实/未立项/改计划</t>
        </is>
      </c>
      <c r="B59" s="42" t="n">
        <v>68</v>
      </c>
      <c r="C59" s="42" t="inlineStr">
        <is>
          <t>崔阳</t>
        </is>
      </c>
      <c r="D59" s="42" t="inlineStr">
        <is>
          <t>ROSATOM氧化铝仓，业主未立项</t>
        </is>
      </c>
    </row>
    <row r="60" ht="22" customHeight="1">
      <c r="A60" s="42" t="inlineStr">
        <is>
          <t>需求不实/未立项/改计划</t>
        </is>
      </c>
      <c r="B60" s="42" t="n">
        <v>112</v>
      </c>
      <c r="C60" s="42" t="inlineStr">
        <is>
          <t>苗恒</t>
        </is>
      </c>
      <c r="D60" s="42" t="inlineStr">
        <is>
          <t>孟加拉玉米仓，需求不实</t>
        </is>
      </c>
    </row>
    <row r="61" ht="22" customHeight="1">
      <c r="A61" s="42" t="inlineStr">
        <is>
          <t>需求不实/未立项/改计划</t>
        </is>
      </c>
      <c r="B61" s="42" t="n">
        <v>119</v>
      </c>
      <c r="C61" s="42" t="inlineStr">
        <is>
          <t>苗恒</t>
        </is>
      </c>
      <c r="D61" s="42" t="inlineStr">
        <is>
          <t>土耳其石灰石仓，需求不实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2026-08-31T08:09:27Z</dcterms:created>
  <dcterms:modified xsi:type="dcterms:W3CDTF">2026-08-31T08:09:27Z</dcterms:modified>
</cp:coreProperties>
</file>